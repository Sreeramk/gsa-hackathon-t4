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0" yWindow="0" windowWidth="24000" windowHeight="9735" activeTab="2"/>
  </bookViews>
  <sheets>
    <sheet name="Raw" sheetId="1" r:id="rId1"/>
    <sheet name="Clean Up" sheetId="2" r:id="rId2"/>
    <sheet name="Clean Up 2" sheetId="3" r:id="rId3"/>
  </sheets>
  <calcPr calcId="152511"/>
</workbook>
</file>

<file path=xl/calcChain.xml><?xml version="1.0" encoding="utf-8"?>
<calcChain xmlns="http://schemas.openxmlformats.org/spreadsheetml/2006/main">
  <c r="G1093" i="3" l="1"/>
  <c r="H1093" i="3"/>
  <c r="F1093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</calcChain>
</file>

<file path=xl/sharedStrings.xml><?xml version="1.0" encoding="utf-8"?>
<sst xmlns="http://schemas.openxmlformats.org/spreadsheetml/2006/main" count="5049" uniqueCount="1891">
  <si>
    <t>Operating Cost Measure Analysis Report</t>
  </si>
  <si>
    <t>Dollar - Current Year</t>
  </si>
  <si>
    <t>Building</t>
  </si>
  <si>
    <t>A10 Cleaning</t>
  </si>
  <si>
    <t>A30 Utilities/Fuel</t>
  </si>
  <si>
    <t>A40 Mechanic Oper-Maint</t>
  </si>
  <si>
    <t>Grand Total</t>
  </si>
  <si>
    <t>AK0001ZZ-Anchorage Fed Build</t>
  </si>
  <si>
    <t>AK0005AK-Federal</t>
  </si>
  <si>
    <t>AK0013ZZ-Hurff A. Saunders Fb</t>
  </si>
  <si>
    <t>AK0029ZZ-Federal Building</t>
  </si>
  <si>
    <t>AK0031AA-Us Federal Building</t>
  </si>
  <si>
    <t>AK0032AA-Fed Bld-Usch-Annex</t>
  </si>
  <si>
    <t>AK0506AH-Alcan Land Port Of E</t>
  </si>
  <si>
    <t>($40,175)</t>
  </si>
  <si>
    <t>($23,301)</t>
  </si>
  <si>
    <t>($66,226)</t>
  </si>
  <si>
    <t>($129,703)</t>
  </si>
  <si>
    <t>AK0514ZZ-Fed Bldg Us Po</t>
  </si>
  <si>
    <t>AK0521AB-Dalton Cache Land Po</t>
  </si>
  <si>
    <t>($6,346)</t>
  </si>
  <si>
    <t>AK0526ZZ-Skagway Land Port Of</t>
  </si>
  <si>
    <t>($1,492)</t>
  </si>
  <si>
    <t>($2,494)</t>
  </si>
  <si>
    <t>($1,030)</t>
  </si>
  <si>
    <t>($5,017)</t>
  </si>
  <si>
    <t>AL0003AC-Frank Johnson Annex</t>
  </si>
  <si>
    <t>AL0004ZZ-Fb-Ct</t>
  </si>
  <si>
    <t>AL0005ZZ-Montgomery Bus Stati</t>
  </si>
  <si>
    <t>AL0007ZZ-Fb/Ct</t>
  </si>
  <si>
    <t>AL0010ZZ-Federal Building-Cou</t>
  </si>
  <si>
    <t>AL0011ZZ-Robert S. Vance Fb-C</t>
  </si>
  <si>
    <t>AL0012ZZ-Hannah House</t>
  </si>
  <si>
    <t>AL0019ZZ-Fb-Ct</t>
  </si>
  <si>
    <t>AL0028ZZ-Fb-Ct</t>
  </si>
  <si>
    <t>AL0034ZZ-Po-Ct</t>
  </si>
  <si>
    <t>AL0039AB-John A Campbell Usct</t>
  </si>
  <si>
    <t>AL0043AC-F.M.Johnson,Jr. Fbct</t>
  </si>
  <si>
    <t>AL0046ZZ-G. W. Andrews Fb-Ct</t>
  </si>
  <si>
    <t>AL0055ZZ-Fb Ct</t>
  </si>
  <si>
    <t>AL0076AB-Federal Building</t>
  </si>
  <si>
    <t>AL0077AB-Combined Parking Fac</t>
  </si>
  <si>
    <t>AL0079ZZ-Ssa Building</t>
  </si>
  <si>
    <t>AL0081ZZ-Hugo L Black Usct</t>
  </si>
  <si>
    <t>($8,870)</t>
  </si>
  <si>
    <t>AR0021ZZ-Ic Parker Courthouse</t>
  </si>
  <si>
    <t>AR0030RK-Little Rock Uspo/Cou</t>
  </si>
  <si>
    <t>AR0031ZZ-Little Rock Old Uspo</t>
  </si>
  <si>
    <t>AR0057ZZ-Texarkana Uspo/Court</t>
  </si>
  <si>
    <t>AR0062ZZ-Hot Springs Post Off</t>
  </si>
  <si>
    <t>AR0063RK-Little Rock Federal</t>
  </si>
  <si>
    <t>AR0066ZZ-Helena Post Office/C</t>
  </si>
  <si>
    <t>AR0078ZZ-Pine Bluff Fob/Uspo/</t>
  </si>
  <si>
    <t>AR0079ZZ-Batesville Fob/Uspo/</t>
  </si>
  <si>
    <t>AR0082RK-Little Rock Fob/Cths</t>
  </si>
  <si>
    <t>AR0084ZZ-Jp Hammerschmidt Fed</t>
  </si>
  <si>
    <t>AR0085RK-Little Rock Uspo/Cth</t>
  </si>
  <si>
    <t>AX0200AX-Asst Reg Adm Opr R2</t>
  </si>
  <si>
    <t>($29)</t>
  </si>
  <si>
    <t>AX0700AX-Asst Reg Adm Opr R7</t>
  </si>
  <si>
    <t>AX0800AX-Asst Reg Adm Opr R8</t>
  </si>
  <si>
    <t>AX0900AX-Asst Reg Adm Opr R9</t>
  </si>
  <si>
    <t>($30)</t>
  </si>
  <si>
    <t>AX1100AX-Asst Reg Adm Opr R11</t>
  </si>
  <si>
    <t>AZ0015ZZ-James A. Walsh Court</t>
  </si>
  <si>
    <t>AZ0051ZZ-Gsa Parking Lot</t>
  </si>
  <si>
    <t>AZ0052ZZ-Federal Building &amp; C</t>
  </si>
  <si>
    <t>AZ0058ZZ-Federal Building</t>
  </si>
  <si>
    <t>AZ0303ZZ-Sandra D. O'Connor C</t>
  </si>
  <si>
    <t>AZ0307ZZ-Evo A. Deconcini Cou</t>
  </si>
  <si>
    <t>AZ0325HH-Us Border Station</t>
  </si>
  <si>
    <t>AZ0326DD-Us Border Station</t>
  </si>
  <si>
    <t>AZ0327GG-Us Border Station</t>
  </si>
  <si>
    <t>AZ0328GG-Dot,Fmcsa Modular Bu</t>
  </si>
  <si>
    <t>AZ0329GG-Fda Modular Building</t>
  </si>
  <si>
    <t>AZ0334WW-Mariposa Lpoe - Main</t>
  </si>
  <si>
    <t>AZ0336JJ-Main Bldg-San Luis I</t>
  </si>
  <si>
    <t>($62,216)</t>
  </si>
  <si>
    <t>($74,579)</t>
  </si>
  <si>
    <t>($74,681)</t>
  </si>
  <si>
    <t>($211,476)</t>
  </si>
  <si>
    <t>AZ0349WW-Mariposa Lpoe - Head</t>
  </si>
  <si>
    <t>AZ0350WW-Mariposa Lpoe Truck</t>
  </si>
  <si>
    <t>AZ0351WW-Mariposa Lpoe - Kenn</t>
  </si>
  <si>
    <t>AZ0352WW-Mariposa Lpoe - Out</t>
  </si>
  <si>
    <t>AZ0353WW-Mariposa Lpoe - Nii</t>
  </si>
  <si>
    <t>AZ0354WW-Mariposa Lpoe - Seiz</t>
  </si>
  <si>
    <t>AZ0355WW-Mariposa Lpoe Mechan</t>
  </si>
  <si>
    <t>AZ0356JJ-Commercial Inspectio</t>
  </si>
  <si>
    <t>AZ0357JJ-Bulk Material&amp;Storag</t>
  </si>
  <si>
    <t>AZ0359JJ-Commercial Exit Cont</t>
  </si>
  <si>
    <t>AZ0360JJ-Export Control Booth</t>
  </si>
  <si>
    <t>AZ0361JJ-Primary Insp-Booth</t>
  </si>
  <si>
    <t>AZ0362JJ-Nii Inspection Bldg-</t>
  </si>
  <si>
    <t>AZ0369ZZ-John M. Roll U.S. Co</t>
  </si>
  <si>
    <t>AZ0551BB-Bs Old Cus Bldg</t>
  </si>
  <si>
    <t>($183,633)</t>
  </si>
  <si>
    <t>($140,792)</t>
  </si>
  <si>
    <t>($239,376)</t>
  </si>
  <si>
    <t>($563,801)</t>
  </si>
  <si>
    <t>AZ0553BB-Bs Morley Gate</t>
  </si>
  <si>
    <t>AZ0554BB-Bs Hd Hse Bldg 2</t>
  </si>
  <si>
    <t>AZ0555BB-Bs Bldg 1</t>
  </si>
  <si>
    <t>AZ0556BB-Bs Bldg 4 Kennel</t>
  </si>
  <si>
    <t>AZ0601CC-Bs Main Bldg</t>
  </si>
  <si>
    <t>($7,195)</t>
  </si>
  <si>
    <t>($4,882)</t>
  </si>
  <si>
    <t>($10,844)</t>
  </si>
  <si>
    <t>($22,920)</t>
  </si>
  <si>
    <t>AZ0602CC-Bs Garage</t>
  </si>
  <si>
    <t>AZ0603CC-Bs Hd Hse Bldg 2</t>
  </si>
  <si>
    <t>AZ0604CC-Truck Inspection Can</t>
  </si>
  <si>
    <t>AZ0611DD-Bs Main Bldg</t>
  </si>
  <si>
    <t>($138,520)</t>
  </si>
  <si>
    <t>($98,590)</t>
  </si>
  <si>
    <t>($143,679)</t>
  </si>
  <si>
    <t>($380,788)</t>
  </si>
  <si>
    <t>AZ0612DD-Bs Garage</t>
  </si>
  <si>
    <t>AZ0613DD-Pan American Ave</t>
  </si>
  <si>
    <t>AZ0614DD-Hd Hse Bldg 2</t>
  </si>
  <si>
    <t>AZ0631FF-Bdr Patl Sector Hqrs</t>
  </si>
  <si>
    <t>($760)</t>
  </si>
  <si>
    <t>AZ0632FF-Brdr Patl Sect Hq Ga</t>
  </si>
  <si>
    <t>AZ0670AA-Us Border Station</t>
  </si>
  <si>
    <t>AZ0671AA-B S Loading Dock</t>
  </si>
  <si>
    <t>AZ0673AA-B S Resident A</t>
  </si>
  <si>
    <t>AZ0674AA-B S Resident B</t>
  </si>
  <si>
    <t>AZ0675AA-B S Resident C</t>
  </si>
  <si>
    <t>AZ0676AA-B S Resident D</t>
  </si>
  <si>
    <t>AZ0677AA-B S Resident E</t>
  </si>
  <si>
    <t>AZ0678AA-B S Resident F</t>
  </si>
  <si>
    <t>AZ0679AA-B S Resident G</t>
  </si>
  <si>
    <t>AZ0681HH-Bs Main Bldg</t>
  </si>
  <si>
    <t>($14,572)</t>
  </si>
  <si>
    <t>($19,693)</t>
  </si>
  <si>
    <t>($16,959)</t>
  </si>
  <si>
    <t>($51,224)</t>
  </si>
  <si>
    <t>AZ0682HH-Us Border Station</t>
  </si>
  <si>
    <t>AZ0683HH-Us Border Station</t>
  </si>
  <si>
    <t>AZ0684HH-Us Border Station</t>
  </si>
  <si>
    <t>AZ0690AA-B S Resident H</t>
  </si>
  <si>
    <t>AZ0691AA-B S Resident I</t>
  </si>
  <si>
    <t>AZ0692AA-B S Resident J</t>
  </si>
  <si>
    <t>AZ0698AA-B S Pump House</t>
  </si>
  <si>
    <t>AZ0704GG-B.S. Main Building</t>
  </si>
  <si>
    <t>($331,652)</t>
  </si>
  <si>
    <t>($121,064)</t>
  </si>
  <si>
    <t>($127,246)</t>
  </si>
  <si>
    <t>($579,963)</t>
  </si>
  <si>
    <t>AZ0705GG-St Hwy 95&amp; Int'L Bor</t>
  </si>
  <si>
    <t>AZ0706GG-Truck Inspection Fac</t>
  </si>
  <si>
    <t>AZ0710AA-Sewage Treatment Pla</t>
  </si>
  <si>
    <t>CA0041ZZ-Us Court House</t>
  </si>
  <si>
    <t>CA0083ZZ-Federal Building</t>
  </si>
  <si>
    <t>CA0088ZZ-J. Weinberger Courth</t>
  </si>
  <si>
    <t>CA0091AA-Appraisers Bldg</t>
  </si>
  <si>
    <t>CA0092AA-Us Custom House</t>
  </si>
  <si>
    <t>CA0093ZZ-Federal Office Bldg</t>
  </si>
  <si>
    <t>CA0096DD-James R. Browning U.</t>
  </si>
  <si>
    <t>CA0149ZZ-Federal Building</t>
  </si>
  <si>
    <t>CA0150CC-Federal Building</t>
  </si>
  <si>
    <t>CA0152ZZ-John E. Moss Federal</t>
  </si>
  <si>
    <t>CA0154ZZ-Phillip Burton,Fb Ct</t>
  </si>
  <si>
    <t>CA0167ZZ-Edward J. Schwartz F</t>
  </si>
  <si>
    <t>CA0168ZZ-Federal Building</t>
  </si>
  <si>
    <t>CA0185ZZ-Social Security Bldg</t>
  </si>
  <si>
    <t>CA0194ZZ-Social Security Buil</t>
  </si>
  <si>
    <t>CA0198ZZ-James C. Corman Fed</t>
  </si>
  <si>
    <t>CA0199MM-Federal Building</t>
  </si>
  <si>
    <t>CA0200ZZ-Federal Building</t>
  </si>
  <si>
    <t>CA0221ZZ-John F Shea Fed Bldg</t>
  </si>
  <si>
    <t>CA0224ZZ-Hawthorne Federal Bu</t>
  </si>
  <si>
    <t>CA0235ZZ-Leo J. Ryan Federal</t>
  </si>
  <si>
    <t>CA0260ZZ-Robert F. Peckham Fb</t>
  </si>
  <si>
    <t>CA0267JJ-Main Building</t>
  </si>
  <si>
    <t>CA0268JJ-Secondary Insp Bldg</t>
  </si>
  <si>
    <t>CA0269JJ-Paseo Int'L - Otay M</t>
  </si>
  <si>
    <t>($191,241)</t>
  </si>
  <si>
    <t>($9,403)</t>
  </si>
  <si>
    <t>($93,863)</t>
  </si>
  <si>
    <t>($294,508)</t>
  </si>
  <si>
    <t>CA0272ZZ-Parking Garage</t>
  </si>
  <si>
    <t>CA0273ZZ-Glenn M Anderson Fed</t>
  </si>
  <si>
    <t>CA0275JJ-Bird Quarantine Bldg</t>
  </si>
  <si>
    <t>CA0281ZZ-Ronald Dellums Fed B</t>
  </si>
  <si>
    <t>CA0283CC-Edward R Roybal Fb &amp;</t>
  </si>
  <si>
    <t>CA0288JJ-Om Non-Intrusive Ins</t>
  </si>
  <si>
    <t>CA0289JJ-New Commercial Fac</t>
  </si>
  <si>
    <t>CA0295ZZ-Ronald Reagan Fb &amp; C</t>
  </si>
  <si>
    <t>CA0299JJ-Bs Warehouse Bldg</t>
  </si>
  <si>
    <t>CA0300JJ-9777 Via De La Amist</t>
  </si>
  <si>
    <t>CA0305ZZ-San Francisco Federa</t>
  </si>
  <si>
    <t>CA0306ZZ-Robert T Matsui Us C</t>
  </si>
  <si>
    <t>CA0309ZZ-Robert E. Coyle Fede</t>
  </si>
  <si>
    <t>CA0313DD-1068 Mission Street</t>
  </si>
  <si>
    <t>($2,186)</t>
  </si>
  <si>
    <t>CA0314DD-1064 Mission Street</t>
  </si>
  <si>
    <t>CA0315ZZ-Siezed Vehicle Facil</t>
  </si>
  <si>
    <t>($11,919)</t>
  </si>
  <si>
    <t>($5,899)</t>
  </si>
  <si>
    <t>CA0316ZZ-Federal Courthouse</t>
  </si>
  <si>
    <t>CA0335GG-Sylpoe Nb Primary In</t>
  </si>
  <si>
    <t>CA0340GG-Sylpoe Narcotics/Sei</t>
  </si>
  <si>
    <t>CA0349GG-Greyhound Building S</t>
  </si>
  <si>
    <t>CA0350GG-Payless-Milo Office</t>
  </si>
  <si>
    <t>CA0363ZZ-U.S. Courthouse</t>
  </si>
  <si>
    <t>CA0504BB-Bs Shop Bldg</t>
  </si>
  <si>
    <t>CA0505BB-Bs Main Bldg</t>
  </si>
  <si>
    <t>CA0506BB-Us Border Station</t>
  </si>
  <si>
    <t>CA0507WW-Bs Main Bldg.</t>
  </si>
  <si>
    <t>($1,031,205)</t>
  </si>
  <si>
    <t>($301,839)</t>
  </si>
  <si>
    <t>($456,506)</t>
  </si>
  <si>
    <t>($1,789,550)</t>
  </si>
  <si>
    <t>CA0508WW-B.S. Hd House</t>
  </si>
  <si>
    <t>($500)</t>
  </si>
  <si>
    <t>CA0509WW-B.S. Import/Com. Bld</t>
  </si>
  <si>
    <t>($723)</t>
  </si>
  <si>
    <t>CA0510WW-B.S. Bulk/Hazmat. Bl</t>
  </si>
  <si>
    <t>CA0511WW-B.S. Expt Bldg.</t>
  </si>
  <si>
    <t>($118)</t>
  </si>
  <si>
    <t>CA0513WW-B. S. Cen. Plt. Bldg</t>
  </si>
  <si>
    <t>CA0521SS-Chet Holifield Fed B</t>
  </si>
  <si>
    <t>CA0581GG-Sylpoe Historical Cu</t>
  </si>
  <si>
    <t>CA0588GG-Bs New Main Bldg</t>
  </si>
  <si>
    <t>($403,971)</t>
  </si>
  <si>
    <t>($446,491)</t>
  </si>
  <si>
    <t>($695,631)</t>
  </si>
  <si>
    <t>CA0621HH-Main Bldg - Andrade</t>
  </si>
  <si>
    <t>($15,313)</t>
  </si>
  <si>
    <t>CA0622HH-Andrade Administrati</t>
  </si>
  <si>
    <t>CA0623HH-Andrade Training Bui</t>
  </si>
  <si>
    <t>CA0624HH-Andrade Headhouse</t>
  </si>
  <si>
    <t>CA0761KK-Fed Cntr Bldg 1</t>
  </si>
  <si>
    <t>CA0762KK-Federal Cntr Bldg 2a</t>
  </si>
  <si>
    <t>CA0763KK-Federal Cntr Bldg 2b</t>
  </si>
  <si>
    <t>CA0765KK-Federal Cntr Bldg 2c</t>
  </si>
  <si>
    <t>CA0773KK-Fed Cntr Bldg 2d</t>
  </si>
  <si>
    <t>CA0775KK-Building 10</t>
  </si>
  <si>
    <t>CA0777KK-Federal Cntr Bldg 12</t>
  </si>
  <si>
    <t>CA0779KK-Bldg. 13; Elevator S</t>
  </si>
  <si>
    <t>CA0801LL-Bs Main Bldg</t>
  </si>
  <si>
    <t>($133,441)</t>
  </si>
  <si>
    <t>($19,523)</t>
  </si>
  <si>
    <t>($17,720)</t>
  </si>
  <si>
    <t>($170,683)</t>
  </si>
  <si>
    <t>CA0802LL-Bs Residence</t>
  </si>
  <si>
    <t>CA0803LL-B S Residence</t>
  </si>
  <si>
    <t>CA0804LL-Bs - Commercial Port</t>
  </si>
  <si>
    <t>CA0901OO-Gsa Bldg 1</t>
  </si>
  <si>
    <t>CA0902OO-Gsa Bldg 2</t>
  </si>
  <si>
    <t>CA0903OO-Usgs Bldg 3</t>
  </si>
  <si>
    <t>CA0904OO-Bldgs 9e</t>
  </si>
  <si>
    <t>CA0905OO-Usgs Bldg 10</t>
  </si>
  <si>
    <t>CA0906OO-Usgs Bldg 3a</t>
  </si>
  <si>
    <t>CA0907OO-Usgs Bldg 9f</t>
  </si>
  <si>
    <t>CA0908OO-Usgs Bldg 9g</t>
  </si>
  <si>
    <t>CA0909OO-Usgs Bldg 11</t>
  </si>
  <si>
    <t>($67,940)</t>
  </si>
  <si>
    <t>($14,735)</t>
  </si>
  <si>
    <t>CA0910OO-Gardeners Shed</t>
  </si>
  <si>
    <t>CA0912OO-Rolm Switch Bldg</t>
  </si>
  <si>
    <t>($97,243)</t>
  </si>
  <si>
    <t>($86,861)</t>
  </si>
  <si>
    <t>CA0913OO-Usgs Bldg 12</t>
  </si>
  <si>
    <t>CA0914OO-Rock Proc Lab</t>
  </si>
  <si>
    <t>CA0915OO-Mckelvey Bldg</t>
  </si>
  <si>
    <t>($253,851)</t>
  </si>
  <si>
    <t>CA0916OO-Paleomagnetic Lab</t>
  </si>
  <si>
    <t>CA0917OO-Central Service</t>
  </si>
  <si>
    <t>CA0918OO-Geo Kids</t>
  </si>
  <si>
    <t>CA9551RR-Richard H Chambers C</t>
  </si>
  <si>
    <t>CO0006ZZ-Fb-Cu</t>
  </si>
  <si>
    <t>CO0009ZZ-Byron White Us Crths</t>
  </si>
  <si>
    <t>CO0018ZZ-Wayne Aspinall Fbct</t>
  </si>
  <si>
    <t>CO0039ZZ-Byron G.Rogers Fb-Ct</t>
  </si>
  <si>
    <t>CO0046ZZ-Fb-Po</t>
  </si>
  <si>
    <t>CO0050ZZ-Federal Garage Bldg</t>
  </si>
  <si>
    <t>CO0051ZZ-Federal Garage Bldg</t>
  </si>
  <si>
    <t>CO0053ZZ-Gsa Parking Lot</t>
  </si>
  <si>
    <t>CO0054ZZ-Cesar E. Chavez Memo</t>
  </si>
  <si>
    <t>CO0055ZZ-David Skaggs Researc</t>
  </si>
  <si>
    <t>CO0061ZZ-Alfred A. Arraj</t>
  </si>
  <si>
    <t>CO0100AA-Land Area N&amp;E Core</t>
  </si>
  <si>
    <t>($79,702)</t>
  </si>
  <si>
    <t>CO0200AA-Land Area 2 E. Core</t>
  </si>
  <si>
    <t>CO0300AA-Land Area 3 W. Core</t>
  </si>
  <si>
    <t>CO0350AA-Land Parcel 5</t>
  </si>
  <si>
    <t>CO0400AA-Land Area 4s&amp;W Core</t>
  </si>
  <si>
    <t>CO0450AA-Land Parcel 6</t>
  </si>
  <si>
    <t>($57,326)</t>
  </si>
  <si>
    <t>CO0500AA-Dfc Land</t>
  </si>
  <si>
    <t>($585)</t>
  </si>
  <si>
    <t>CO0501AA-Dfc Bldg 1</t>
  </si>
  <si>
    <t>CO0506AA-Dfc Bldg 6</t>
  </si>
  <si>
    <t>CO0508AA-Building 8 Dfc Pump</t>
  </si>
  <si>
    <t>CO0511AA-Dfc Bldg 20</t>
  </si>
  <si>
    <t>CO0512AA-Dfc Bldg 21</t>
  </si>
  <si>
    <t>($144,371)</t>
  </si>
  <si>
    <t>($83,598)</t>
  </si>
  <si>
    <t>CO0514AA-Dfc Bldg 25</t>
  </si>
  <si>
    <t>($18,253)</t>
  </si>
  <si>
    <t>CO0515AA-Dfc Bldg 40</t>
  </si>
  <si>
    <t>CO0516AA-Dfc Bldg 41</t>
  </si>
  <si>
    <t>CO0518AA-Dfc Bldg 44</t>
  </si>
  <si>
    <t>CO0519AA-Dfc Bldg 45</t>
  </si>
  <si>
    <t>CO0520AA-Dfc Bldg 46</t>
  </si>
  <si>
    <t>CO0521AA-Dfc Bldg 47</t>
  </si>
  <si>
    <t>CO0522AA-Dfc Bldg 48</t>
  </si>
  <si>
    <t>CO0523AA-Dfc Bldg 49a</t>
  </si>
  <si>
    <t>CO0524AA-Dfc Bldg 49b</t>
  </si>
  <si>
    <t>CO0525AA-Dfc Bldg 49c</t>
  </si>
  <si>
    <t>CO0526AA-Dfc Bldg 49d</t>
  </si>
  <si>
    <t>CO0527AA-Dfc Bldg 50</t>
  </si>
  <si>
    <t>CO0529AA-Dfc Bldg 52</t>
  </si>
  <si>
    <t>($817)</t>
  </si>
  <si>
    <t>CO0530AA-Dfc Bldg 53</t>
  </si>
  <si>
    <t>($250,930)</t>
  </si>
  <si>
    <t>CO0531AA-Dfc Bldg 54</t>
  </si>
  <si>
    <t>CO0532AA-Dfc Bldg 55</t>
  </si>
  <si>
    <t>CO0533AA-Dfc Bldg 56</t>
  </si>
  <si>
    <t>CO0543AA-Dfc Bldg 75</t>
  </si>
  <si>
    <t>CO0545AA-Dfc Bldg 77</t>
  </si>
  <si>
    <t>CO0576AA-Dfc Bldg 85</t>
  </si>
  <si>
    <t>CO0618AA-Dfc Bldg 3a</t>
  </si>
  <si>
    <t>CO0619AA-Dfc Bldg 2a</t>
  </si>
  <si>
    <t>CO0622AA-Dfc Bldg 14</t>
  </si>
  <si>
    <t>CO0623AA-Dfc Bldg 13</t>
  </si>
  <si>
    <t>CO0624AA-Dfc Bldg 810</t>
  </si>
  <si>
    <t>CO0625AA-Dfc Bldg 15</t>
  </si>
  <si>
    <t>CO0626AA-Dfc Bldg 16</t>
  </si>
  <si>
    <t>CO0627AA-Dfc Bldg 67</t>
  </si>
  <si>
    <t>CO0631AA-Dfc Bldg 710</t>
  </si>
  <si>
    <t>CO0642AA-Dfc Bldg 78</t>
  </si>
  <si>
    <t>CO0643AA-Dfc Bldg 21a</t>
  </si>
  <si>
    <t>CO0644AA-Dfc Day Care Center</t>
  </si>
  <si>
    <t>CO0648AA-Dfc Bldg 10</t>
  </si>
  <si>
    <t>CO0650AA-Dfc Bldg 11</t>
  </si>
  <si>
    <t>CO0651AA-Bldg 1a</t>
  </si>
  <si>
    <t>CO0652AA-Bldg. 21b</t>
  </si>
  <si>
    <t>CO0653AA-Greenhouse, Bldg 85b</t>
  </si>
  <si>
    <t>CO0654AA-Building 710a</t>
  </si>
  <si>
    <t>CO0657AA-Bldg 720</t>
  </si>
  <si>
    <t>CO0659AA-Building 95</t>
  </si>
  <si>
    <t>($130,579)</t>
  </si>
  <si>
    <t>CO0660AA-Whse Bldg 94</t>
  </si>
  <si>
    <t>CO0661AA-Dfc Bldg 74a</t>
  </si>
  <si>
    <t>CO0662AA-Infant/Toddler Ctr</t>
  </si>
  <si>
    <t>CO0663AA-Building 85a</t>
  </si>
  <si>
    <t>CO0665AA-Dfc Bldg 17</t>
  </si>
  <si>
    <t>($5,266)</t>
  </si>
  <si>
    <t>($4,810)</t>
  </si>
  <si>
    <t>CT0013ZZ-William R. Cotter Fb</t>
  </si>
  <si>
    <t>CT0024ZZ-New Haven Courthouse</t>
  </si>
  <si>
    <t>CT0053ZZ-Aa Ribicoff Fb&amp;Cths</t>
  </si>
  <si>
    <t>CT0059ZZ-Brien Mcmahon Usch&amp;F</t>
  </si>
  <si>
    <t>CT0060ZZ-Ssa</t>
  </si>
  <si>
    <t>CT0061ZZ-Robert N Giaimo Fb</t>
  </si>
  <si>
    <t>DC0001ZZ-Central Htg Plnt Stm</t>
  </si>
  <si>
    <t>($41,833,081)</t>
  </si>
  <si>
    <t>($34,776,981)</t>
  </si>
  <si>
    <t>DC0003ZZ-James L. Whitten Fb</t>
  </si>
  <si>
    <t>DC0004ZZ-Agri Annex</t>
  </si>
  <si>
    <t>DC0005ZZ-Agri South</t>
  </si>
  <si>
    <t>DC0007ZZ-Veterans Admin</t>
  </si>
  <si>
    <t>DC0010ZZ-Lyndon B. Johnson Fe</t>
  </si>
  <si>
    <t>DC0013ZZ-Herbert C. Hoover Bl</t>
  </si>
  <si>
    <t>DC0014PB-Elijah Barrett Prett</t>
  </si>
  <si>
    <t>DC0016ZZ-Court Of Mil App</t>
  </si>
  <si>
    <t>DC0017ZZ-White House-West Win</t>
  </si>
  <si>
    <t>DC0019ZZ-Federal Trade</t>
  </si>
  <si>
    <t>DC0020ZZ-Stewart Lee Udall De</t>
  </si>
  <si>
    <t>DC0021ZZ-Gsa</t>
  </si>
  <si>
    <t>DC0022ZZ-Irs Building</t>
  </si>
  <si>
    <t>DC0023ZZ-Robert F. Kennedy Bl</t>
  </si>
  <si>
    <t>DC0024ZZ-Liberty Loan</t>
  </si>
  <si>
    <t>DC0026ZZ-Lafayette</t>
  </si>
  <si>
    <t>DC0027ZZ-Mail Facility</t>
  </si>
  <si>
    <t>DC0028ZZ-William Jefferson Cl</t>
  </si>
  <si>
    <t>DC0029ZZ-Post Office Old</t>
  </si>
  <si>
    <t>DC0030ZZ-National Building Mu</t>
  </si>
  <si>
    <t>DC0031ZZ-Gsa-Rob</t>
  </si>
  <si>
    <t>DC0032ZZ-1951 Constitution Av</t>
  </si>
  <si>
    <t>DC0033ZZ-Mary E. Switzer Buil</t>
  </si>
  <si>
    <t>DC0034ZZ-Wilbur J Cohen Bldg</t>
  </si>
  <si>
    <t>DC0035ZZ-Dwight D. Eisenhower</t>
  </si>
  <si>
    <t>DC0036ZZ-Us International Tr</t>
  </si>
  <si>
    <t>DC0037ZZ-White House - East W</t>
  </si>
  <si>
    <t>($16,259)</t>
  </si>
  <si>
    <t>DC0038ZZ-Naval Observ Bldg No</t>
  </si>
  <si>
    <t>DC0046ZZ-Harry S. Truman</t>
  </si>
  <si>
    <t>DC0048ZZ-Winder</t>
  </si>
  <si>
    <t>DC0053ZZ-49 L Street Se</t>
  </si>
  <si>
    <t>DC0066SE-Se;1&amp;2;Center Bldg</t>
  </si>
  <si>
    <t>DC0075ZZ-320 First Street Nw</t>
  </si>
  <si>
    <t>DC0078ZZ-1724 F Street Nw</t>
  </si>
  <si>
    <t>DC0081SE-St E; 1&amp;2 Allison C</t>
  </si>
  <si>
    <t>DC0082ZZ-Theodore Roosevelt</t>
  </si>
  <si>
    <t>DC0083ZZ-Orville Wright</t>
  </si>
  <si>
    <t>DC0084ZZ-Wilbur Wright</t>
  </si>
  <si>
    <t>DC0085ZZ-Fdic</t>
  </si>
  <si>
    <t>DC0086ZZ-Thomas P. Oneill Jr.</t>
  </si>
  <si>
    <t>DC0090ZZ-J Edgar Hoover Bldg</t>
  </si>
  <si>
    <t>DC0092ZZ-Robert C. Weaver Bui</t>
  </si>
  <si>
    <t>DC0093ZZ-Forrestal</t>
  </si>
  <si>
    <t>DC0094ZZ-Howard T. Markey Nat</t>
  </si>
  <si>
    <t>DC0100SE-St E; 56 &amp; 57; Power</t>
  </si>
  <si>
    <t>DC0105ZZ-New Executive Office</t>
  </si>
  <si>
    <t>DC0111ZZ-Dolley Madison</t>
  </si>
  <si>
    <t>DC0112ZZ-Tayloe House</t>
  </si>
  <si>
    <t>DC0113ZZ-Cosmos Club</t>
  </si>
  <si>
    <t>DC0114ZZ-Tax Court</t>
  </si>
  <si>
    <t>DC0115ZZ-Hubert Humphrey Bldg</t>
  </si>
  <si>
    <t>DC0116ZZ-Frances Perkins Bldg</t>
  </si>
  <si>
    <t>DC0117AA-Jackson Pl Complex</t>
  </si>
  <si>
    <t>DC0118AA-Jackson Pl Complex</t>
  </si>
  <si>
    <t>DC0119AA-Jackson Pl Complex</t>
  </si>
  <si>
    <t>DC0120AA-Jackson Pl Complex</t>
  </si>
  <si>
    <t>DC0121AA-Jackson Pl Complex</t>
  </si>
  <si>
    <t>DC0122AA-Jackson Pl Complex</t>
  </si>
  <si>
    <t>DC0123AA-Jackson Pl Complex</t>
  </si>
  <si>
    <t>DC0124AA-Jackson Pl Complex</t>
  </si>
  <si>
    <t>DC0125AA-Jackson Pl Complex</t>
  </si>
  <si>
    <t>DC0126AA-Jackson Pl Complex</t>
  </si>
  <si>
    <t>DC0127AA-Jackson Pl Complex</t>
  </si>
  <si>
    <t>DC0134ZZ-Fhlbbb Constr</t>
  </si>
  <si>
    <t>DC0152ZZ-Wash Hosp Ctr; 1a</t>
  </si>
  <si>
    <t>DC0167SE-Se;Bldg 21</t>
  </si>
  <si>
    <t>DC0171ZZ-Wash Hosp Ctr;Site P</t>
  </si>
  <si>
    <t>DC0180ZZ-Int Ctr/Chancery Sit</t>
  </si>
  <si>
    <t>DC0184ZZ-Roosevelt Br Approch</t>
  </si>
  <si>
    <t>DC0220SE-Employee Garage - Ra</t>
  </si>
  <si>
    <t>DC0224ZZ-Dc Court House</t>
  </si>
  <si>
    <t>DC0227SE-St E; 48; Gymnasium</t>
  </si>
  <si>
    <t>DC0234SE-Gate House No. 4</t>
  </si>
  <si>
    <t>DC0235SE-Gate House No. 5</t>
  </si>
  <si>
    <t>DC0236SE-Gate House No. 6</t>
  </si>
  <si>
    <t>DC0240SE-Cup Expansion Below</t>
  </si>
  <si>
    <t>DC0241SE-Mup (Modular Utility</t>
  </si>
  <si>
    <t>DC0242SE-New Generator Bldg</t>
  </si>
  <si>
    <t>DC0243SE-New Pump House</t>
  </si>
  <si>
    <t>DC0245SE-Electrical Vault (Ne</t>
  </si>
  <si>
    <t>DC0278ZZ-Lincoln Memorial</t>
  </si>
  <si>
    <t>($41,898)</t>
  </si>
  <si>
    <t>DC0296ZZ-Central Htg Plnt A/C</t>
  </si>
  <si>
    <t>DC0299ZZ-3rd St Mall Tunnel</t>
  </si>
  <si>
    <t>DC0313ZZ-Judiciary Square</t>
  </si>
  <si>
    <t>DC0394ZZ-Forrestal Daycare</t>
  </si>
  <si>
    <t>DC0400ZZ-Steam Distri Tunnels</t>
  </si>
  <si>
    <t>DC0458ZZ-Remote Delivery Site</t>
  </si>
  <si>
    <t>DC0459AF-Reagan Bldg Fob</t>
  </si>
  <si>
    <t>DC0463ZZ-601 - 4th St, Nw</t>
  </si>
  <si>
    <t>DC0469ZZ-Vehicle Main Fac</t>
  </si>
  <si>
    <t>DC0501BC-Sidney Yates (Audito</t>
  </si>
  <si>
    <t>DC0505ZZ-Us Secret Serv Hdqtr</t>
  </si>
  <si>
    <t>DC0515AF-Reagan Bldg Trade Ct</t>
  </si>
  <si>
    <t>DC0516AF-Reagan Bldg Garage</t>
  </si>
  <si>
    <t>DC0521AB-Epa East</t>
  </si>
  <si>
    <t>DC0522AB-Epa West</t>
  </si>
  <si>
    <t>DC0523AB-Connecting Wing</t>
  </si>
  <si>
    <t>DC0531AC-2430 E St Nw Central</t>
  </si>
  <si>
    <t>DC0532AC-2430 E St Nw East</t>
  </si>
  <si>
    <t>DC0533AC-2430 E St Nw South</t>
  </si>
  <si>
    <t>DC0545ZZ-Rds/Vmf Guardhouse</t>
  </si>
  <si>
    <t>DC0553ZZ-Madison Bldg. (Lb Of</t>
  </si>
  <si>
    <t>DC0566ZZ-Atf National Headqua</t>
  </si>
  <si>
    <t>DC0573PB-William B. Bryant An</t>
  </si>
  <si>
    <t>DC0591BE-Pot Anx 1</t>
  </si>
  <si>
    <t>($115,954)</t>
  </si>
  <si>
    <t>($109,776)</t>
  </si>
  <si>
    <t>DC0592BE-Pot Anx 2</t>
  </si>
  <si>
    <t>DC0593BE-Pot Anx 3</t>
  </si>
  <si>
    <t>DC0594BE-Pot Anx 4</t>
  </si>
  <si>
    <t>DC0595BE-Pot Anx 5</t>
  </si>
  <si>
    <t>DC0596BE-Pot Anx 6</t>
  </si>
  <si>
    <t>($13,783)</t>
  </si>
  <si>
    <t>DC0705ZZ-Andrew W. Mellon Aud</t>
  </si>
  <si>
    <t>DC0720ZZ-The Webster School B</t>
  </si>
  <si>
    <t>DC1250ZZ-Columbia Plaza</t>
  </si>
  <si>
    <t>DC1264ZZ-Freer Art Gallery</t>
  </si>
  <si>
    <t>($4,594,169)</t>
  </si>
  <si>
    <t>DC1283ZZ-Pan Am Building</t>
  </si>
  <si>
    <t>DC1340SE-Doc A</t>
  </si>
  <si>
    <t>DC1343SE-St E. ;31;Atkins Hal</t>
  </si>
  <si>
    <t>DC1344SE-St E; 37; Hitchcock</t>
  </si>
  <si>
    <t>DC1400NA-Main School Building</t>
  </si>
  <si>
    <t>DC1401NA-Class &amp; Recreation B</t>
  </si>
  <si>
    <t>DC1402NA-Office Bldg - East A</t>
  </si>
  <si>
    <t>DC1403NA-Lab</t>
  </si>
  <si>
    <t>DC1404NA-Lab Extension</t>
  </si>
  <si>
    <t>DC1405NA-Memorial Chapel</t>
  </si>
  <si>
    <t>DC1406NA-Dispensary</t>
  </si>
  <si>
    <t>DC1407NA-Chiller Plant</t>
  </si>
  <si>
    <t>DC1410NA-Field House</t>
  </si>
  <si>
    <t>DC1411NA-Cafeteria</t>
  </si>
  <si>
    <t>DC1412NA-Boiler House</t>
  </si>
  <si>
    <t>DC1413NA-Office Building - So</t>
  </si>
  <si>
    <t>DC1414NA-Code &amp; Signal Lab</t>
  </si>
  <si>
    <t>DC1415NA-Office Building</t>
  </si>
  <si>
    <t>DC1416NA-Operations Building</t>
  </si>
  <si>
    <t>DC1417NA-Public Works Mainten</t>
  </si>
  <si>
    <t>DC1418NA-Admin Building</t>
  </si>
  <si>
    <t>DC1419NA-Public Works Storage</t>
  </si>
  <si>
    <t>DC1420NA-Classified Waste Des</t>
  </si>
  <si>
    <t>DC1422NA-Mechanical Equipment</t>
  </si>
  <si>
    <t>DC1423NA-Bachelor Enlisted Qu</t>
  </si>
  <si>
    <t>DC1426NA-General Purpose Buil</t>
  </si>
  <si>
    <t>DC1427NA-Fire Pump House</t>
  </si>
  <si>
    <t>DC1428NA-Communications &amp; Adp</t>
  </si>
  <si>
    <t>DC1429NA-Supply Storage Build</t>
  </si>
  <si>
    <t>DC1432NA-Nebraska Avenue Comp</t>
  </si>
  <si>
    <t>($194,228)</t>
  </si>
  <si>
    <t>DC1451SE-St E; 27; Staff Res</t>
  </si>
  <si>
    <t>DC1452SE-Ste 33 Det D Hall 34</t>
  </si>
  <si>
    <t>DC1456SE-St E; 40; Circulatin</t>
  </si>
  <si>
    <t>($12,012)</t>
  </si>
  <si>
    <t>DC1460SE-St E; 49; Constructi</t>
  </si>
  <si>
    <t>($54,699)</t>
  </si>
  <si>
    <t>($53,501)</t>
  </si>
  <si>
    <t>DC1469SE-Ste 78 Gatehse 2; 77</t>
  </si>
  <si>
    <t>DC1472SE-2701 Mlk, Jr. Ave, S</t>
  </si>
  <si>
    <t>DC1473SE-Douglas A. Munro</t>
  </si>
  <si>
    <t>($2,027,762)</t>
  </si>
  <si>
    <t>($1,941,786)</t>
  </si>
  <si>
    <t>DE0016ZZ-J. Caleb Boggs Ch Fb</t>
  </si>
  <si>
    <t>FL0002AE-Timberlake Fed Annex</t>
  </si>
  <si>
    <t>FL0004ZZ-Us Crthse Annex</t>
  </si>
  <si>
    <t>FL0009ZZ-Ft. Myers Fed. Bldg.</t>
  </si>
  <si>
    <t>FL0010ZZ-Wilkie D. Ferguson,</t>
  </si>
  <si>
    <t>FL0012ZZ-Sam M. Gibbons Us Co</t>
  </si>
  <si>
    <t>FL0017ZZ-Bryan Simpson Unites</t>
  </si>
  <si>
    <t>FL0019ZZ-Sidney M. Aronovitz</t>
  </si>
  <si>
    <t>FL0025ZZ-U.S. Courthouse Anne</t>
  </si>
  <si>
    <t>FL0029AD-David W. Dyer Fb &amp; C</t>
  </si>
  <si>
    <t>FL0030ZZ-Alto Lee Adams, Sr.</t>
  </si>
  <si>
    <t>FL0033ZZ-Fbi Building</t>
  </si>
  <si>
    <t>FL0039ZZ-Winston E. Arnow Us</t>
  </si>
  <si>
    <t>FL0049ZZ-U. S. Courthouse</t>
  </si>
  <si>
    <t>FL0057ZZ-Golden-Collum Fb-Ct</t>
  </si>
  <si>
    <t>FL0061ZZ-Claude Pepper Fb</t>
  </si>
  <si>
    <t>FL0064AE-R L Timberlake Jr Fb</t>
  </si>
  <si>
    <t>FL0065ZZ-Fb-Po-Ct</t>
  </si>
  <si>
    <t>FL0066AC-Paul G Rogers Fb-Ct</t>
  </si>
  <si>
    <t>FL0067ZZ-Chas. E. Bennett Fb</t>
  </si>
  <si>
    <t>FL0078AD-C. Clyde Atkins U.S.</t>
  </si>
  <si>
    <t>FL0079ZZ-Brickell Plaza Bldg</t>
  </si>
  <si>
    <t>FL0082ZZ-George C. Young Fed.</t>
  </si>
  <si>
    <t>FL0089ZZ-Fb-Ct</t>
  </si>
  <si>
    <t>FL0095AC-Autec Building</t>
  </si>
  <si>
    <t>GA0005ZZ-Po-Ct</t>
  </si>
  <si>
    <t>GA0007ZZ-M. L. King Jr. Fb</t>
  </si>
  <si>
    <t>GA0008ZZ-Elbert P. Tuttle Us</t>
  </si>
  <si>
    <t>GA0009ZZ-U.S. Courthouse</t>
  </si>
  <si>
    <t>GA0010AE-Irs Annex</t>
  </si>
  <si>
    <t>GA0012ZZ-C.B. King Usct</t>
  </si>
  <si>
    <t>GA0019AB-Mers Warehouse</t>
  </si>
  <si>
    <t>GA0025ZZ-Po-Ct</t>
  </si>
  <si>
    <t>GA0030ZZ-John C. Godbold Fede</t>
  </si>
  <si>
    <t>GA0036ZZ-J. Roy Rowland Fed.</t>
  </si>
  <si>
    <t>GA0044ZZ-Fb-Ct</t>
  </si>
  <si>
    <t>GA0057ZZ-William Augustus Boo</t>
  </si>
  <si>
    <t>GA0076ZZ-U.S. Customhouse</t>
  </si>
  <si>
    <t>GA0077AC-Juliette Gordon Low,</t>
  </si>
  <si>
    <t>GA0078ZZ-Tomochichi Fb-Ch</t>
  </si>
  <si>
    <t>GA0080AC-Juliette Gordon Low,</t>
  </si>
  <si>
    <t>GA0081AC-Juliette Gordon Low,</t>
  </si>
  <si>
    <t>GA0087AD-Peachtree Summit Fb</t>
  </si>
  <si>
    <t>GA0103ZZ-Frank M Scarlett Fb</t>
  </si>
  <si>
    <t>GA0114ZZ-Prince H Preston Fb</t>
  </si>
  <si>
    <t>GA0118ZZ-Fb-Po-Ct</t>
  </si>
  <si>
    <t>GA0121ZZ-Richard B. Russell</t>
  </si>
  <si>
    <t>GA0125ZZ-Lewis R. Morgan Fb-P</t>
  </si>
  <si>
    <t>GA0134ZZ-Fb-Po-Ct</t>
  </si>
  <si>
    <t>GA0138ZZ-R.G. Stephens,Jr Fb</t>
  </si>
  <si>
    <t>GA0650AB-Fed Regional Ctr</t>
  </si>
  <si>
    <t>GA0665AB-Pbs Warehouse</t>
  </si>
  <si>
    <t>GA0667AB-Pinetree Blvd</t>
  </si>
  <si>
    <t>GA2637ZZ-Gnann House</t>
  </si>
  <si>
    <t>HI0001ZZ-Federal Building &amp; U</t>
  </si>
  <si>
    <t>HI0002ZZ-U.S. Customs Warehou</t>
  </si>
  <si>
    <t>HI0011ZZ-Prince J. Kuhio Fob</t>
  </si>
  <si>
    <t>HI0013ZZ-Fort Armstrong Parki</t>
  </si>
  <si>
    <t>IA0027ZZ-United States Courth</t>
  </si>
  <si>
    <t>IA0030ZZ-U S Courthouse</t>
  </si>
  <si>
    <t>IA0087ZZ-Fed Bldg &amp; Us Cthse</t>
  </si>
  <si>
    <t>IA0112ZZ-Neal Smith Federal B</t>
  </si>
  <si>
    <t>IA0119ZZ-Fed Bldg Uspo</t>
  </si>
  <si>
    <t>IA0121ZZ-Courthouse</t>
  </si>
  <si>
    <t>ID0025ZZ-James A Mcclure Fed</t>
  </si>
  <si>
    <t>ID0027ZZ-Social Security</t>
  </si>
  <si>
    <t>ID0504EB-Eastport Land Port O</t>
  </si>
  <si>
    <t>($10,460)</t>
  </si>
  <si>
    <t>($5,544)</t>
  </si>
  <si>
    <t>($7,601)</t>
  </si>
  <si>
    <t>ID0507EB-Eastport Fda Modular</t>
  </si>
  <si>
    <t>ID0560PB-Porthill Land Port O</t>
  </si>
  <si>
    <t>IL0032ZZ-Customhouse</t>
  </si>
  <si>
    <t>IL0054ZZ-Federal Building</t>
  </si>
  <si>
    <t>IL0059ZZ-Fed'L Bldg/Us Cthse</t>
  </si>
  <si>
    <t>IL0069ES-Melvin Price Federal</t>
  </si>
  <si>
    <t>IL0154ZZ-Fed Bldg &amp; Us Cthse</t>
  </si>
  <si>
    <t>IL0173ZZ-Paul Findley Buildin</t>
  </si>
  <si>
    <t>IL0200ZZ-Fed Bldg-Po-Us Cthse</t>
  </si>
  <si>
    <t>IL0205ZZ-Everett M. Dirksen</t>
  </si>
  <si>
    <t>IL0206ZZ-William L. Beatty Fb</t>
  </si>
  <si>
    <t>IL0209CF-Federal Archives Rec</t>
  </si>
  <si>
    <t>IL0214ZZ-Ssa Dist Off Bldg</t>
  </si>
  <si>
    <t>IL0220ZZ-Federal Building</t>
  </si>
  <si>
    <t>IL0222ZZ-Federal Building</t>
  </si>
  <si>
    <t>IL0231ZZ-Fed Parking Facility</t>
  </si>
  <si>
    <t>IL0235FC-Uspo Loop Station</t>
  </si>
  <si>
    <t>IL0236FC-John C. Kluczynski F</t>
  </si>
  <si>
    <t>IL0240ZZ-Senator Paul Simon F</t>
  </si>
  <si>
    <t>IL0300ZZ-Gsa Interag Mtr Pool</t>
  </si>
  <si>
    <t>IL0301ES-Melvin Price Fed. Bl</t>
  </si>
  <si>
    <t>IL0302ZZ-U.S. Courthouse</t>
  </si>
  <si>
    <t>IL0303ZZ-Metcalfe Building</t>
  </si>
  <si>
    <t>IL0311ZZ-Stanley J. Roszkowsk</t>
  </si>
  <si>
    <t>IL0313ZZ-208-212 S. State St.</t>
  </si>
  <si>
    <t>IL0314ZZ-214 S. State St.</t>
  </si>
  <si>
    <t>IL0315ZZ-220 S. State St.</t>
  </si>
  <si>
    <t>IL0316ZZ-230 S. State St.</t>
  </si>
  <si>
    <t>IL0317ZZ-18 W. Jackson</t>
  </si>
  <si>
    <t>IL0318ZZ-202 S. State Street</t>
  </si>
  <si>
    <t>IL2125ZZ-11 W Quincy Court</t>
  </si>
  <si>
    <t>IN0031ZZ-E. Ross Adair Federa</t>
  </si>
  <si>
    <t>IN0048ZZ-Birch Bayh Fed Bldg</t>
  </si>
  <si>
    <t>IN0057ZZ-Charles A Halleck Fe</t>
  </si>
  <si>
    <t>IN0096ZZ-Robert Grant Federal</t>
  </si>
  <si>
    <t>IN0126ZZ-Lee H Hamilton F.B.</t>
  </si>
  <si>
    <t>IN0133ZZ-Minton-Capehart F/B</t>
  </si>
  <si>
    <t>IN0300ZZ-U.S. Courthouse</t>
  </si>
  <si>
    <t>IN0604NH-Bldg T 127</t>
  </si>
  <si>
    <t>IN1703ZZ-Major General Emmett</t>
  </si>
  <si>
    <t>KS0070ZZ-U S Court House</t>
  </si>
  <si>
    <t>KS0085ZZ-Social Security Adm</t>
  </si>
  <si>
    <t>KS0086ZZ-Social Security Adm</t>
  </si>
  <si>
    <t>KS0092ZZ-Frank Carlson Fb&amp;Ct</t>
  </si>
  <si>
    <t>KS0094ZZ-Robert J. Dole Us Ct</t>
  </si>
  <si>
    <t>KY0006ZZ-William H. Natcher F</t>
  </si>
  <si>
    <t>KY0008AB-London Crthse Annex</t>
  </si>
  <si>
    <t>KY0013ZZ-Covington U.S. Crths</t>
  </si>
  <si>
    <t>KY0042ZZ-Po-Ct</t>
  </si>
  <si>
    <t>KY0043AB-Fb-Ct</t>
  </si>
  <si>
    <t>KY0045ZZ-Gene Snyder Usct-Cu</t>
  </si>
  <si>
    <t>KY0058ZZ-Federal Building</t>
  </si>
  <si>
    <t>KY0059ZZ-Fb-Ct</t>
  </si>
  <si>
    <t>KY0062ZZ-Po-Ct</t>
  </si>
  <si>
    <t>KY0086ZZ-Romano Mazzoli Fb</t>
  </si>
  <si>
    <t>KY0088ZZ-J. C. Watts Fb</t>
  </si>
  <si>
    <t>KY0089ZZ-Carl D Perkins Fbct</t>
  </si>
  <si>
    <t>LA0002ZZ-Alexandria Uspo/Cour</t>
  </si>
  <si>
    <t>LA0006BT-Baton Rouge Fed Bldg</t>
  </si>
  <si>
    <t>LA0029ZZ-Monroe Federal Bldg/</t>
  </si>
  <si>
    <t>LA0033ZZ-New Orleans Custom H</t>
  </si>
  <si>
    <t>LA0034ZZ-Fe Hebert Federal Bl</t>
  </si>
  <si>
    <t>LA0035ZZ-Jm Wisdom Courthouse</t>
  </si>
  <si>
    <t>LA0066NE-Bpsh New Orleans Bld</t>
  </si>
  <si>
    <t>LA0070ZZ-Ellender Fed Bldg/Po</t>
  </si>
  <si>
    <t>LA0072ZZ-St. Charles Parking</t>
  </si>
  <si>
    <t>LA0085ZZ-H Boggs Fed Bldg/Cou</t>
  </si>
  <si>
    <t>LA0097BT-Long Federal Bldg</t>
  </si>
  <si>
    <t>LA0098ZZ-Shreveport Courthous</t>
  </si>
  <si>
    <t>LA0099ZZ-Jm Shaw Courthouse</t>
  </si>
  <si>
    <t>LA0692NL-Fss Depot Warehouse</t>
  </si>
  <si>
    <t>LA0693NL-Fss Depot Office &amp; G</t>
  </si>
  <si>
    <t>LA0730BR-Gsa Pmd Depot Site</t>
  </si>
  <si>
    <t>LA0731BR-Gsa Pmd Depot Whse 6</t>
  </si>
  <si>
    <t>LA0811NE-Bpsh New Orleans Bld</t>
  </si>
  <si>
    <t>LA0812NE-Bpsh New Orleans Bld</t>
  </si>
  <si>
    <t>LA0813NE-Bpsh New Orleans Bld</t>
  </si>
  <si>
    <t>LA0814NE-Bpsh New Orleans Bld</t>
  </si>
  <si>
    <t>LA0816ZZ-Dhs - Owned Modular</t>
  </si>
  <si>
    <t>MA0011ZZ-Cpt Jf Williams Cg B</t>
  </si>
  <si>
    <t>MA0013ZZ-John W. Mccormack Bu</t>
  </si>
  <si>
    <t>MA0050ZZ-John J. Moakley Cour</t>
  </si>
  <si>
    <t>MA0051ZZ-Springfield Federal</t>
  </si>
  <si>
    <t>MA0076ZZ-Us Custom House</t>
  </si>
  <si>
    <t>MA0113ZZ-Harold D. Donohue Fe</t>
  </si>
  <si>
    <t>MA0129ZZ-Philip J Philbin Fob</t>
  </si>
  <si>
    <t>MA0131ZZ-Jfk Federal Building</t>
  </si>
  <si>
    <t>MA0135ZZ-Ssa</t>
  </si>
  <si>
    <t>MA0136ZZ-Frederick C. Murphy</t>
  </si>
  <si>
    <t>MA0138ZZ-Ssa District Office</t>
  </si>
  <si>
    <t>MA0153ZZ-Thomas P. O Neill Jr</t>
  </si>
  <si>
    <t>MA0158ZZ-Hastings Keith Fb</t>
  </si>
  <si>
    <t>MA0180ZZ-Silvio O. Conte Fb</t>
  </si>
  <si>
    <t>MD0003ZZ-Appraisers Stores</t>
  </si>
  <si>
    <t>MD0006ZZ-Us Customhouse</t>
  </si>
  <si>
    <t>MD0010AG-Suitland Facility-Wi</t>
  </si>
  <si>
    <t>MD0033ZZ-Maude R Toulson Fed</t>
  </si>
  <si>
    <t>MD0044AG-Suitland Federal Cen</t>
  </si>
  <si>
    <t>MD0055ZZ-G H Fallon Fed Bldg</t>
  </si>
  <si>
    <t>MD0056AG-Wash Nat Records Ct</t>
  </si>
  <si>
    <t>MD0068ZZ-Ssa Metro West</t>
  </si>
  <si>
    <t>MD0070AG-Suitland House</t>
  </si>
  <si>
    <t>MD0205ZZ-Ss Metro Center 1</t>
  </si>
  <si>
    <t>MD0232ZZ-Southern Md Courthse</t>
  </si>
  <si>
    <t>MD0250AJ-Doe Germantn Daycare</t>
  </si>
  <si>
    <t>MD0278ZZ-New Carrollton Fed</t>
  </si>
  <si>
    <t>MD0325ZZ-Census Computer Fac.</t>
  </si>
  <si>
    <t>($94,304)</t>
  </si>
  <si>
    <t>MD0331WO-Frc Bldg 32 Office</t>
  </si>
  <si>
    <t>MD0334ZZ-Harvey W. Wiley Fede</t>
  </si>
  <si>
    <t>MD0335LB-Mod Ii</t>
  </si>
  <si>
    <t>MD0415HC-Cms Hdqtrs-Central</t>
  </si>
  <si>
    <t>MD0454HC-Cms Hdqtrs-North</t>
  </si>
  <si>
    <t>($931,148)</t>
  </si>
  <si>
    <t>($38,264)</t>
  </si>
  <si>
    <t>MD0455HC-Cms Hdqtrs-Whse</t>
  </si>
  <si>
    <t>MD0456HC-Cms Hdqtrs-South</t>
  </si>
  <si>
    <t>MD0531AJ-Doe Main Bldg Gtn</t>
  </si>
  <si>
    <t>MD0533AJ-Doe Auditorium</t>
  </si>
  <si>
    <t>MD0534AJ-Doe Radio Bldg</t>
  </si>
  <si>
    <t>MD0538AJ-Doe Old Equip Shed</t>
  </si>
  <si>
    <t>MD0539AJ-Doe New Equip Shed</t>
  </si>
  <si>
    <t>MD0540AJ-Doe Gar B'Hs Bldg</t>
  </si>
  <si>
    <t>MD0665AL-Std Magazine 921-A</t>
  </si>
  <si>
    <t>MD0709WT-Frc Bldg 405 Office</t>
  </si>
  <si>
    <t>($69,667)</t>
  </si>
  <si>
    <t>($315,300)</t>
  </si>
  <si>
    <t>($165,528)</t>
  </si>
  <si>
    <t>($550,496)</t>
  </si>
  <si>
    <t>MD0719WO-Frc Bldg 130 Ofc/Mac</t>
  </si>
  <si>
    <t>MD0727ZZ-Beltsville Off Facil</t>
  </si>
  <si>
    <t>MD0731WO-Frc Childcare Center</t>
  </si>
  <si>
    <t>MD0736ZZ-Frc Bldg 201 Storage</t>
  </si>
  <si>
    <t>MD0737WT-Frc Building 403 Tur</t>
  </si>
  <si>
    <t>MD0758ZZ-Laboratory Center</t>
  </si>
  <si>
    <t>MD0765WO-Frc Building 64 Lab</t>
  </si>
  <si>
    <t>MD0767AG-Noaa Satellite Opera</t>
  </si>
  <si>
    <t>MD0778AG-Census Bureau Office</t>
  </si>
  <si>
    <t>MD0781AG-Suitland Daycare Cen</t>
  </si>
  <si>
    <t>MD0796ZZ-Frc Building 300 Off</t>
  </si>
  <si>
    <t>MD0804WO-Frc Bldg 22 Office</t>
  </si>
  <si>
    <t>MD0810WO-Frc Bldg 100 Cntrl U</t>
  </si>
  <si>
    <t>MD0811WO-Frc Bldg 2 Ctrl Shar</t>
  </si>
  <si>
    <t>MD0816WO-Frc Bldg 62 Lab</t>
  </si>
  <si>
    <t>MD0817WO-Frc Building 66 Offi</t>
  </si>
  <si>
    <t>MD0818WO-Frc North Garage</t>
  </si>
  <si>
    <t>MD0819WO-Frc Facility-Wide Si</t>
  </si>
  <si>
    <t>($28,003,207)</t>
  </si>
  <si>
    <t>($8,216,984)</t>
  </si>
  <si>
    <t>($35,272,121)</t>
  </si>
  <si>
    <t>MD0821WO-Frc Bldg 51 Office</t>
  </si>
  <si>
    <t>MD0822WO-Frc Bldg 31 Ctrl Sha</t>
  </si>
  <si>
    <t>MD0823WO-Frc Building 1 Offic</t>
  </si>
  <si>
    <t>MD0825WO-Frc Bldg 71 Office</t>
  </si>
  <si>
    <t>MD0826WO-Frc Building 52 Lab</t>
  </si>
  <si>
    <t>MD0827WO-Frc Building 72 Lab</t>
  </si>
  <si>
    <t>MD1440ZZ-Edward A Garmatz Us</t>
  </si>
  <si>
    <t>MD1813WO-Frc Southwest Garage</t>
  </si>
  <si>
    <t>MD1815WO-Frc Northeast Garage</t>
  </si>
  <si>
    <t>MD1832ZZ-Frc White Oak Admira</t>
  </si>
  <si>
    <t>MD1833ZZ-Frc White Oak Admira</t>
  </si>
  <si>
    <t>MD1851WO-Frc Building 21 Offi</t>
  </si>
  <si>
    <t>MD1868WO-Frc Bldg 75 Office</t>
  </si>
  <si>
    <t>MD1870WO-Frc Bldg 45 Truck Sc</t>
  </si>
  <si>
    <t>MD1872ZZ-4700 River Road</t>
  </si>
  <si>
    <t>MD1877WO-Frc Bldg 102 Central</t>
  </si>
  <si>
    <t>ME0012BP-Lpoe, St. Pamphile</t>
  </si>
  <si>
    <t>ME0034ZZ-Edward T. Gignoux Co</t>
  </si>
  <si>
    <t>ME0035ZZ-Us Custom House</t>
  </si>
  <si>
    <t>ME0051ZZ-Lpoe, Madawaska</t>
  </si>
  <si>
    <t>ME0061ZZ-M.C. Smith Fb Poch</t>
  </si>
  <si>
    <t>ME0068ZZ-Edmund S Muskie Fb</t>
  </si>
  <si>
    <t>ME0074HO-Usbp Houlton Sector</t>
  </si>
  <si>
    <t>ME0078ZZ-Ssa</t>
  </si>
  <si>
    <t>ME0087ZZ-Parking Facility</t>
  </si>
  <si>
    <t>ME0088ZZ-Lpoe, Fort Kent</t>
  </si>
  <si>
    <t>ME0089HO-Usbp Houlton Intel.</t>
  </si>
  <si>
    <t>($19,128)</t>
  </si>
  <si>
    <t>($7,793)</t>
  </si>
  <si>
    <t>($5,256)</t>
  </si>
  <si>
    <t>($32,177)</t>
  </si>
  <si>
    <t>ME0091ZZ-Lpoe, Milltown</t>
  </si>
  <si>
    <t>($48,019)</t>
  </si>
  <si>
    <t>($46,226)</t>
  </si>
  <si>
    <t>ME0501BC-Lpoe, Ferry Point</t>
  </si>
  <si>
    <t>ME0502BC-Lpoe Secondary Inspe</t>
  </si>
  <si>
    <t>ME0551BE-Lpoe, Coburn Gore</t>
  </si>
  <si>
    <t>($21,295)</t>
  </si>
  <si>
    <t>($5,441)</t>
  </si>
  <si>
    <t>($15,063)</t>
  </si>
  <si>
    <t>ME0552BE-Lpoe Residence 1, Co</t>
  </si>
  <si>
    <t>ME0553BE-Lpoe Residence 2, Co</t>
  </si>
  <si>
    <t>ME0554BE-Lpoe Residence 3, Co</t>
  </si>
  <si>
    <t>ME0555BE-Lpoe Residence 4, Co</t>
  </si>
  <si>
    <t>ME0601BF-Lpoe, Fort Fairfield</t>
  </si>
  <si>
    <t>($4,903)</t>
  </si>
  <si>
    <t>ME0661BH-Lpoe, Houlton</t>
  </si>
  <si>
    <t>($16,763)</t>
  </si>
  <si>
    <t>($53,467)</t>
  </si>
  <si>
    <t>($38,043)</t>
  </si>
  <si>
    <t>ME0662BH-Lpoe Usda Inspection</t>
  </si>
  <si>
    <t>ME0663BH-Lpoe Comm. Inspectio</t>
  </si>
  <si>
    <t>ME0701BL-Lpoe, Limestone</t>
  </si>
  <si>
    <t>($2,651)</t>
  </si>
  <si>
    <t>ME0751BT-Lpoe, Orient</t>
  </si>
  <si>
    <t>ME0823BJ-Lpoe, Jackman</t>
  </si>
  <si>
    <t>($34,381)</t>
  </si>
  <si>
    <t>($21,267)</t>
  </si>
  <si>
    <t>($32,550)</t>
  </si>
  <si>
    <t>ME0824BJ-Lpoe Comm. Inspectio</t>
  </si>
  <si>
    <t>ME0831BV-Lpoe, Vanceboro</t>
  </si>
  <si>
    <t>ME0832BV-Lpoe Garage, Vancebo</t>
  </si>
  <si>
    <t>ME0843BX-Lpoe, Van Buren</t>
  </si>
  <si>
    <t>ME0845BX-Lpoe Comm. Inspectio</t>
  </si>
  <si>
    <t>ME0851BI-Lpoe, Calais Int'L A</t>
  </si>
  <si>
    <t>MI0029ZZ-Theodore Levin Us Co</t>
  </si>
  <si>
    <t>MI0048ZZ-Federal Bldg</t>
  </si>
  <si>
    <t>MI0072ZZ-Fob Us Post Off Cths</t>
  </si>
  <si>
    <t>MI0073ZZ-Charles Chamberlain</t>
  </si>
  <si>
    <t>MI0097ZZ-Federal Bldg &amp; Us Co</t>
  </si>
  <si>
    <t>MI0118ZZ-Federal Bldg</t>
  </si>
  <si>
    <t>MI0131MC-P V Mcnamara F B</t>
  </si>
  <si>
    <t>MI0133MC-Pvm Fed Parking Fac</t>
  </si>
  <si>
    <t>MI0137ZZ-Gerald R. Ford Build</t>
  </si>
  <si>
    <t>MI0143ZZ-Fed Parking Facility</t>
  </si>
  <si>
    <t>MI0146ZZ-National Weather Ser</t>
  </si>
  <si>
    <t>MI0401CI-Cust Cargo Insp Fac</t>
  </si>
  <si>
    <t>($46,775)</t>
  </si>
  <si>
    <t>($5,333)</t>
  </si>
  <si>
    <t>($162,115)</t>
  </si>
  <si>
    <t>($214,224)</t>
  </si>
  <si>
    <t>MI0402ZZ-Ssa Building</t>
  </si>
  <si>
    <t>MI0403CI-Cargo Inspection - V</t>
  </si>
  <si>
    <t>MI0404CI-Cargo Inspection - B</t>
  </si>
  <si>
    <t>MI0405CI-Cargo Inspection Can</t>
  </si>
  <si>
    <t>MI0407CI-Non-Intrusive Inspec</t>
  </si>
  <si>
    <t>MI0501BC-Hart-Dole-Inouye Bld</t>
  </si>
  <si>
    <t>MI0502BC-Fed Ctr Bldg No 1a</t>
  </si>
  <si>
    <t>MI0503BC-Fed Ctr Bldg No 2</t>
  </si>
  <si>
    <t>MI0504BC-Fed Ctr Bldg No 2a</t>
  </si>
  <si>
    <t>MI0505BC-Bldg 2b Federal Cts.</t>
  </si>
  <si>
    <t>MI0506BC-Bldg No 2-C Fed Cntr</t>
  </si>
  <si>
    <t>MI0507BC-Bldg 4 Fed Center</t>
  </si>
  <si>
    <t>MI0508BC-Bldg 4a Federal Ctr</t>
  </si>
  <si>
    <t>MI0509BC-Bldg 5 Fed Center</t>
  </si>
  <si>
    <t>MI0510BC-Bldg 6 Federal Ctr</t>
  </si>
  <si>
    <t>MI0524BC-Bldg 28 Federal Ctr</t>
  </si>
  <si>
    <t>MI0525BC-Bldg 30 Fed Ctr</t>
  </si>
  <si>
    <t>MI0526BC-Bldg 7 Fed Ctr</t>
  </si>
  <si>
    <t>MI0527BC-Bldg 8 Federal Ctr</t>
  </si>
  <si>
    <t>MI0528BC-Bldg 20 Fed Center</t>
  </si>
  <si>
    <t>MI0529BC-Bldg 22 Fed Center</t>
  </si>
  <si>
    <t>MI0531BC-Bldg 24 Fed Center</t>
  </si>
  <si>
    <t>MI0532BC-Bldg 31 Fed Center</t>
  </si>
  <si>
    <t>MI0538BC-Bldg 1b Federal Ctr</t>
  </si>
  <si>
    <t>MI0539BC-Child Care Facility</t>
  </si>
  <si>
    <t>MI0601DI-Rosa Parks Federal B</t>
  </si>
  <si>
    <t>MI0604DI-Federal Garage</t>
  </si>
  <si>
    <t>($1,921)</t>
  </si>
  <si>
    <t>MI0605DI-Federal Boilerhouse</t>
  </si>
  <si>
    <t>MI0724SB-Land Port Of Entry</t>
  </si>
  <si>
    <t>MN0015ZZ-G W Heaney F.B. &amp; Us</t>
  </si>
  <si>
    <t>MN0021ZZ-Edward J. Devitt U.S</t>
  </si>
  <si>
    <t>MN0036ZZ-Federal Building</t>
  </si>
  <si>
    <t>MN0076ZZ-Federal Building</t>
  </si>
  <si>
    <t>MN0084ZZ-Social Security Adm</t>
  </si>
  <si>
    <t>MN0086TC-Bishop Henry Whipple</t>
  </si>
  <si>
    <t>MN0087ZZ-W E Burger Fb &amp; Us C</t>
  </si>
  <si>
    <t>MN0088ZZ-Social Security Adm</t>
  </si>
  <si>
    <t>MN0089GP-Border Station</t>
  </si>
  <si>
    <t>($11,815)</t>
  </si>
  <si>
    <t>($700)</t>
  </si>
  <si>
    <t>MN0092ZZ-U.S. Courthouse</t>
  </si>
  <si>
    <t>MN0300ZZ-U.S. Border Station</t>
  </si>
  <si>
    <t>($14,357)</t>
  </si>
  <si>
    <t>($5,308)</t>
  </si>
  <si>
    <t>($18,449)</t>
  </si>
  <si>
    <t>MN0600ZZ-Border Station</t>
  </si>
  <si>
    <t>($14,484)</t>
  </si>
  <si>
    <t>($7,518)</t>
  </si>
  <si>
    <t>($19,468)</t>
  </si>
  <si>
    <t>MN0650WB-Warroad Port Of Entr</t>
  </si>
  <si>
    <t>($12,549)</t>
  </si>
  <si>
    <t>($7,565)</t>
  </si>
  <si>
    <t>($706)</t>
  </si>
  <si>
    <t>MO0022ZZ-Christopher Bond Cth</t>
  </si>
  <si>
    <t>MO0033AD-Federal Building 41</t>
  </si>
  <si>
    <t>MO0035ZZ-2312 Bannister Feder</t>
  </si>
  <si>
    <t>MO0039ZZ-Federal Bg</t>
  </si>
  <si>
    <t>MO0050ZZ-Charles Evans Whitta</t>
  </si>
  <si>
    <t>MO0095ZZ-Thomas F. Eagleton C</t>
  </si>
  <si>
    <t>MO0096ZZ-Clyde S. Cahill Memo</t>
  </si>
  <si>
    <t>MO0106ZZ-Robt A Young Fed Bld</t>
  </si>
  <si>
    <t>MO0121ZZ-Federal Bg Uspo Ct</t>
  </si>
  <si>
    <t>MO0127ZZ-Richard Bolling Fb</t>
  </si>
  <si>
    <t>MO0134ZZ-8930 Ward Pky Federa</t>
  </si>
  <si>
    <t>MO0147ZZ-Rush Hudson Limbaugh</t>
  </si>
  <si>
    <t>MO0531AD-Fed Bldg No 2</t>
  </si>
  <si>
    <t>MO0532AD-Fed Bldg No 4</t>
  </si>
  <si>
    <t>MO0533AD-Fed Bldg No 50</t>
  </si>
  <si>
    <t>MO0534AD-Fed Bldg No 3</t>
  </si>
  <si>
    <t>MO0536AD-Fed Bldg No 60</t>
  </si>
  <si>
    <t>MO0544AD-Fed Bldg No 1</t>
  </si>
  <si>
    <t>MO0546AD-Federal Building 52</t>
  </si>
  <si>
    <t>MO0547AD-Fed Bldg, No.6</t>
  </si>
  <si>
    <t>MO0548AD-Fed Bldg, No 28</t>
  </si>
  <si>
    <t>MO0551AG-Frc Bldg 100</t>
  </si>
  <si>
    <t>MO0552AG-Fed Rcds Ctr Bg 101</t>
  </si>
  <si>
    <t>MO0553AG-Frc - Bg 102</t>
  </si>
  <si>
    <t>MO0559AJ-Sammy L. Davis Feder</t>
  </si>
  <si>
    <t>MO0562AJ-Sammy L. Davis Feder</t>
  </si>
  <si>
    <t>MO0570AG-Chas F Prevedel Fb</t>
  </si>
  <si>
    <t>MO0601AF-Federal Ctr Bg 101</t>
  </si>
  <si>
    <t>MO0602AF-Federal Ctr Bg 107</t>
  </si>
  <si>
    <t>MO0605AF-Fed Ctr Bg 102e</t>
  </si>
  <si>
    <t>MO0606AF-Federal Ctr Bg 103</t>
  </si>
  <si>
    <t>($432,367)</t>
  </si>
  <si>
    <t>MO0607AF-Fed Ctr Bg 103d</t>
  </si>
  <si>
    <t>MO0608AF-Fed Ctr Bg 103e</t>
  </si>
  <si>
    <t>MO0609AF-Federal Ctr Bg 104</t>
  </si>
  <si>
    <t>($14,641)</t>
  </si>
  <si>
    <t>MO0610AF-Fed Ctr Bg 104e</t>
  </si>
  <si>
    <t>MO0611AF-Fed Ctr Bg 104f</t>
  </si>
  <si>
    <t>MO0612AF-Federal Ctr Bg 105</t>
  </si>
  <si>
    <t>MO0613AF-Fed Ctr Bg 105e</t>
  </si>
  <si>
    <t>MO0614AF-Fed Ctr Bg 105f</t>
  </si>
  <si>
    <t>MO0615AF-Federal Ctr Bg 105l</t>
  </si>
  <si>
    <t>MO0616AF-Fed Ctr Bg 103f</t>
  </si>
  <si>
    <t>MO0617AF-Federal Ctr Bg 115</t>
  </si>
  <si>
    <t>MO0618AF-Federal Ctr Bg 110</t>
  </si>
  <si>
    <t>MO0620AF-Federal Ctr Bg 122b</t>
  </si>
  <si>
    <t>MO0622AF-Elec Sub Sta. 108a</t>
  </si>
  <si>
    <t>MO0623AF-Elec Sub Sta. 108b</t>
  </si>
  <si>
    <t>MO0625AF-Federal Ctr Bg 141c</t>
  </si>
  <si>
    <t>MO0626AF-Federal Ctr Bg 106</t>
  </si>
  <si>
    <t>MO0628AF-Bldg 208b</t>
  </si>
  <si>
    <t>MS0006AA-Dan M. Russell Jr U.</t>
  </si>
  <si>
    <t>MS0007ZZ-U.S. Courthouse</t>
  </si>
  <si>
    <t>MS0008ZZ-United States Courth</t>
  </si>
  <si>
    <t>MS0009AA-Dan M. Russell Jr Ch</t>
  </si>
  <si>
    <t>($4,919)</t>
  </si>
  <si>
    <t>MS0065ZZ-Fb-Po-Ct</t>
  </si>
  <si>
    <t>MS0072ZZ-Wm M. Colmer Fb-Ct</t>
  </si>
  <si>
    <t>MS0079ZZ-United States Courth</t>
  </si>
  <si>
    <t>MS0082ZZ-T. G. Abernethy Fb</t>
  </si>
  <si>
    <t>MS0083ZZ-Dr. A. H. Mc Coy Fb</t>
  </si>
  <si>
    <t>MT0004ZZ-Mike Mansfield Fb /</t>
  </si>
  <si>
    <t>MT0017ZZ-Fb-Po-Ct</t>
  </si>
  <si>
    <t>MT0042ZZ-Bdr Patrol Sector Hq</t>
  </si>
  <si>
    <t>MT0046ZZ-Fb/Po Bozeman, Mt</t>
  </si>
  <si>
    <t>MT0050ZZ-James F. Battin U..S</t>
  </si>
  <si>
    <t>MT0055AW-Turner Port Of Entry</t>
  </si>
  <si>
    <t>($1,700)</t>
  </si>
  <si>
    <t>($11,419)</t>
  </si>
  <si>
    <t>($5,466)</t>
  </si>
  <si>
    <t>MT0056AW-Turner Port Of Entry</t>
  </si>
  <si>
    <t>($48)</t>
  </si>
  <si>
    <t>($412)</t>
  </si>
  <si>
    <t>MT0057AW-Turner Port Of Entry</t>
  </si>
  <si>
    <t>($385)</t>
  </si>
  <si>
    <t>MT0501AD-Chief Mountain Poe</t>
  </si>
  <si>
    <t>($4,168)</t>
  </si>
  <si>
    <t>($6,005)</t>
  </si>
  <si>
    <t>($374)</t>
  </si>
  <si>
    <t>($10,547)</t>
  </si>
  <si>
    <t>MT0502AD-Chief Mtn Port Of En</t>
  </si>
  <si>
    <t>MT0503AD-Chief Mountain Port</t>
  </si>
  <si>
    <t>MT0551AE-Piegan Port Of Entry</t>
  </si>
  <si>
    <t>MT0555AE-Piegan Poe</t>
  </si>
  <si>
    <t>($23,256)</t>
  </si>
  <si>
    <t>($15,343)</t>
  </si>
  <si>
    <t>($28,444)</t>
  </si>
  <si>
    <t>($67,043)</t>
  </si>
  <si>
    <t>MT0557AE-Piegan Port Of Entry</t>
  </si>
  <si>
    <t>MT0559AE-Piegan Port Of Entry</t>
  </si>
  <si>
    <t>MT0560AE-Piegan Poe</t>
  </si>
  <si>
    <t>MT0561AE-Piegan Port Of Entry</t>
  </si>
  <si>
    <t>MT0563AE-Piegan Port Of Entry</t>
  </si>
  <si>
    <t>MT0590AE-Piegan Border Statio</t>
  </si>
  <si>
    <t>MT0653AF-Raymond Port Of Entr</t>
  </si>
  <si>
    <t>($48,963)</t>
  </si>
  <si>
    <t>($42,922)</t>
  </si>
  <si>
    <t>($24,745)</t>
  </si>
  <si>
    <t>($116,631)</t>
  </si>
  <si>
    <t>MT0654AF-Raymond Port Of Entr</t>
  </si>
  <si>
    <t>MT0655AF-Raymond Port Of Entr</t>
  </si>
  <si>
    <t>MT0705AG-Roosville Port Of En</t>
  </si>
  <si>
    <t>($62,228)</t>
  </si>
  <si>
    <t>($70,027)</t>
  </si>
  <si>
    <t>($51,762)</t>
  </si>
  <si>
    <t>($184,017)</t>
  </si>
  <si>
    <t>MT0706AG-Roosville Port Of En</t>
  </si>
  <si>
    <t>MT0707AG-Roosville Port Of En</t>
  </si>
  <si>
    <t>MT0708AG-Roosville Port Of En</t>
  </si>
  <si>
    <t>MT0767AI-Sweetgrass Port Of E</t>
  </si>
  <si>
    <t>($128,269)</t>
  </si>
  <si>
    <t>($48,763)</t>
  </si>
  <si>
    <t>($145,212)</t>
  </si>
  <si>
    <t>($322,244)</t>
  </si>
  <si>
    <t>MT0768AI-Sweetgrass Port Of E</t>
  </si>
  <si>
    <t>MT0769AI-Sweetgrass Prot Of E</t>
  </si>
  <si>
    <t>MT0770AI-Sweetgrass Port Of E</t>
  </si>
  <si>
    <t>NC0002AE-Veach-Baley Federal</t>
  </si>
  <si>
    <t>NC0005AE-Fb-Ct</t>
  </si>
  <si>
    <t>NC0011ZZ-U.S. Post Office Cou</t>
  </si>
  <si>
    <t>NC0020ZZ-J Herbert W Small Fb</t>
  </si>
  <si>
    <t>NC0028ZZ-L.R.Preyer Fb-Po-Ct</t>
  </si>
  <si>
    <t>NC0029ZZ-Us Courthouse</t>
  </si>
  <si>
    <t>NC0058ZZ-Fb-Po Cent.Station</t>
  </si>
  <si>
    <t>NC0072ZZ-United States Courth</t>
  </si>
  <si>
    <t>NC0085ZZ-Alton Lennon Fb-Ct</t>
  </si>
  <si>
    <t>NC0092ZZ-Fb-Po-Ct</t>
  </si>
  <si>
    <t>NC0095ZZ-J. J. Hayes Fb</t>
  </si>
  <si>
    <t>NC0111AB-Terry Sanford Federa</t>
  </si>
  <si>
    <t>NC0113ZZ-Hiram H. Ward Fb &amp; C</t>
  </si>
  <si>
    <t>ND0002ZZ-Fb</t>
  </si>
  <si>
    <t>ND0006ZZ-Fb-Ct</t>
  </si>
  <si>
    <t>ND0008ZZ-Ronald N. Davies Fed</t>
  </si>
  <si>
    <t>ND0014ZZ-Judge Bruce M. Van S</t>
  </si>
  <si>
    <t>ND0018ZZ-Po-Cu</t>
  </si>
  <si>
    <t>ND0032ZZ-Bdr Patrol Sector Hq</t>
  </si>
  <si>
    <t>ND0037ZZ-William L. Guy Fb/Po</t>
  </si>
  <si>
    <t>ND0038ZZ-Federal Parking Lot</t>
  </si>
  <si>
    <t>ND0045ZZ-Social Security Bldg</t>
  </si>
  <si>
    <t>ND0046ZZ-Fb-Po</t>
  </si>
  <si>
    <t>ND0047ZZ-Quentin N. Burdick C</t>
  </si>
  <si>
    <t>ND0501AK-Ambrose Port Of Entr</t>
  </si>
  <si>
    <t>ND0511AL-Dunseith Port Of Ent</t>
  </si>
  <si>
    <t>($35,875)</t>
  </si>
  <si>
    <t>($6,776)</t>
  </si>
  <si>
    <t>($36,077)</t>
  </si>
  <si>
    <t>ND0514AL-Dunseith Port Of Ent</t>
  </si>
  <si>
    <t>ND0515AL-Dunseith Port Of Ent</t>
  </si>
  <si>
    <t>ND0523AM-Portal Port Of Entry</t>
  </si>
  <si>
    <t>($53,487)</t>
  </si>
  <si>
    <t>($10,865)</t>
  </si>
  <si>
    <t>($3,727)</t>
  </si>
  <si>
    <t>($68,079)</t>
  </si>
  <si>
    <t>ND0524AM-Portal Non-Commercia</t>
  </si>
  <si>
    <t>ND0525AM-Portal Nii</t>
  </si>
  <si>
    <t>ND0526AM-Portal Garage/Traini</t>
  </si>
  <si>
    <t>ND0527AM-Portal Border Patrol</t>
  </si>
  <si>
    <t>($8,034)</t>
  </si>
  <si>
    <t>ND0528AM-Gsa Storage Garage</t>
  </si>
  <si>
    <t>ND0531AN-St John Port Of Entr</t>
  </si>
  <si>
    <t>ND0534AN-St. John Support Bld</t>
  </si>
  <si>
    <t>ND0545AO-Pembina Port Of Entr</t>
  </si>
  <si>
    <t>($175,353)</t>
  </si>
  <si>
    <t>($115,266)</t>
  </si>
  <si>
    <t>($133,582)</t>
  </si>
  <si>
    <t>($424,201)</t>
  </si>
  <si>
    <t>ND0546AO-Pembina Port Of Entr</t>
  </si>
  <si>
    <t>ND0547AO-Pembina Port Of Entr</t>
  </si>
  <si>
    <t>ND0549AO-Vacis</t>
  </si>
  <si>
    <t>NE0018ZZ-Federal Bg</t>
  </si>
  <si>
    <t>NE0036ZZ-Hruska Us Courthouse</t>
  </si>
  <si>
    <t>NE0051ZZ-Edward Zorinsky Fed</t>
  </si>
  <si>
    <t>NE0056ZZ-Federal Bg Uspo Cths</t>
  </si>
  <si>
    <t>NE0531ZZ-Robert Denney Fb&amp;Ct</t>
  </si>
  <si>
    <t>NH0030ZZ-James C. Cleveland F</t>
  </si>
  <si>
    <t>NH0033ZZ-Ssa</t>
  </si>
  <si>
    <t>NH0036ZZ-Thomas J Mcintyre Fb</t>
  </si>
  <si>
    <t>NH0037ZZ-Norris Cotton Fb</t>
  </si>
  <si>
    <t>NH0038ZZ-Warren B. Rudman Us</t>
  </si>
  <si>
    <t>NJ0015ZZ-U.S. Post Office &amp; C</t>
  </si>
  <si>
    <t>NJ0056ZZ-Fed. Bldg. 20 Washin</t>
  </si>
  <si>
    <t>NJ0088ZZ-Clarkson S Fisher Fb</t>
  </si>
  <si>
    <t>NJ0108ZZ-Peter W. Rodino Fb</t>
  </si>
  <si>
    <t>NJ0114ZZ-Ssa Trust Fund Bldg.</t>
  </si>
  <si>
    <t>NJ0119ZZ-Ssa Trust Fund Bldg-</t>
  </si>
  <si>
    <t>($3,387)</t>
  </si>
  <si>
    <t>NJ0144ZZ-Mlk, Jr Courthouse</t>
  </si>
  <si>
    <t>NJ0145ZZ-Robert A. Roe Fb</t>
  </si>
  <si>
    <t>NJ0148ZZ-Rodino Childcare Cen</t>
  </si>
  <si>
    <t>NJ0511SJ-Bldg 0511 Scale Hous</t>
  </si>
  <si>
    <t>NJ5002ZZ-Clarkson S Fisher Us</t>
  </si>
  <si>
    <t>NJ5003ZZ-Mitchell H Cohen Us</t>
  </si>
  <si>
    <t>NM0015SN-Campos Federal Court</t>
  </si>
  <si>
    <t>NM0030ZZ-D Chavez Federal Bld</t>
  </si>
  <si>
    <t>NM0032SN-Montoya Federal Bldg</t>
  </si>
  <si>
    <t>NM0035ZZ-Roswell Federal Buil</t>
  </si>
  <si>
    <t>NM0037ZZ-Albuquerque Federal</t>
  </si>
  <si>
    <t>NM0038ZZ-Gallup Federal Bldg</t>
  </si>
  <si>
    <t>NM0042ZZ-Runnels Federal Bldg</t>
  </si>
  <si>
    <t>NM0045ZZ-6th Street Parking L</t>
  </si>
  <si>
    <t>NM0047ZZ-Gsa Motor Pool Site</t>
  </si>
  <si>
    <t>NM0048CL-Usbs Columbus Admin</t>
  </si>
  <si>
    <t>($42,980)</t>
  </si>
  <si>
    <t>($12,398)</t>
  </si>
  <si>
    <t>($42,195)</t>
  </si>
  <si>
    <t>($97,573)</t>
  </si>
  <si>
    <t>NM0050ZZ-Pete Domenici Courth</t>
  </si>
  <si>
    <t>NM0061ZZ-Las Cruces Courthous</t>
  </si>
  <si>
    <t>NM0062CL-Usbs Columbus Dot Mo</t>
  </si>
  <si>
    <t>($3,814)</t>
  </si>
  <si>
    <t>($1,208)</t>
  </si>
  <si>
    <t>NM0063CL-Usbs Columbus Primar</t>
  </si>
  <si>
    <t>NM0064CL-Usbs Columbus Second</t>
  </si>
  <si>
    <t>NM0065CL-Usbs Columbus Kennel</t>
  </si>
  <si>
    <t>NM0066CL-Usbs Columbus Import</t>
  </si>
  <si>
    <t>NM0068CL-Usbs Columbus Dot-Fm</t>
  </si>
  <si>
    <t>NM0069CL-Usbs Columbus Mod Bl</t>
  </si>
  <si>
    <t>NM0501ZZ-Albuquerque Post Off</t>
  </si>
  <si>
    <t>NM0502ZZ-Albuquerque Courthou</t>
  </si>
  <si>
    <t>NM0511AA-Fss Warehouse Depot</t>
  </si>
  <si>
    <t>NM0512AA-Motor Pool</t>
  </si>
  <si>
    <t>NM0560ST-Usbs Santa Teresa Ad</t>
  </si>
  <si>
    <t>($89,679)</t>
  </si>
  <si>
    <t>($74,133)</t>
  </si>
  <si>
    <t>($140,547)</t>
  </si>
  <si>
    <t>NM0561ST-Usbs Santa Teresa Pr</t>
  </si>
  <si>
    <t>NM0562ST-Usbs Santa Teresa Se</t>
  </si>
  <si>
    <t>NM0563ST-Usbs Santa Teresa Ex</t>
  </si>
  <si>
    <t>NM0564ST-Usbs Santa Teresa Im</t>
  </si>
  <si>
    <t>NM0565ST-Usbs Santa Teresa Do</t>
  </si>
  <si>
    <t>NM0566ST-Usbs Santa Teresa Em</t>
  </si>
  <si>
    <t>NM0567ST-Usbs Santa Teresa Ex</t>
  </si>
  <si>
    <t>NM0568ST-Usbs Santa Teresa Tr</t>
  </si>
  <si>
    <t>NM0571ST-Usbs Santa Teresa Va</t>
  </si>
  <si>
    <t>NM8003ST-Usbs Santa Teresa Si</t>
  </si>
  <si>
    <t>NV0012ZZ-C. Clifton Young Fob</t>
  </si>
  <si>
    <t>NV0013ZZ-Foley Fob &amp; Courthou</t>
  </si>
  <si>
    <t>NV0014ZZ-Federal Building</t>
  </si>
  <si>
    <t>NV0288ZZ-Alan Bible Federal B</t>
  </si>
  <si>
    <t>NV0294ZZ-Bruce R. Thompson Co</t>
  </si>
  <si>
    <t>NV0304ZZ-Lloyd D. George Cour</t>
  </si>
  <si>
    <t>NY0002ZZ-James T. Foley Uspo</t>
  </si>
  <si>
    <t>NY0016ZZ-Fed Bldg &amp; Cthse-Bin</t>
  </si>
  <si>
    <t>NY0026ZZ-Michael J. Dillon Co</t>
  </si>
  <si>
    <t>NY0059ZZ-Border Station--Fort</t>
  </si>
  <si>
    <t>($19,171)</t>
  </si>
  <si>
    <t>($4,589)</t>
  </si>
  <si>
    <t>($2,961)</t>
  </si>
  <si>
    <t>($26,721)</t>
  </si>
  <si>
    <t>NY0128ZZ-Federal Bldg--201 Va</t>
  </si>
  <si>
    <t>NY0130ZZ-Thurgood Marshall Us</t>
  </si>
  <si>
    <t>NY0131ZZ-Alex Hamilton Us Cus</t>
  </si>
  <si>
    <t>NY0196ZZ-Border Stn Overton--</t>
  </si>
  <si>
    <t>($966)</t>
  </si>
  <si>
    <t>($8,153)</t>
  </si>
  <si>
    <t>($142)</t>
  </si>
  <si>
    <t>($9,261)</t>
  </si>
  <si>
    <t>NY0197ZZ-Border Stn St Johns</t>
  </si>
  <si>
    <t>($4,072)</t>
  </si>
  <si>
    <t>($295)</t>
  </si>
  <si>
    <t>NY0216ZZ-Border Station--Trou</t>
  </si>
  <si>
    <t>($23,828)</t>
  </si>
  <si>
    <t>($6,601)</t>
  </si>
  <si>
    <t>($6,895)</t>
  </si>
  <si>
    <t>($37,324)</t>
  </si>
  <si>
    <t>NY0218ZZ-Alexander Pirnie Fb</t>
  </si>
  <si>
    <t>NY0234ZZ-Conrad B Duberstein</t>
  </si>
  <si>
    <t>NY0270ZZ-Emanuel Celler Us Co</t>
  </si>
  <si>
    <t>NY0281ZZ-James M Hanley Fb</t>
  </si>
  <si>
    <t>NY0282ZZ-Jacob K. Javits Fb/C</t>
  </si>
  <si>
    <t>NY0300ZZ-Leo W Obrien Fb</t>
  </si>
  <si>
    <t>NY0304ZZ-Kenneth B Keating Fb</t>
  </si>
  <si>
    <t>NY0311ZZ-Howard Street Garage</t>
  </si>
  <si>
    <t>NY0323ZZ-Silvio V Mollo Fb</t>
  </si>
  <si>
    <t>NY0349ZZ-Joseph P. Addabbo Fb</t>
  </si>
  <si>
    <t>NY0350ZZ-Ted Weiss Federal Bu</t>
  </si>
  <si>
    <t>NY0351ZZ-Daniel P Moynihan Us</t>
  </si>
  <si>
    <t>NY0353ZZ-Charles L Brieant, J</t>
  </si>
  <si>
    <t>($55,921)</t>
  </si>
  <si>
    <t>NY0354AB-Administration Bldg-</t>
  </si>
  <si>
    <t>($157,337)</t>
  </si>
  <si>
    <t>($58,907)</t>
  </si>
  <si>
    <t>($109,018)</t>
  </si>
  <si>
    <t>($325,261)</t>
  </si>
  <si>
    <t>NY0355ZZ-Alfonse M. D'Amato U</t>
  </si>
  <si>
    <t>NY0361CB-Mech Equip Garage--C</t>
  </si>
  <si>
    <t>NY0369ZZ-Ronald H. Brown U.S.</t>
  </si>
  <si>
    <t>($539,016)</t>
  </si>
  <si>
    <t>NY0371ZZ-Robert H Jackson Us</t>
  </si>
  <si>
    <t>NY0372ZZ-Alfonse D'Amato Chil</t>
  </si>
  <si>
    <t>NY0374CB-Vacis Building</t>
  </si>
  <si>
    <t>NY0375MB-Administrative Bldg-</t>
  </si>
  <si>
    <t>($197,194)</t>
  </si>
  <si>
    <t>($72,195)</t>
  </si>
  <si>
    <t>($83,858)</t>
  </si>
  <si>
    <t>($353,247)</t>
  </si>
  <si>
    <t>NY0376ZZ-Irs Service Center--</t>
  </si>
  <si>
    <t>NY0387AB-Comm Inspection Fclt</t>
  </si>
  <si>
    <t>NY0390CB-Administrative Bldg-</t>
  </si>
  <si>
    <t>($1,336,851)</t>
  </si>
  <si>
    <t>($405,987)</t>
  </si>
  <si>
    <t>($318,888)</t>
  </si>
  <si>
    <t>($2,061,725)</t>
  </si>
  <si>
    <t>NY0395CB-Cargo Building</t>
  </si>
  <si>
    <t>NY0396CB-Export Control Build</t>
  </si>
  <si>
    <t>NY0397CB-Vet Service Building</t>
  </si>
  <si>
    <t>NY0399ZZ-Theodore Roosevelt U</t>
  </si>
  <si>
    <t>NY0400CI-Cargo Processing Bui</t>
  </si>
  <si>
    <t>NY0402MB-Non-Intrusive Inspec</t>
  </si>
  <si>
    <t>NY0403MB-Maintenance Garage</t>
  </si>
  <si>
    <t>NY0404MB-Secondary Inspection</t>
  </si>
  <si>
    <t>NY0405CB-Targeted Enforcement</t>
  </si>
  <si>
    <t>NY0406CB-Secondary Inspection</t>
  </si>
  <si>
    <t>NY0416CB-Non-Intrusive Inspec</t>
  </si>
  <si>
    <t>NY0501IY-Administration Bldg-</t>
  </si>
  <si>
    <t>NY0509IY-Warehouse =10--Bingh</t>
  </si>
  <si>
    <t>NY0586CI-Inspection Building-</t>
  </si>
  <si>
    <t>($23,631)</t>
  </si>
  <si>
    <t>($7,244)</t>
  </si>
  <si>
    <t>($28,675)</t>
  </si>
  <si>
    <t>($59,550)</t>
  </si>
  <si>
    <t>NY0626MI-Inspection Building-</t>
  </si>
  <si>
    <t>($3,479)</t>
  </si>
  <si>
    <t>NY0651OC-Robert Mcewen Us Cus</t>
  </si>
  <si>
    <t>NY0766SY-Bldg506 Gsadepotwhse</t>
  </si>
  <si>
    <t>OH0028CN-Potter Stewart U.S.</t>
  </si>
  <si>
    <t>OH0033ZZ-Metzenbaum U.S. Cour</t>
  </si>
  <si>
    <t>OH0046ZZ-Kinneary Us Cthse</t>
  </si>
  <si>
    <t>OH0100ZZ-Donald J. Pease Fede</t>
  </si>
  <si>
    <t>OH0143ZZ-James M. Ashley And</t>
  </si>
  <si>
    <t>OH0189CN-John Weld Peck</t>
  </si>
  <si>
    <t>OH0192ZZ-A J Celebrezze Fb</t>
  </si>
  <si>
    <t>OH0194ZZ-John F Seiberling Fb</t>
  </si>
  <si>
    <t>OH0195ZZ-Fed Bldg &amp; Us Cthse</t>
  </si>
  <si>
    <t>OH0196ZZ-Fed Parking Facility</t>
  </si>
  <si>
    <t>OH0208CL-Bricker Federal Bldg</t>
  </si>
  <si>
    <t>OH0209CL-Fed Parking Facility</t>
  </si>
  <si>
    <t>OH0215ZZ-Thomas D Lambros Fob</t>
  </si>
  <si>
    <t>OH0301ZZ-Carl B Stokes U.S. C</t>
  </si>
  <si>
    <t>OH0302ZZ-Nathaniel R Jones Fb</t>
  </si>
  <si>
    <t>OH0514DD-Warehouse 4</t>
  </si>
  <si>
    <t>OK0039ZZ-C Albert Fed Bldg/Co</t>
  </si>
  <si>
    <t>OK0041ZZ-Ed Edmondson U.S. Co</t>
  </si>
  <si>
    <t>OK0046CT-Okc Post Office/Cour</t>
  </si>
  <si>
    <t>OK0063ZZ-Tulsa Federal Bldg</t>
  </si>
  <si>
    <t>OK0072CT-Okc Federal Bldg/Cou</t>
  </si>
  <si>
    <t>OK0074ZZ-Lawton Federal Bldg/</t>
  </si>
  <si>
    <t>OK0099CT-Okc Federal Parking</t>
  </si>
  <si>
    <t>OK0101ZZ-Oklahoma City Federa</t>
  </si>
  <si>
    <t>OK0503OC-Gsa Pmd Center Wareh</t>
  </si>
  <si>
    <t>OK0504OC-Gsa Pmd Center Maint</t>
  </si>
  <si>
    <t>OK0510OC-Gsa Pmd Center Wareh</t>
  </si>
  <si>
    <t>OK0511OC-Gsa Pmd Center Admin</t>
  </si>
  <si>
    <t>OR0018ZZ-J A Redden Us Cths</t>
  </si>
  <si>
    <t>OR0023ZZ-Gus J. Solomon Cthse</t>
  </si>
  <si>
    <t>OR0024ZZ-The Pioneer Cthse</t>
  </si>
  <si>
    <t>OR0033PE-911 Federal Bldg</t>
  </si>
  <si>
    <t>OR0043ZZ-E.Green - W.Wyatt Fb</t>
  </si>
  <si>
    <t>OR0045ZZ-David J. Wheeler Fb</t>
  </si>
  <si>
    <t>OR0051ZZ-Eugene Federal Build</t>
  </si>
  <si>
    <t>OR0052ZZ-Mark O. Hatfield U.S</t>
  </si>
  <si>
    <t>OR0053ZZ-Wayne L. Morse Us Ct</t>
  </si>
  <si>
    <t>OR0501PT-Troutdale West Fed W</t>
  </si>
  <si>
    <t>OR0521MM-Usgs Building</t>
  </si>
  <si>
    <t>PA0064ZZ-Fb &amp; Courthouse</t>
  </si>
  <si>
    <t>PA0143ZZ-Robt N C Nix Fb Uspo</t>
  </si>
  <si>
    <t>PA0144ZZ-Us Customhouse</t>
  </si>
  <si>
    <t>PA0158ZZ-United States Courth</t>
  </si>
  <si>
    <t>PA0182NC-William J Nealon Fb-</t>
  </si>
  <si>
    <t>PA0233ZZ-William S. Moorhead</t>
  </si>
  <si>
    <t>PA0235ZZ-Herman T. Schneebeli</t>
  </si>
  <si>
    <t>PA0260ZZ-Ssa Trust Fund Bldg.</t>
  </si>
  <si>
    <t>PA0261ZZ-122 W 3rd St Buildin</t>
  </si>
  <si>
    <t>PA0267ZZ-Ronald Reagan Federa</t>
  </si>
  <si>
    <t>PA0276ZZ-Ssa Trust Fund Bldg.</t>
  </si>
  <si>
    <t>PA0277BG-Wm J Green Jr Fb</t>
  </si>
  <si>
    <t>PA0278BG-James A Byrne Us Cou</t>
  </si>
  <si>
    <t>PA0280ZZ-6117 Penn Circle</t>
  </si>
  <si>
    <t>PA0515AT-Veterans Administrat</t>
  </si>
  <si>
    <t>PA0588ZZ-Edward N Cahn Fb-Us</t>
  </si>
  <si>
    <t>PA0599NC-William J Nealon Us</t>
  </si>
  <si>
    <t>PA0600ZZ-New Construction Ann</t>
  </si>
  <si>
    <t>PA0644ZZ-Erie Library</t>
  </si>
  <si>
    <t>PA0776ZZ-The Baker Building</t>
  </si>
  <si>
    <t>PA0784ZZ-New Harrisburg Court</t>
  </si>
  <si>
    <t>PR0003ZZ-Jose V. Toledo Fb &amp;</t>
  </si>
  <si>
    <t>PR0017ZZ-Degetau Fb &amp; Ruiz-Na</t>
  </si>
  <si>
    <t>PR0023ZZ-Degetau Child Care C</t>
  </si>
  <si>
    <t>PR0024ZZ-150 Carlos Chardon</t>
  </si>
  <si>
    <t>PR0521FP-Gsa Center--Guaynabo</t>
  </si>
  <si>
    <t>RI0009ZZ-Federal Bldg Usct</t>
  </si>
  <si>
    <t>RI0010ZZ-J O Pastore Fb Uspo</t>
  </si>
  <si>
    <t>SC0002ZZ-Charles E. Simon Usc</t>
  </si>
  <si>
    <t>SC0004ZZ-G. Ross Anderson Jr.</t>
  </si>
  <si>
    <t>SC0010ZZ-Matthew Perry Usct</t>
  </si>
  <si>
    <t>SC0011ZZ-U.S. Customhouse</t>
  </si>
  <si>
    <t>SC0012AC-Po-Ct</t>
  </si>
  <si>
    <t>SC0013ZZ-Matthew J. Perry, Jr</t>
  </si>
  <si>
    <t>SC0018ZZ-J. Bratton Davis Us</t>
  </si>
  <si>
    <t>SC0020ZZ-Varo Bldg</t>
  </si>
  <si>
    <t>SC0028ZZ-C.F.Haynsworth Fbct</t>
  </si>
  <si>
    <t>SC0041ZZ-Donald Stuart Russel</t>
  </si>
  <si>
    <t>SC0058ZZ-J.L. Mcmillan Fb-Ct</t>
  </si>
  <si>
    <t>SC0068AA-Strom Thurmond Fb</t>
  </si>
  <si>
    <t>SC0069AA-Strom Thurmond Cths</t>
  </si>
  <si>
    <t>($3,875)</t>
  </si>
  <si>
    <t>SC0076AC-Hollings Jud Ctr</t>
  </si>
  <si>
    <t>SD0021ZZ-U.S. Courthouse</t>
  </si>
  <si>
    <t>SD0034ZZ-Fb-Po-Ct</t>
  </si>
  <si>
    <t>SD0035ZZ-Andrew W. Bogue Fb/C</t>
  </si>
  <si>
    <t>SD0038ZZ-Fb</t>
  </si>
  <si>
    <t>SD0040ZZ-Fb</t>
  </si>
  <si>
    <t>TN0004ZZ-Howard Baker Jr Cths</t>
  </si>
  <si>
    <t>TN0006ZZ-Joel W.Solomon Fbct</t>
  </si>
  <si>
    <t>TN0010ZZ-Fb-Ct</t>
  </si>
  <si>
    <t>TN0011ZZ-L. Clure Morton Us P</t>
  </si>
  <si>
    <t>TN0012ZZ-James H. Quillen Usc</t>
  </si>
  <si>
    <t>TN0013ZZ-Fb/Cths</t>
  </si>
  <si>
    <t>TN0016ZZ-Tenn Care Bldg</t>
  </si>
  <si>
    <t>TN0021ZZ-416 Cumberland Ave S</t>
  </si>
  <si>
    <t>TN0029ZZ-Ed Jones Fb-Ct</t>
  </si>
  <si>
    <t>TN0052AA-E Kefauver Fed Bldg</t>
  </si>
  <si>
    <t>TN0076ZZ-John J. Duncan Fb</t>
  </si>
  <si>
    <t>TN0088ZZ-Clifford Davis-Odell</t>
  </si>
  <si>
    <t>TN0096ZZ-Fb-Po-Ct</t>
  </si>
  <si>
    <t>TN0098ZZ-Joe L. Evins Fb</t>
  </si>
  <si>
    <t>TN0111AA-Estes Kefauver Fb-Ct</t>
  </si>
  <si>
    <t>TN0112AA-Estes Kefauver Fb-Ct</t>
  </si>
  <si>
    <t>TX0006ZZ-Jm Jones Federal Bld</t>
  </si>
  <si>
    <t>TX0012ZZ-Austin Courthouse</t>
  </si>
  <si>
    <t>TX0019ZZ-J Brooks Federal Bld</t>
  </si>
  <si>
    <t>TX0020DO-Usbs Donna Admin Bld</t>
  </si>
  <si>
    <t>($111,219)</t>
  </si>
  <si>
    <t>($118,151)</t>
  </si>
  <si>
    <t>($221,535)</t>
  </si>
  <si>
    <t>TX0022DO-Usbs Donna Headhouse</t>
  </si>
  <si>
    <t>TX0023DO-Usbs Donna Primary S</t>
  </si>
  <si>
    <t>TX0024DO-Usbs Donna Kennel</t>
  </si>
  <si>
    <t>TX0025DO-Usbs Donna Outbound</t>
  </si>
  <si>
    <t>TX0026DO-Usbs Donna Outbound</t>
  </si>
  <si>
    <t>TX0057ZZ-Terminal Annex Feder</t>
  </si>
  <si>
    <t>TX0058DA-Santa Fe Federal Bld</t>
  </si>
  <si>
    <t>TX0069ZZ-El Paso Courthouse</t>
  </si>
  <si>
    <t>TX0072FB-Usbs Fabens Admin Bl</t>
  </si>
  <si>
    <t>($652)</t>
  </si>
  <si>
    <t>TX0075ZZ-Eldon B. Mahon Us Co</t>
  </si>
  <si>
    <t>TX0081ZZ-Galveston Uspo/Court</t>
  </si>
  <si>
    <t>($73,504)</t>
  </si>
  <si>
    <t>TX0101ZZ-Houston Customs Hous</t>
  </si>
  <si>
    <t>TX0116CV-Usbs Convent</t>
  </si>
  <si>
    <t>($322)</t>
  </si>
  <si>
    <t>($76,928)</t>
  </si>
  <si>
    <t>($76,254)</t>
  </si>
  <si>
    <t>TX0126ZZ-Wr Burke Courthouse</t>
  </si>
  <si>
    <t>TX0130ZZ-Sb Hall Jr Federal B</t>
  </si>
  <si>
    <t>TX0163ZZ-Oc Fisher Fed Bldg/C</t>
  </si>
  <si>
    <t>TX0164ZZ-Hipolito F. Garcia F</t>
  </si>
  <si>
    <t>TX0182TY-Tyler Post Office/Co</t>
  </si>
  <si>
    <t>TX0185ZZ-Ml King Jr Federal B</t>
  </si>
  <si>
    <t>($15,050)</t>
  </si>
  <si>
    <t>TX0201EP-Usbs Eagle Pass I Ad</t>
  </si>
  <si>
    <t>($107,877)</t>
  </si>
  <si>
    <t>($78,741)</t>
  </si>
  <si>
    <t>($155,684)</t>
  </si>
  <si>
    <t>TX0210ZZ-Sherman Federal Bldg</t>
  </si>
  <si>
    <t>TX0211ZZ-B Casey Courthouse</t>
  </si>
  <si>
    <t>TX0220MD-G Mahon Post Office/</t>
  </si>
  <si>
    <t>TX0224ZZ-Fg Lanham Fed Bldg</t>
  </si>
  <si>
    <t>TX0227AU-Jj Pickle Federal Bl</t>
  </si>
  <si>
    <t>TX0230ZZ-Gh Mahon Fed Bldg/Co</t>
  </si>
  <si>
    <t>TX0231ZZ-Pearsall Fed Bldg/Po</t>
  </si>
  <si>
    <t>TX0247ZZ-Fort Worth Federal P</t>
  </si>
  <si>
    <t>TX0250AU-Homer Thornberry Bld</t>
  </si>
  <si>
    <t>TX0262TY-Tyler Federal Bldg/C</t>
  </si>
  <si>
    <t>TX0272ZZ-Rc White Federal Bld</t>
  </si>
  <si>
    <t>TX0282JL-Usbs J&amp;L Bldg 2 Admi</t>
  </si>
  <si>
    <t>($554,179)</t>
  </si>
  <si>
    <t>($210,582)</t>
  </si>
  <si>
    <t>($271,445)</t>
  </si>
  <si>
    <t>($1,036,206)</t>
  </si>
  <si>
    <t>TX0284DA-E Cabell Fob/Uspo/Ct</t>
  </si>
  <si>
    <t>TX0292ZZ-Am Smith Federal Bld</t>
  </si>
  <si>
    <t>TX0296MF-Bpsh Marfa Mod Bldg</t>
  </si>
  <si>
    <t>TX0297ZZ-Alliance Tower</t>
  </si>
  <si>
    <t>TX0298ZZ-Gt Leland Federal Bl</t>
  </si>
  <si>
    <t>TX0301LI-Usbs Los Indios Admi</t>
  </si>
  <si>
    <t>($204,819)</t>
  </si>
  <si>
    <t>($43,694)</t>
  </si>
  <si>
    <t>($111,824)</t>
  </si>
  <si>
    <t>($360,337)</t>
  </si>
  <si>
    <t>TX0302ZZ-The Centre Phase 5</t>
  </si>
  <si>
    <t>TX0306CB-Usbs Colombia Admin</t>
  </si>
  <si>
    <t>($391,028)</t>
  </si>
  <si>
    <t>($62,864)</t>
  </si>
  <si>
    <t>($209,650)</t>
  </si>
  <si>
    <t>($663,542)</t>
  </si>
  <si>
    <t>TX0307LI-Usbs Los Indios Vaci</t>
  </si>
  <si>
    <t>TX0311ZZ-Laredo Federal Bldg/</t>
  </si>
  <si>
    <t>TX0312BM-Usbs B&amp;M Admin Bldg</t>
  </si>
  <si>
    <t>($166,304)</t>
  </si>
  <si>
    <t>($84,428)</t>
  </si>
  <si>
    <t>($240,704)</t>
  </si>
  <si>
    <t>TX0313ZZ-Corpus Christi Court</t>
  </si>
  <si>
    <t>TX0316ZZ-Brownsville Fed Bldg</t>
  </si>
  <si>
    <t>TX0318PH-Usbs Pharr Admin Bld</t>
  </si>
  <si>
    <t>($365,953)</t>
  </si>
  <si>
    <t>($376,161)</t>
  </si>
  <si>
    <t>($652,757)</t>
  </si>
  <si>
    <t>TX0319ZZ-Armenadriz U.S. Cour</t>
  </si>
  <si>
    <t>TX0321JL-Usbs J&amp;L Bldg 1 Prim</t>
  </si>
  <si>
    <t>TX0322JL-Usbs J&amp;L Bldg 3 Seco</t>
  </si>
  <si>
    <t>TX0323JL-Usbs J&amp;L Bldg 4 Seco</t>
  </si>
  <si>
    <t>TX0324JL-Usbs J&amp;L Bldg 5 Usda</t>
  </si>
  <si>
    <t>TX0325JL-Usbs J&amp;L Bldg 6 Impo</t>
  </si>
  <si>
    <t>TX0326JL-Usbs J&amp;L Kennel 1</t>
  </si>
  <si>
    <t>TX0327JL-Usbs J&amp;L Kennel 2</t>
  </si>
  <si>
    <t>TX0328JL-Usbs J&amp;L Truck Prima</t>
  </si>
  <si>
    <t>TX0329JL-Usbs J&amp;L Guard Booth</t>
  </si>
  <si>
    <t>TX0330LI-Usbs Los Indios Expo</t>
  </si>
  <si>
    <t>TX0331LI-Usbs Los Indios Tabc</t>
  </si>
  <si>
    <t>TX0332LI-Usbs Los Indios Prim</t>
  </si>
  <si>
    <t>TX0333LI-Usbs Los Indios Truc</t>
  </si>
  <si>
    <t>TX0334LI-Usbs Los Indios Usda</t>
  </si>
  <si>
    <t>TX0337LI-Usbs Los Indios Kenn</t>
  </si>
  <si>
    <t>TX0338LI-Usbs Los Indios Impo</t>
  </si>
  <si>
    <t>TX0339LI-Usbs Los Indios Haz</t>
  </si>
  <si>
    <t>TX0340LI-Usbs Los Indios Empt</t>
  </si>
  <si>
    <t>TX0341LI-Usbs Los Indios Exit</t>
  </si>
  <si>
    <t>TX0342LI-Usbs Los Indios Truc</t>
  </si>
  <si>
    <t>TX0343LI-Usbs Los Indios Dot</t>
  </si>
  <si>
    <t>($918)</t>
  </si>
  <si>
    <t>($6,212)</t>
  </si>
  <si>
    <t>($6,910)</t>
  </si>
  <si>
    <t>TX0344LI-Usbs Los Indios Dot</t>
  </si>
  <si>
    <t>TX0346PH-Usbs Pharr Dot-Fmcsa</t>
  </si>
  <si>
    <t>TX0348PH-Usbs Pharr Usda Anne</t>
  </si>
  <si>
    <t>TX0349PH-Usbs Pharr Fda Bldg</t>
  </si>
  <si>
    <t>TX0350PH-Usbs Pharr Export Do</t>
  </si>
  <si>
    <t>TX0351PH-Usbs Pharr Southboun</t>
  </si>
  <si>
    <t>TX0353PH-Usbs Pharr Exit Boot</t>
  </si>
  <si>
    <t>TX0354PH-Usbs Pharr Import Do</t>
  </si>
  <si>
    <t>TX0357PH-Usbs Pharr Prim/Sec</t>
  </si>
  <si>
    <t>TX0358PH-Usbs Pharr Kennels</t>
  </si>
  <si>
    <t>TX0359PH-Usbs Pharr Haz Matl</t>
  </si>
  <si>
    <t>TX0360PH-Usbs Pharr Empty Tru</t>
  </si>
  <si>
    <t>TX0361PH-Usbs Pharr Import Pr</t>
  </si>
  <si>
    <t>TX0362PH-Usbs Pharr Intell X2</t>
  </si>
  <si>
    <t>TX0363PH-Usbs Pharr Truck Wai</t>
  </si>
  <si>
    <t>TX0364PH-Usbs Pharr Dot Mod B</t>
  </si>
  <si>
    <t>($8,046)</t>
  </si>
  <si>
    <t>($16,497)</t>
  </si>
  <si>
    <t>($21,059)</t>
  </si>
  <si>
    <t>TX0365DL-Usbs Del Rio Fda Mod</t>
  </si>
  <si>
    <t>TX0366DL-Usbs Del Rio Dot Mod</t>
  </si>
  <si>
    <t>TX0377DL-Usbs Del Rio Export</t>
  </si>
  <si>
    <t>TX0378DL-Usbs Del Rio Import</t>
  </si>
  <si>
    <t>TX0397ZZ-New Austin Courthous</t>
  </si>
  <si>
    <t>TX0406DL-Usbs Del Rio New Adm</t>
  </si>
  <si>
    <t>($438,747)</t>
  </si>
  <si>
    <t>($176,235)</t>
  </si>
  <si>
    <t>($150,121)</t>
  </si>
  <si>
    <t>($765,103)</t>
  </si>
  <si>
    <t>TX0407DL-Usbs Del Rio New Ken</t>
  </si>
  <si>
    <t>TX0408DL-Usbs Del Rio New Tab</t>
  </si>
  <si>
    <t>TX0409DL-Usbs Del Rio New Pri</t>
  </si>
  <si>
    <t>TX0410DL-Usbs Del Rio New Sec</t>
  </si>
  <si>
    <t>TX0411DL-Usbs Del Rio New Hea</t>
  </si>
  <si>
    <t>TX0412DL-Usbs Del Rio Cargo E</t>
  </si>
  <si>
    <t>TX0425LW-Usbp Laredo West Adm</t>
  </si>
  <si>
    <t>($27,710)</t>
  </si>
  <si>
    <t>($16,823)</t>
  </si>
  <si>
    <t>($40,268)</t>
  </si>
  <si>
    <t>TX0426LW-Usbp Laredo West Veh</t>
  </si>
  <si>
    <t>TX0427LW-Usbp Laredo West Atv</t>
  </si>
  <si>
    <t>TX0428LW-Usbp Laredo West Fue</t>
  </si>
  <si>
    <t>TX0429LW-Usbp Laredo West Ken</t>
  </si>
  <si>
    <t>TX0435HF-1 Justice Park Drive</t>
  </si>
  <si>
    <t>TX0436HF-1 Justice Park Dr. G</t>
  </si>
  <si>
    <t>TX0437HF-1 Justice Park Dr Pk</t>
  </si>
  <si>
    <t>TX0440PH-Usbs Pharr Vacis Ii</t>
  </si>
  <si>
    <t>TX0441ZZ-San Antonio Fed Park</t>
  </si>
  <si>
    <t>TX0501HS-San Antonio Federal</t>
  </si>
  <si>
    <t>TX0502HS-J Wood Courthouse</t>
  </si>
  <si>
    <t>TX0503HS-Aa Spears Judge Trai</t>
  </si>
  <si>
    <t>TX0505DL-Usbs Del Rio Haz Mat</t>
  </si>
  <si>
    <t>TX0506DL-Usbs Del Rio Cargo P</t>
  </si>
  <si>
    <t>TX0507DL-Usbs Del Rio Truck P</t>
  </si>
  <si>
    <t>TX0508DL-Usbs Del Rio Dot-Fmc</t>
  </si>
  <si>
    <t>TX0509DL-Usbs Del Rio Seizure</t>
  </si>
  <si>
    <t>TX0511LR-Bpsh Laredo Bldg A</t>
  </si>
  <si>
    <t>TX0512LR-Bpsh Laredo Bldg B</t>
  </si>
  <si>
    <t>TX0513LR-Bpsh Laredo Bldg C</t>
  </si>
  <si>
    <t>TX0521MF-Bpsh Marfa Admin Bld</t>
  </si>
  <si>
    <t>TX0522MF-Bpsh Marfa Repair Ga</t>
  </si>
  <si>
    <t>TX0523MF-Bpsh Marfa Storage G</t>
  </si>
  <si>
    <t>TX0524MF-Bpsh Marfa Pistol Ra</t>
  </si>
  <si>
    <t>TX0533FB-Usbs Fabens Addl Sec</t>
  </si>
  <si>
    <t>TX0534FB-Usbs Fabens Secondar</t>
  </si>
  <si>
    <t>TX0535FB-Usbs Fabens Primary</t>
  </si>
  <si>
    <t>TX0536LT-Usbs Los Tomates S E</t>
  </si>
  <si>
    <t>TX0537LT-Usbs Los Tomates Tru</t>
  </si>
  <si>
    <t>TX0539LT-Usbs Los Tomates Bus</t>
  </si>
  <si>
    <t>TX0540LT-Usbs Los Tomates Adm</t>
  </si>
  <si>
    <t>($157,990)</t>
  </si>
  <si>
    <t>($51,180)</t>
  </si>
  <si>
    <t>($141,688)</t>
  </si>
  <si>
    <t>TX0541LT-Usbs Los Tomates Haz</t>
  </si>
  <si>
    <t>TX0542LT-Usbs Los Tomates Exi</t>
  </si>
  <si>
    <t>TX0543LT-Usbs Los Tomates Ene</t>
  </si>
  <si>
    <t>TX0544LT-Usbs Los Tomates Tru</t>
  </si>
  <si>
    <t>TX0545LT-Usbs Los Tomates Tab</t>
  </si>
  <si>
    <t>TX0547LT-Usbs Los Tomates Imp</t>
  </si>
  <si>
    <t>TX0548LT-Usbs Los Tomates Bul</t>
  </si>
  <si>
    <t>TX0549LT-Usbs Los Tomates Exp</t>
  </si>
  <si>
    <t>TX0550LT-Usbs Los Tomates Pri</t>
  </si>
  <si>
    <t>TX0551LT-Usbs Los Tomates Ken</t>
  </si>
  <si>
    <t>TX0552LT-Usbs Los Tomates Emp</t>
  </si>
  <si>
    <t>TX0553LT-Usbs Los Tomates Tru</t>
  </si>
  <si>
    <t>TX0554LT-Usbs Los Tomates Bor</t>
  </si>
  <si>
    <t>($274,637)</t>
  </si>
  <si>
    <t>TX0555LT-Usbs Los Tomates Car</t>
  </si>
  <si>
    <t>TX0556LT-Usbs Los Tomates Dot</t>
  </si>
  <si>
    <t>($1,198)</t>
  </si>
  <si>
    <t>TX0557LT-Usbs Los Tomates Fda</t>
  </si>
  <si>
    <t>TX0558LT-Usbs Los Tomates Dot</t>
  </si>
  <si>
    <t>TX0561BM-Usbs B&amp;M Gsa Outleas</t>
  </si>
  <si>
    <t>TX0562BM-Usbs B&amp;M Primary Ins</t>
  </si>
  <si>
    <t>TX0563BM-Usbs B&amp;M Secondary I</t>
  </si>
  <si>
    <t>TX0564BM-Usbs B&amp;M Import Dock</t>
  </si>
  <si>
    <t>TX0565BM-Usbs B&amp;M Truck Prima</t>
  </si>
  <si>
    <t>TX0566BM-Usbs B&amp;M Tabc Booth</t>
  </si>
  <si>
    <t>TX0568BM-Usbs B&amp;M Exit Booth</t>
  </si>
  <si>
    <t>TX0569BM-Usbs B&amp;M Seizure Vau</t>
  </si>
  <si>
    <t>TX0583EP-Usbs Eagle Pass I Im</t>
  </si>
  <si>
    <t>TX0584EP-Usbs Eagle Pass I Pr</t>
  </si>
  <si>
    <t>TX0585EP-Usbs Eagle Pass I Ke</t>
  </si>
  <si>
    <t>TX0586EP-Usbs Eagle Pass I Tr</t>
  </si>
  <si>
    <t>TX0587EP-Usbs Eagle Pass I Ta</t>
  </si>
  <si>
    <t>TX0588CB-Usbs Colombia Truck</t>
  </si>
  <si>
    <t>TX0590CB-Usbs Colombia Primar</t>
  </si>
  <si>
    <t>TX0591CB-Usbs Colombia Second</t>
  </si>
  <si>
    <t>TX0592CB-Usbs Colombia Gsa St</t>
  </si>
  <si>
    <t>TX0593CB-Usbs Colombia Kennel</t>
  </si>
  <si>
    <t>TX0594CB-Usbs Colombia Empty</t>
  </si>
  <si>
    <t>TX0595CB-Usbs Colombia Haz Ma</t>
  </si>
  <si>
    <t>TX0596CB-Usbs Colombia Import</t>
  </si>
  <si>
    <t>TX0597CB-Usbs Colombia Truck</t>
  </si>
  <si>
    <t>TX0598CB-Usbs Colombia Vacis</t>
  </si>
  <si>
    <t>TX0599CB-Usbs Colombia Exit B</t>
  </si>
  <si>
    <t>TX0600CB-Usbs Colombia Dot Mo</t>
  </si>
  <si>
    <t>($8,237)</t>
  </si>
  <si>
    <t>($447)</t>
  </si>
  <si>
    <t>($8,458)</t>
  </si>
  <si>
    <t>TX0601CB-Usbs Colombia Dot Ca</t>
  </si>
  <si>
    <t>TX0602CB-Usbs Colombia Intell</t>
  </si>
  <si>
    <t>TX0604MC-Usbs Anzalduas Admin</t>
  </si>
  <si>
    <t>($65,240)</t>
  </si>
  <si>
    <t>($60,651)</t>
  </si>
  <si>
    <t>($72,792)</t>
  </si>
  <si>
    <t>($198,683)</t>
  </si>
  <si>
    <t>TX0605MC-Usbs Anzalduas Secon</t>
  </si>
  <si>
    <t>TX0606MC-Usbs Anzalduas Kenne</t>
  </si>
  <si>
    <t>TX0607MC-Usbs Anzalduas Out-B</t>
  </si>
  <si>
    <t>TX0608MC-Usbs Anzalduas Out-B</t>
  </si>
  <si>
    <t>TX0609MC-Usbs Anzalduas Out-B</t>
  </si>
  <si>
    <t>TX0610MC-Usbs Anzalduas Prima</t>
  </si>
  <si>
    <t>TX0611MC-Usbs Anzalduas Headh</t>
  </si>
  <si>
    <t>TX0612MC-Usbs Anzalduas Tabc</t>
  </si>
  <si>
    <t>TX0689BN-Usbs Gateway Exit Bo</t>
  </si>
  <si>
    <t>TX0690BN-Usbs Gateway Bulk Ca</t>
  </si>
  <si>
    <t>TX0691BN-Usbs Gateway Bldg A</t>
  </si>
  <si>
    <t>($168,158)</t>
  </si>
  <si>
    <t>($40,451)</t>
  </si>
  <si>
    <t>($129,675)</t>
  </si>
  <si>
    <t>($338,284)</t>
  </si>
  <si>
    <t>TX0693BN-Usbs Gateway Import</t>
  </si>
  <si>
    <t>TX0694BN-Usbs Gateway Primary</t>
  </si>
  <si>
    <t>TX0695BN-Usbs Gateway Kennels</t>
  </si>
  <si>
    <t>TX0697BN-Usbs Gateway Truck I</t>
  </si>
  <si>
    <t>TX0699BN-Usbs Gateway Prim/Se</t>
  </si>
  <si>
    <t>TX0701HO-Labranch Federal Bld</t>
  </si>
  <si>
    <t>TX0705FH-Usbs Fort Hancock Bl</t>
  </si>
  <si>
    <t>($3,378)</t>
  </si>
  <si>
    <t>($1,585)</t>
  </si>
  <si>
    <t>TX0706FH-Usbs Fort Hancock Bl</t>
  </si>
  <si>
    <t>TX0707FH-Usbs Fort Hancock Bl</t>
  </si>
  <si>
    <t>TX0708FH-Usbs Fort Hancock Bl</t>
  </si>
  <si>
    <t>TX0711TG-Usbs T&amp;G Admin Bldg</t>
  </si>
  <si>
    <t>($13,432)</t>
  </si>
  <si>
    <t>TX0712TG-Usbs T&amp;G Kennel Buil</t>
  </si>
  <si>
    <t>TX0713TG-Usbs T&amp;G Export Buil</t>
  </si>
  <si>
    <t>TX0714TG-Usbs T&amp;G Import Buil</t>
  </si>
  <si>
    <t>TX0715TG-Usbs T&amp;G Head House</t>
  </si>
  <si>
    <t>TX0716TG-Usbs T&amp;G Fmcsa Build</t>
  </si>
  <si>
    <t>TX0730NW-Usbs World Trade Adm</t>
  </si>
  <si>
    <t>($320,498)</t>
  </si>
  <si>
    <t>($227,263)</t>
  </si>
  <si>
    <t>($108,987)</t>
  </si>
  <si>
    <t>($656,749)</t>
  </si>
  <si>
    <t>TX0731NW-Usbs World Trade Tru</t>
  </si>
  <si>
    <t>TX0732NW-Usbs World Trade Tru</t>
  </si>
  <si>
    <t>TX0733NW-Usbs World Trade Imp</t>
  </si>
  <si>
    <t>TX0734NW-Usbs World Trade Tru</t>
  </si>
  <si>
    <t>TX0735NW-Usbs World Trade Int</t>
  </si>
  <si>
    <t>TX0736NW-Usbs World Trade Int</t>
  </si>
  <si>
    <t>TX0737NW-Usbs World Trade Dot</t>
  </si>
  <si>
    <t>($9,791)</t>
  </si>
  <si>
    <t>($533)</t>
  </si>
  <si>
    <t>TX0738NW-Usbs World Trade Dot</t>
  </si>
  <si>
    <t>TX0739NW-Usbs World Trade Vac</t>
  </si>
  <si>
    <t>TX0740NW-Usbs World Trade Sei</t>
  </si>
  <si>
    <t>TX0741NW-Usbs World Trade Ken</t>
  </si>
  <si>
    <t>TX0742NW-Usbs World Trade Exi</t>
  </si>
  <si>
    <t>TX0743NW-Usbs World Trade Exp</t>
  </si>
  <si>
    <t>TX0744NW-Usbs World Trade Exi</t>
  </si>
  <si>
    <t>TX0760CR-Usbs Eagle Pass Ii P</t>
  </si>
  <si>
    <t>($130,052)</t>
  </si>
  <si>
    <t>($86,558)</t>
  </si>
  <si>
    <t>($68,287)</t>
  </si>
  <si>
    <t>($284,896)</t>
  </si>
  <si>
    <t>TX0764CR-Usbs Eagle Pass Ii I</t>
  </si>
  <si>
    <t>TX0769CR-Usbs Eagle Pass Ii E</t>
  </si>
  <si>
    <t>TX0800FW-Fed Ctr Site</t>
  </si>
  <si>
    <t>TX0808FW-Fed Ctr Bldg 23 Offi</t>
  </si>
  <si>
    <t>TX0811FW-Fed Ctr Whse 10</t>
  </si>
  <si>
    <t>TX0813FW-Fed Ctr Whse 11</t>
  </si>
  <si>
    <t>TX0815FW-Fed Ctr Whse 9</t>
  </si>
  <si>
    <t>TX0816FW-Fed Ctr Whse 12</t>
  </si>
  <si>
    <t>TX0817FW-Fed Ctr Slab 7</t>
  </si>
  <si>
    <t>TX0821FW-Fed Ctr Bldg 24 Offi</t>
  </si>
  <si>
    <t>TX0824FW-Fed Ctr Bldg 41 N Gu</t>
  </si>
  <si>
    <t>TX0831DR-Bpsh Del Rio Bldg 1</t>
  </si>
  <si>
    <t>($6,514)</t>
  </si>
  <si>
    <t>TX0834DR-Bpsh Del Rio Auto/Bu</t>
  </si>
  <si>
    <t>TX0891FW-Fed Ctr Bldg 52 Offi</t>
  </si>
  <si>
    <t>TX0892FW-Fed Ctr Shed 53 Vehi</t>
  </si>
  <si>
    <t>TX0912FW-Fed Ctr Bldg 49 Moto</t>
  </si>
  <si>
    <t>TX0921MA-Bpsh Mcallen Admin B</t>
  </si>
  <si>
    <t>TX0922MA-Bpsh Mcallen Bldg B</t>
  </si>
  <si>
    <t>TX0923MA-Bpsh Mcallen Bldg C</t>
  </si>
  <si>
    <t>TX0929EL-Usbs Bota Cbp Mod Bl</t>
  </si>
  <si>
    <t>TX0931YS-Usbs Ysleta Dot Cano</t>
  </si>
  <si>
    <t>TX0932YS-Usbs Ysleta Customs</t>
  </si>
  <si>
    <t>TX0934YS-Usbs Ysleta Haz Matl</t>
  </si>
  <si>
    <t>TX0935YS-Usbs Ysleta Mobile V</t>
  </si>
  <si>
    <t>TX0937YS-Usbs Ysleta Narcotic</t>
  </si>
  <si>
    <t>TX0938YS-Usbs Ysleta Nii Mod</t>
  </si>
  <si>
    <t>TX0939YS-Usbs Ysleta Dot Mod</t>
  </si>
  <si>
    <t>TX0941PN-Usbs Pdn Bldg A Admi</t>
  </si>
  <si>
    <t>($273,538)</t>
  </si>
  <si>
    <t>($72,891)</t>
  </si>
  <si>
    <t>($150,342)</t>
  </si>
  <si>
    <t>($496,771)</t>
  </si>
  <si>
    <t>TX0943PN-Usbs Pdn Bldg C Prim</t>
  </si>
  <si>
    <t>TX0948PN-Usbs Pdn Bldg D Bord</t>
  </si>
  <si>
    <t>TX0949PN-Usbs Pdn Ice Buildin</t>
  </si>
  <si>
    <t>TX0950EL-Usbs Bota Dot Mod Bl</t>
  </si>
  <si>
    <t>($191)</t>
  </si>
  <si>
    <t>($33)</t>
  </si>
  <si>
    <t>TX0951EL-Usbs Bota Bldg A Adm</t>
  </si>
  <si>
    <t>($603,944)</t>
  </si>
  <si>
    <t>($145,055)</t>
  </si>
  <si>
    <t>($464,623)</t>
  </si>
  <si>
    <t>($1,213,622)</t>
  </si>
  <si>
    <t>TX0952EL-Usbs Bota Bldg B Cus</t>
  </si>
  <si>
    <t>TX0954EL-Usbs Bota Bldg D Imp</t>
  </si>
  <si>
    <t>TX0955EL-Usbs Bota Bldg E Exp</t>
  </si>
  <si>
    <t>TX0956EL-Usbs Bota Fast Lane</t>
  </si>
  <si>
    <t>TX0957EL-Usbs Bota Bldg K Pri</t>
  </si>
  <si>
    <t>TX0958EL-Usbs Bota Bldg S Tru</t>
  </si>
  <si>
    <t>TX0959EL-Usbs Bota Import Lot</t>
  </si>
  <si>
    <t>TX0961EL-Usbs Bota Bldg C Hea</t>
  </si>
  <si>
    <t>TX0963YS-Usbs Ysleta Bldg C H</t>
  </si>
  <si>
    <t>TX0964YS-Usbs Ysleta Bldg D I</t>
  </si>
  <si>
    <t>TX0965YS-Usbs Ysleta Bldg E K</t>
  </si>
  <si>
    <t>TX0966YS-Usbs Ysleta Bldg F E</t>
  </si>
  <si>
    <t>TX0967YS-Usbs Ysleta Cargo En</t>
  </si>
  <si>
    <t>TX0968YS-Usbs Ysleta Border P</t>
  </si>
  <si>
    <t>TX0971YS-Usbs Ysleta Bldg O P</t>
  </si>
  <si>
    <t>TX0972YS-Usbs Ysleta Bldg A -</t>
  </si>
  <si>
    <t>($721,318)</t>
  </si>
  <si>
    <t>($304,144)</t>
  </si>
  <si>
    <t>($536,030)</t>
  </si>
  <si>
    <t>($1,561,492)</t>
  </si>
  <si>
    <t>TX0973YS-Usbs Ysleta Bldg B -</t>
  </si>
  <si>
    <t>TX0976YS-Usbs Ysleta Fda Buil</t>
  </si>
  <si>
    <t>TX0977YS-Usbs Ysleta Narcotic</t>
  </si>
  <si>
    <t>TX0978YS-Usbs Ysleta Pov Hard</t>
  </si>
  <si>
    <t>TX0979YS-Usbs Ysleta Truck Pr</t>
  </si>
  <si>
    <t>TX0980YS-Usbs Ysleta Cargo Ex</t>
  </si>
  <si>
    <t>TX0985PN-Usbspdn Kennels</t>
  </si>
  <si>
    <t>TX0986PN-Usbs Pdn Headhouse</t>
  </si>
  <si>
    <t>TX0989MD-G Mahon Po/Cthse Mai</t>
  </si>
  <si>
    <t>TX0999NW-Usbs World Trade Exp</t>
  </si>
  <si>
    <t>TX1128AT-Va Austin Auto Cente</t>
  </si>
  <si>
    <t>($44,214)</t>
  </si>
  <si>
    <t>TX1618AT-Austin Finance Cente</t>
  </si>
  <si>
    <t>($49,735)</t>
  </si>
  <si>
    <t>TX8004PH-Usbs Pharr Site</t>
  </si>
  <si>
    <t>TX8005PN-Usbs Paso Del Norte</t>
  </si>
  <si>
    <t>TX8012DO-Usbs Donna Site</t>
  </si>
  <si>
    <t>TX8016CB-Usbs Colombia Site</t>
  </si>
  <si>
    <t>TX8018BM-Usbs B&amp;M Site</t>
  </si>
  <si>
    <t>TX8019MC-Usbs Anzalduas Site</t>
  </si>
  <si>
    <t>TX8021YS-Usbs Ysleta Site</t>
  </si>
  <si>
    <t>UT0010ZZ-Forest Service Bldg</t>
  </si>
  <si>
    <t>UT0014ZZ-J. Will Robinson Fb</t>
  </si>
  <si>
    <t>UT0017ZZ-Frank E Moss Courtho</t>
  </si>
  <si>
    <t>UT0018ZZ-United States Distri</t>
  </si>
  <si>
    <t>UT0032ZZ-Wallace F Bennett Fb</t>
  </si>
  <si>
    <t>UT0035ZZ-James V Hansen Feder</t>
  </si>
  <si>
    <t>UT0036ZZ-Irs Service Center</t>
  </si>
  <si>
    <t>UT0037ZZ-Gsa Mp</t>
  </si>
  <si>
    <t>UT0039ZZ-Irs Building</t>
  </si>
  <si>
    <t>UT0042ZZ-Fb</t>
  </si>
  <si>
    <t>VA0002ZZ-Federal Building</t>
  </si>
  <si>
    <t>VA0003ZZ-Martin V.B. Bostette</t>
  </si>
  <si>
    <t>VA0020ZZ-C Bascom Slemp Fed B</t>
  </si>
  <si>
    <t>VA0053ZZ-Owen B Pickett Us Cu</t>
  </si>
  <si>
    <t>VA0054ZZ-Walter E Hoffman Us</t>
  </si>
  <si>
    <t>VA0062ZZ-Lewis F Powell Jr Us</t>
  </si>
  <si>
    <t>VA0063ZZ-Lewis F Powell Jr Us</t>
  </si>
  <si>
    <t>VA0085ZZ-Hybla Valley Ofc Bld</t>
  </si>
  <si>
    <t>VA0087ZZ-Federal Building</t>
  </si>
  <si>
    <t>VA0088ZZ-Federal Office Build</t>
  </si>
  <si>
    <t>VA0095ZZ-Richard H Poff Fed B</t>
  </si>
  <si>
    <t>VA0159ZZ-Arlington Hall Stn</t>
  </si>
  <si>
    <t>VA0247AN-Building D</t>
  </si>
  <si>
    <t>VA0321ZZ-Av Bryan Sr Courthou</t>
  </si>
  <si>
    <t>VA0501AN-Butler Bldg 01</t>
  </si>
  <si>
    <t>VA0502AN-Butler Bldg 02</t>
  </si>
  <si>
    <t>VA0503AN-Butler Bldg 03</t>
  </si>
  <si>
    <t>VA0504AN-Butler Bldg 04</t>
  </si>
  <si>
    <t>VA0505AN-Butler Bldg 05</t>
  </si>
  <si>
    <t>VA0506AN-Building A, 6810</t>
  </si>
  <si>
    <t>VA0507AN-Building B</t>
  </si>
  <si>
    <t>($124,723)</t>
  </si>
  <si>
    <t>VA0508AN-Building C</t>
  </si>
  <si>
    <t>VA0509AN-Butler Bldg 13</t>
  </si>
  <si>
    <t>VA0510AN-Butler Bldg 07</t>
  </si>
  <si>
    <t>VA0560AN-Butler Bldg 08</t>
  </si>
  <si>
    <t>VA0561AN-Butler Bldg 14</t>
  </si>
  <si>
    <t>VA0563AN-Butler Bldg 12</t>
  </si>
  <si>
    <t>VA0578ZZ-Spottswood W. Robins</t>
  </si>
  <si>
    <t>VA0657ZZ-Annex To Hoffman Cou</t>
  </si>
  <si>
    <t>VA0686ZZ-U. S. Courthouse</t>
  </si>
  <si>
    <t>VA1608ZZ-Federal Building</t>
  </si>
  <si>
    <t>VI0007ZZ-Ron De Lugo Fed Bldg</t>
  </si>
  <si>
    <t>VI0008ZZ-Almeric Christian Fb</t>
  </si>
  <si>
    <t>VT0002ZZ-Lpoe, Beecher Falls</t>
  </si>
  <si>
    <t>($6,410)</t>
  </si>
  <si>
    <t>($3,502)</t>
  </si>
  <si>
    <t>($4,470)</t>
  </si>
  <si>
    <t>VT0007ZZ-Lpoe, Canaan</t>
  </si>
  <si>
    <t>($4,631)</t>
  </si>
  <si>
    <t>($2,755)</t>
  </si>
  <si>
    <t>($5,531)</t>
  </si>
  <si>
    <t>VT0008ZZ-Lpoe, East Richford</t>
  </si>
  <si>
    <t>($5,261)</t>
  </si>
  <si>
    <t>($7,999)</t>
  </si>
  <si>
    <t>($12,368)</t>
  </si>
  <si>
    <t>VT0014ZZ-Lpoe, Richford</t>
  </si>
  <si>
    <t>($13,562)</t>
  </si>
  <si>
    <t>($1,893)</t>
  </si>
  <si>
    <t>($7,201)</t>
  </si>
  <si>
    <t>($22,657)</t>
  </si>
  <si>
    <t>VT0018ZZ-Federal Bldg Uspo&amp;Cu</t>
  </si>
  <si>
    <t>VT0020SW-Usbp Vehicle Maint.</t>
  </si>
  <si>
    <t>VT0024ZZ-Federal Bldg Uspo Ct</t>
  </si>
  <si>
    <t>VT0026ZZ-Federal Bldg Uspo&amp;Ct</t>
  </si>
  <si>
    <t>VT0028ZZ-Winston Prouty Fb</t>
  </si>
  <si>
    <t>VT0029SW-Usbp Sector Hq, Swan</t>
  </si>
  <si>
    <t>VT0034ZZ-Montpelier Ssa</t>
  </si>
  <si>
    <t>VT0035ZZ-Burlington Ssa</t>
  </si>
  <si>
    <t>VT0057BH-Lpoe, Highgate Sprin</t>
  </si>
  <si>
    <t>VT0059BH-Lpoe Fda Bldg., High</t>
  </si>
  <si>
    <t>VT0060BH-Lpoe Comm. Inspectio</t>
  </si>
  <si>
    <t>VT0061BH-Lpoe Aphis Bldg., Hi</t>
  </si>
  <si>
    <t>VT0062BH-Lpoe Wastewater Trea</t>
  </si>
  <si>
    <t>VT0551BS-Lpoe, Alburg Springs</t>
  </si>
  <si>
    <t>VT0552BS-Lpoe Garage, Alburg</t>
  </si>
  <si>
    <t>VT0601BP-Lpoe, Beebe Plain</t>
  </si>
  <si>
    <t>($4,238)</t>
  </si>
  <si>
    <t>($492)</t>
  </si>
  <si>
    <t>($2,881)</t>
  </si>
  <si>
    <t>VT0651PD-Lpoe &amp; Uspo, Derby L</t>
  </si>
  <si>
    <t>VT0653PD-Lpoe Aphis Shed, Der</t>
  </si>
  <si>
    <t>VT0751BT-Lpoe, North Troy - M</t>
  </si>
  <si>
    <t>VT0756BT-Lpoe, North Troy</t>
  </si>
  <si>
    <t>($10,855)</t>
  </si>
  <si>
    <t>($832)</t>
  </si>
  <si>
    <t>($8,211)</t>
  </si>
  <si>
    <t>($19,898)</t>
  </si>
  <si>
    <t>VT0801BN-Lpoe, Norton</t>
  </si>
  <si>
    <t>($7,735)</t>
  </si>
  <si>
    <t>($4,582)</t>
  </si>
  <si>
    <t>($6,546)</t>
  </si>
  <si>
    <t>($18,863)</t>
  </si>
  <si>
    <t>VT0851BW-Lpoe, West Berkshire</t>
  </si>
  <si>
    <t>($2,847)</t>
  </si>
  <si>
    <t>($1,328)</t>
  </si>
  <si>
    <t>($6,745)</t>
  </si>
  <si>
    <t>($10,920)</t>
  </si>
  <si>
    <t>VT0861BD-Lpoe, Derby Line I-9</t>
  </si>
  <si>
    <t>VT0862BD-Lpoe Garage/Whse, De</t>
  </si>
  <si>
    <t>VT0863BD-New Usbs, Derby I-91</t>
  </si>
  <si>
    <t>WA0028ZZ-Richard B. Anderson</t>
  </si>
  <si>
    <t>WA0035ZZ-William Kenzo Nakamu</t>
  </si>
  <si>
    <t>WA0036ZZ-Fed Office Bldg</t>
  </si>
  <si>
    <t>WA0045ZZ-Fed Bldg U S Post Of</t>
  </si>
  <si>
    <t>WA0053ZZ-Wm O Douglas Fbusct</t>
  </si>
  <si>
    <t>WA0059ZZ-Fed Arch &amp; Rec Ctr</t>
  </si>
  <si>
    <t>WA0063ZZ-Fed Bldg Uspo &amp; Ch</t>
  </si>
  <si>
    <t>WA0064ZZ-Thomas S. Foley Us C</t>
  </si>
  <si>
    <t>WA0066BP-Blaine Border Patrol</t>
  </si>
  <si>
    <t>($41,210)</t>
  </si>
  <si>
    <t>WA0067BP-Blaine Border Patrol</t>
  </si>
  <si>
    <t>WA0082ZZ-Fed Bldg And Uspo</t>
  </si>
  <si>
    <t>WA0089HQ-Bord Patrol Sect Hq</t>
  </si>
  <si>
    <t>WA0094ZZ-Vancouver Federal Bl</t>
  </si>
  <si>
    <t>WA0101ZZ-Jackson Fb</t>
  </si>
  <si>
    <t>WA0102ZZ-Us District Courthou</t>
  </si>
  <si>
    <t>WA0111ZZ-Tacoma Union Station</t>
  </si>
  <si>
    <t>WA0118ZZ-Fda Bldg</t>
  </si>
  <si>
    <t>WA0119PR-Pt Roberts Land Port</t>
  </si>
  <si>
    <t>($5,515)</t>
  </si>
  <si>
    <t>WA0120BN-Pac Highway Auto Bus</t>
  </si>
  <si>
    <t>WA0122HQ-Bord Patrol Annex</t>
  </si>
  <si>
    <t>WA0123KA-Gsa Daycare Center</t>
  </si>
  <si>
    <t>WA0124OB-Oroville Land Port O</t>
  </si>
  <si>
    <t>($146,133)</t>
  </si>
  <si>
    <t>($67,814)</t>
  </si>
  <si>
    <t>($200,907)</t>
  </si>
  <si>
    <t>WA0132PA-Peace Arch Land Port</t>
  </si>
  <si>
    <t>($41,739)</t>
  </si>
  <si>
    <t>($66,750)</t>
  </si>
  <si>
    <t>WA0134OB-Oroville Live Stock</t>
  </si>
  <si>
    <t>WA0141BP-Blaine Cbp Seizure V</t>
  </si>
  <si>
    <t>WA0143BN-Pac Highway Cargo Bu</t>
  </si>
  <si>
    <t>($125,270)</t>
  </si>
  <si>
    <t>($243,134)</t>
  </si>
  <si>
    <t>($84,972)</t>
  </si>
  <si>
    <t>($453,376)</t>
  </si>
  <si>
    <t>WA0148ZZ-Federal Reserve Bank</t>
  </si>
  <si>
    <t>WA0540YB-Kenneth G Ward Land</t>
  </si>
  <si>
    <t>($1,623)</t>
  </si>
  <si>
    <t>($11,941)</t>
  </si>
  <si>
    <t>WA0550DV-Danville Land Port O</t>
  </si>
  <si>
    <t>($7,390)</t>
  </si>
  <si>
    <t>($21,961)</t>
  </si>
  <si>
    <t>($21,822)</t>
  </si>
  <si>
    <t>WA0551FB-Ferry Land Port Of E</t>
  </si>
  <si>
    <t>WA0601LB-Laurier Land Port Of</t>
  </si>
  <si>
    <t>WA0611MB-Metaline Falls Land</t>
  </si>
  <si>
    <t>($14,379)</t>
  </si>
  <si>
    <t>WA0653SB-Sumas Land Port Of E</t>
  </si>
  <si>
    <t>($26,986)</t>
  </si>
  <si>
    <t>($36,449)</t>
  </si>
  <si>
    <t>($63,050)</t>
  </si>
  <si>
    <t>WA0811KA-Administration Bldg</t>
  </si>
  <si>
    <t>WA0817KF-Warehouse 9</t>
  </si>
  <si>
    <t>WA0818KF-Sprinkler/Pump House</t>
  </si>
  <si>
    <t>WA0819KA-Fleet Management Bld</t>
  </si>
  <si>
    <t>WA0821KF-Warehouse 5</t>
  </si>
  <si>
    <t>WA0822KF-Warehouse 3</t>
  </si>
  <si>
    <t>WA0823KF-Warehouse 4</t>
  </si>
  <si>
    <t>WA0824KF-Warehouse 1</t>
  </si>
  <si>
    <t>WA0825KF-Warehouse 2</t>
  </si>
  <si>
    <t>WA0831KF-Building 7</t>
  </si>
  <si>
    <t>WA0832KF-Warehouse 8</t>
  </si>
  <si>
    <t>WA0833KF-Warehouse 6</t>
  </si>
  <si>
    <t>WA0834KF-Pov Facility</t>
  </si>
  <si>
    <t>WA0953KC-Fed Ctr So Office</t>
  </si>
  <si>
    <t>WA0961KC-1202 Building</t>
  </si>
  <si>
    <t>($9,780)</t>
  </si>
  <si>
    <t>WA0984KC-Fed Ctr S East Parkg</t>
  </si>
  <si>
    <t>WI0016ZZ-Fed Bldg &amp; Us Cthse</t>
  </si>
  <si>
    <t>WI0044ZZ-Fed Bldg &amp; Us Cthse</t>
  </si>
  <si>
    <t>WI0096ZZ-Social Sec Dist Off</t>
  </si>
  <si>
    <t>WI0098ZZ-Social Security Bldg</t>
  </si>
  <si>
    <t>WI0350ZZ-R.W. Kastenmeier Us</t>
  </si>
  <si>
    <t>WV0003ZZ-Elizabeth Kee Federa</t>
  </si>
  <si>
    <t>WV0010ZZ-Forest Service Build</t>
  </si>
  <si>
    <t>WV0016FP-Sidney L Christie Fb</t>
  </si>
  <si>
    <t>WV0030ZZ-Federal Office Build</t>
  </si>
  <si>
    <t>WV0047ZZ-Fb &amp; Us Courthouse</t>
  </si>
  <si>
    <t>WV0050ZZ-Fb &amp; Garage</t>
  </si>
  <si>
    <t>WV0053ZZ-U.S. Courthouse</t>
  </si>
  <si>
    <t>WV0054FP-Federal Building</t>
  </si>
  <si>
    <t>WV0057ZZ-Fb &amp; Po</t>
  </si>
  <si>
    <t>WV0163ZZ-Robert C. Byrd Fb &amp;</t>
  </si>
  <si>
    <t>WV0171ZZ-Robert C. Byrd Fb &amp;</t>
  </si>
  <si>
    <t>WV0186ZZ-Addition To The Fb &amp;</t>
  </si>
  <si>
    <t>WV0222ZZ-Fb &amp; Us Ch Annex</t>
  </si>
  <si>
    <t>WV0226ZZ-244 Needy Road</t>
  </si>
  <si>
    <t>WV1251ZZ-Jennings Randolph Fe</t>
  </si>
  <si>
    <t>WY0003ZZ-Ewing T. Kerr Fb-Ct</t>
  </si>
  <si>
    <t>WY0004ZZ-Fob</t>
  </si>
  <si>
    <t>WY0029ZZ-Joseph C O'Mahoney F</t>
  </si>
  <si>
    <t>WY0030ZZ-Dick Cheney Fb</t>
  </si>
  <si>
    <t>WY0034ZZ-Fob Storage Building</t>
  </si>
  <si>
    <t>WY0035ZZ-Clifford P. Hansen F</t>
  </si>
  <si>
    <t/>
  </si>
  <si>
    <r>
      <rPr>
        <sz val="8"/>
        <color theme="1"/>
        <rFont val="Calibri"/>
        <family val="2"/>
      </rPr>
      <t xml:space="preserve">Net Income Label is equal to </t>
    </r>
    <r>
      <rPr>
        <b/>
        <sz val="8"/>
        <color theme="1"/>
        <rFont val="Calibri"/>
        <family val="2"/>
      </rPr>
      <t>A10 Cleaning</t>
    </r>
    <r>
      <rPr>
        <sz val="8"/>
        <color theme="1"/>
        <rFont val="Calibri"/>
        <family val="2"/>
      </rPr>
      <t xml:space="preserve"> , </t>
    </r>
    <r>
      <rPr>
        <b/>
        <sz val="8"/>
        <color theme="1"/>
        <rFont val="Calibri"/>
        <family val="2"/>
      </rPr>
      <t>A30 Utilities/Fuel</t>
    </r>
    <r>
      <rPr>
        <sz val="8"/>
        <color theme="1"/>
        <rFont val="Calibri"/>
        <family val="2"/>
      </rPr>
      <t xml:space="preserve"> , </t>
    </r>
    <r>
      <rPr>
        <b/>
        <sz val="8"/>
        <color theme="1"/>
        <rFont val="Calibri"/>
        <family val="2"/>
      </rPr>
      <t>A40 Mechanic Oper-Maint</t>
    </r>
  </si>
  <si>
    <t>and</t>
  </si>
  <si>
    <r>
      <rPr>
        <sz val="8"/>
        <color theme="1"/>
        <rFont val="Calibri"/>
        <family val="2"/>
      </rPr>
      <t xml:space="preserve">Building Status Code is equal to / is in </t>
    </r>
    <r>
      <rPr>
        <b/>
        <sz val="8"/>
        <color theme="1"/>
        <rFont val="Calibri"/>
        <family val="2"/>
      </rPr>
      <t>A</t>
    </r>
  </si>
  <si>
    <r>
      <rPr>
        <sz val="8"/>
        <color theme="1"/>
        <rFont val="Calibri"/>
        <family val="2"/>
      </rPr>
      <t xml:space="preserve">Fund is equal to </t>
    </r>
    <r>
      <rPr>
        <b/>
        <sz val="8"/>
        <color theme="1"/>
        <rFont val="Calibri"/>
        <family val="2"/>
      </rPr>
      <t>192-Federal Building Fund</t>
    </r>
    <r>
      <rPr>
        <sz val="8"/>
        <color theme="1"/>
        <rFont val="Calibri"/>
        <family val="2"/>
      </rPr>
      <t xml:space="preserve"> , </t>
    </r>
    <r>
      <rPr>
        <b/>
        <sz val="8"/>
        <color theme="1"/>
        <rFont val="Calibri"/>
        <family val="2"/>
      </rPr>
      <t>442-Fbf Recovery Act</t>
    </r>
    <r>
      <rPr>
        <sz val="8"/>
        <color theme="1"/>
        <rFont val="Calibri"/>
        <family val="2"/>
      </rPr>
      <t xml:space="preserve"> , </t>
    </r>
    <r>
      <rPr>
        <b/>
        <sz val="8"/>
        <color theme="1"/>
        <rFont val="Calibri"/>
        <family val="2"/>
      </rPr>
      <t>992-Dhs Federal Protective Service</t>
    </r>
  </si>
  <si>
    <r>
      <rPr>
        <sz val="8"/>
        <color theme="1"/>
        <rFont val="Calibri"/>
        <family val="2"/>
      </rPr>
      <t xml:space="preserve">Calendar Month Year Name is equal to </t>
    </r>
    <r>
      <rPr>
        <b/>
        <sz val="8"/>
        <color theme="1"/>
        <rFont val="Calibri"/>
        <family val="2"/>
      </rPr>
      <t>Apr,2014</t>
    </r>
    <r>
      <rPr>
        <sz val="8"/>
        <color theme="1"/>
        <rFont val="Calibri"/>
        <family val="2"/>
      </rPr>
      <t xml:space="preserve"> , </t>
    </r>
    <r>
      <rPr>
        <b/>
        <sz val="8"/>
        <color theme="1"/>
        <rFont val="Calibri"/>
        <family val="2"/>
      </rPr>
      <t>May,2014</t>
    </r>
    <r>
      <rPr>
        <sz val="8"/>
        <color theme="1"/>
        <rFont val="Calibri"/>
        <family val="2"/>
      </rPr>
      <t xml:space="preserve"> , </t>
    </r>
    <r>
      <rPr>
        <b/>
        <sz val="8"/>
        <color theme="1"/>
        <rFont val="Calibri"/>
        <family val="2"/>
      </rPr>
      <t>Jun,2014</t>
    </r>
    <r>
      <rPr>
        <sz val="8"/>
        <color theme="1"/>
        <rFont val="Calibri"/>
        <family val="2"/>
      </rPr>
      <t xml:space="preserve"> , </t>
    </r>
    <r>
      <rPr>
        <b/>
        <sz val="8"/>
        <color theme="1"/>
        <rFont val="Calibri"/>
        <family val="2"/>
      </rPr>
      <t>Jul,2014</t>
    </r>
    <r>
      <rPr>
        <sz val="8"/>
        <color theme="1"/>
        <rFont val="Calibri"/>
        <family val="2"/>
      </rPr>
      <t xml:space="preserve"> , </t>
    </r>
    <r>
      <rPr>
        <b/>
        <sz val="8"/>
        <color theme="1"/>
        <rFont val="Calibri"/>
        <family val="2"/>
      </rPr>
      <t>Aug,2014</t>
    </r>
    <r>
      <rPr>
        <sz val="8"/>
        <color theme="1"/>
        <rFont val="Calibri"/>
        <family val="2"/>
      </rPr>
      <t xml:space="preserve"> , </t>
    </r>
    <r>
      <rPr>
        <b/>
        <sz val="8"/>
        <color theme="1"/>
        <rFont val="Calibri"/>
        <family val="2"/>
      </rPr>
      <t>Sep,2014</t>
    </r>
    <r>
      <rPr>
        <sz val="8"/>
        <color theme="1"/>
        <rFont val="Calibri"/>
        <family val="2"/>
      </rPr>
      <t xml:space="preserve"> , </t>
    </r>
    <r>
      <rPr>
        <b/>
        <sz val="8"/>
        <color theme="1"/>
        <rFont val="Calibri"/>
        <family val="2"/>
      </rPr>
      <t>Oct,2014</t>
    </r>
    <r>
      <rPr>
        <sz val="8"/>
        <color theme="1"/>
        <rFont val="Calibri"/>
        <family val="2"/>
      </rPr>
      <t xml:space="preserve"> , </t>
    </r>
    <r>
      <rPr>
        <b/>
        <sz val="8"/>
        <color theme="1"/>
        <rFont val="Calibri"/>
        <family val="2"/>
      </rPr>
      <t>Nov,2014</t>
    </r>
    <r>
      <rPr>
        <sz val="8"/>
        <color theme="1"/>
        <rFont val="Calibri"/>
        <family val="2"/>
      </rPr>
      <t xml:space="preserve"> , </t>
    </r>
    <r>
      <rPr>
        <b/>
        <sz val="8"/>
        <color theme="1"/>
        <rFont val="Calibri"/>
        <family val="2"/>
      </rPr>
      <t>Dec,2014</t>
    </r>
    <r>
      <rPr>
        <sz val="8"/>
        <color theme="1"/>
        <rFont val="Calibri"/>
        <family val="2"/>
      </rPr>
      <t xml:space="preserve"> , </t>
    </r>
    <r>
      <rPr>
        <b/>
        <sz val="8"/>
        <color theme="1"/>
        <rFont val="Calibri"/>
        <family val="2"/>
      </rPr>
      <t>Jan,2015</t>
    </r>
    <r>
      <rPr>
        <sz val="8"/>
        <color theme="1"/>
        <rFont val="Calibri"/>
        <family val="2"/>
      </rPr>
      <t xml:space="preserve"> , </t>
    </r>
    <r>
      <rPr>
        <b/>
        <sz val="8"/>
        <color theme="1"/>
        <rFont val="Calibri"/>
        <family val="2"/>
      </rPr>
      <t>Feb,2015</t>
    </r>
    <r>
      <rPr>
        <sz val="8"/>
        <color theme="1"/>
        <rFont val="Calibri"/>
        <family val="2"/>
      </rPr>
      <t xml:space="preserve"> , </t>
    </r>
    <r>
      <rPr>
        <b/>
        <sz val="8"/>
        <color theme="1"/>
        <rFont val="Calibri"/>
        <family val="2"/>
      </rPr>
      <t>Mar,2015</t>
    </r>
  </si>
  <si>
    <r>
      <rPr>
        <sz val="8"/>
        <color theme="1"/>
        <rFont val="Calibri"/>
        <family val="2"/>
      </rPr>
      <t xml:space="preserve">Building Class is equal to </t>
    </r>
    <r>
      <rPr>
        <b/>
        <sz val="8"/>
        <color theme="1"/>
        <rFont val="Calibri"/>
        <family val="2"/>
      </rPr>
      <t>Owned</t>
    </r>
  </si>
  <si>
    <t>State</t>
  </si>
  <si>
    <t>Building Number</t>
  </si>
  <si>
    <t>Building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</si>
</sst>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]#,##0;[Red]\([$$]#,##0\)"/>
  </numFmts>
  <fonts count="9" x14ac:knownFonts="1">
    <font>
      <sz val="11"/>
      <color theme="1"/>
      <name val="Calibri"/>
    </font>
    <font>
      <b/>
      <sz val="10"/>
      <color rgb="FF333399"/>
      <name val="Calibri"/>
      <family val="2"/>
    </font>
    <font>
      <sz val="9"/>
      <color theme="1"/>
      <name val="Calibri"/>
      <family val="2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rgb="FFFF0000"/>
      <name val="Calibri"/>
      <family val="2"/>
    </font>
    <font>
      <b/>
      <sz val="8"/>
      <color rgb="FFFF0000"/>
      <name val="Calibri"/>
      <family val="2"/>
    </font>
    <font>
      <sz val="8"/>
      <name val="Calibri"/>
      <family val="2"/>
    </font>
    <font>
      <b/>
      <sz val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EF"/>
      </patternFill>
    </fill>
    <fill>
      <patternFill patternType="solid">
        <fgColor rgb="FFF3F2EA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EF"/>
        <bgColor indexed="64"/>
      </patternFill>
    </fill>
  </fills>
  <borders count="17">
    <border>
      <left/>
      <right/>
      <top/>
      <bottom/>
      <diagonal/>
    </border>
    <border>
      <left style="thin">
        <color rgb="FF979991"/>
      </left>
      <right/>
      <top style="thin">
        <color rgb="FF979991"/>
      </top>
      <bottom/>
      <diagonal/>
    </border>
    <border>
      <left style="thin">
        <color rgb="FF979991"/>
      </left>
      <right/>
      <top style="thin">
        <color rgb="FF979991"/>
      </top>
      <bottom style="thin">
        <color rgb="FF979991"/>
      </bottom>
      <diagonal/>
    </border>
    <border>
      <left/>
      <right/>
      <top style="thin">
        <color rgb="FF979991"/>
      </top>
      <bottom/>
      <diagonal/>
    </border>
    <border>
      <left/>
      <right style="thin">
        <color rgb="FF979991"/>
      </right>
      <top style="thin">
        <color rgb="FF979991"/>
      </top>
      <bottom/>
      <diagonal/>
    </border>
    <border>
      <left/>
      <right/>
      <top style="thin">
        <color rgb="FF979991"/>
      </top>
      <bottom style="thin">
        <color rgb="FF979991"/>
      </bottom>
      <diagonal/>
    </border>
    <border>
      <left/>
      <right style="thin">
        <color rgb="FF979991"/>
      </right>
      <top style="thin">
        <color rgb="FF979991"/>
      </top>
      <bottom style="thin">
        <color rgb="FF979991"/>
      </bottom>
      <diagonal/>
    </border>
    <border>
      <left style="thin">
        <color rgb="FF979991"/>
      </left>
      <right/>
      <top/>
      <bottom/>
      <diagonal/>
    </border>
    <border>
      <left style="thin">
        <color rgb="FF979991"/>
      </left>
      <right style="thin">
        <color theme="0"/>
      </right>
      <top/>
      <bottom style="thick">
        <color theme="0"/>
      </bottom>
      <diagonal/>
    </border>
    <border>
      <left style="thin">
        <color rgb="FF979991"/>
      </left>
      <right/>
      <top/>
      <bottom style="thick">
        <color theme="0"/>
      </bottom>
      <diagonal/>
    </border>
    <border>
      <left style="thin">
        <color rgb="FF979991"/>
      </left>
      <right style="thin">
        <color theme="0"/>
      </right>
      <top style="thin">
        <color rgb="FF979991"/>
      </top>
      <bottom style="thin">
        <color theme="0"/>
      </bottom>
      <diagonal/>
    </border>
    <border>
      <left style="thin">
        <color rgb="FF979991"/>
      </left>
      <right/>
      <top style="thin">
        <color rgb="FF979991"/>
      </top>
      <bottom style="thin">
        <color theme="0"/>
      </bottom>
      <diagonal/>
    </border>
    <border>
      <left/>
      <right style="thin">
        <color theme="0"/>
      </right>
      <top style="thin">
        <color rgb="FF979991"/>
      </top>
      <bottom style="thin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rgb="FF979991"/>
      </top>
      <bottom/>
      <diagonal/>
    </border>
    <border>
      <left style="thin">
        <color rgb="FF979991"/>
      </left>
      <right style="thin">
        <color theme="0"/>
      </right>
      <top style="thin">
        <color rgb="FF979991"/>
      </top>
      <bottom/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right" vertical="top" wrapText="1"/>
    </xf>
    <xf numFmtId="0" fontId="5" fillId="0" borderId="1" xfId="0" applyFont="1" applyBorder="1" applyAlignment="1">
      <alignment horizontal="right" vertical="top" wrapText="1"/>
    </xf>
    <xf numFmtId="0" fontId="0" fillId="0" borderId="1" xfId="0" applyBorder="1" applyAlignment="1">
      <alignment horizontal="right" vertical="top" wrapText="1"/>
    </xf>
    <xf numFmtId="164" fontId="4" fillId="3" borderId="2" xfId="0" applyNumberFormat="1" applyFont="1" applyFill="1" applyBorder="1" applyAlignment="1">
      <alignment horizontal="right" vertical="top" wrapText="1"/>
    </xf>
    <xf numFmtId="0" fontId="3" fillId="2" borderId="1" xfId="0" applyFont="1" applyFill="1" applyBorder="1" applyAlignment="1">
      <alignment horizontal="left" vertical="top" wrapText="1"/>
    </xf>
    <xf numFmtId="164" fontId="4" fillId="3" borderId="1" xfId="0" applyNumberFormat="1" applyFont="1" applyFill="1" applyBorder="1" applyAlignment="1">
      <alignment horizontal="right" vertical="top" wrapText="1"/>
    </xf>
    <xf numFmtId="0" fontId="4" fillId="2" borderId="2" xfId="0" applyFont="1" applyFill="1" applyBorder="1" applyAlignment="1">
      <alignment horizontal="left" vertical="top" wrapText="1"/>
    </xf>
    <xf numFmtId="164" fontId="4" fillId="3" borderId="2" xfId="0" applyNumberFormat="1" applyFont="1" applyFill="1" applyBorder="1" applyAlignment="1">
      <alignment horizontal="right" vertical="top" wrapText="1"/>
    </xf>
    <xf numFmtId="0" fontId="6" fillId="3" borderId="1" xfId="0" applyFont="1" applyFill="1" applyBorder="1" applyAlignment="1">
      <alignment horizontal="right" vertical="top" wrapText="1"/>
    </xf>
    <xf numFmtId="0" fontId="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/>
    </xf>
    <xf numFmtId="0" fontId="3" fillId="2" borderId="3" xfId="0" applyFont="1" applyFill="1" applyBorder="1" applyAlignment="1">
      <alignment horizontal="left" vertical="top" wrapText="1"/>
    </xf>
    <xf numFmtId="0" fontId="4" fillId="2" borderId="1" xfId="0" applyFont="1" applyFill="1" applyBorder="1" applyAlignment="1">
      <alignment horizontal="left" vertical="top" wrapText="1"/>
    </xf>
    <xf numFmtId="0" fontId="4" fillId="2" borderId="4" xfId="0" applyFont="1" applyFill="1" applyBorder="1" applyAlignment="1">
      <alignment horizontal="left" vertical="top" wrapText="1"/>
    </xf>
    <xf numFmtId="164" fontId="4" fillId="3" borderId="1" xfId="0" applyNumberFormat="1" applyFont="1" applyFill="1" applyBorder="1" applyAlignment="1">
      <alignment horizontal="right" vertical="top" wrapText="1"/>
    </xf>
    <xf numFmtId="164" fontId="4" fillId="3" borderId="4" xfId="0" applyNumberFormat="1" applyFont="1" applyFill="1" applyBorder="1" applyAlignment="1">
      <alignment horizontal="right" vertical="top" wrapText="1"/>
    </xf>
    <xf numFmtId="0" fontId="6" fillId="3" borderId="1" xfId="0" applyFont="1" applyFill="1" applyBorder="1" applyAlignment="1">
      <alignment horizontal="right" vertical="top" wrapText="1"/>
    </xf>
    <xf numFmtId="0" fontId="6" fillId="3" borderId="4" xfId="0" applyFont="1" applyFill="1" applyBorder="1" applyAlignment="1">
      <alignment horizontal="right" vertical="top" wrapText="1"/>
    </xf>
    <xf numFmtId="0" fontId="4" fillId="0" borderId="0" xfId="0" applyFont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4" fillId="2" borderId="2" xfId="0" applyFont="1" applyFill="1" applyBorder="1" applyAlignment="1">
      <alignment horizontal="left" vertical="top" wrapText="1"/>
    </xf>
    <xf numFmtId="0" fontId="4" fillId="2" borderId="5" xfId="0" applyFont="1" applyFill="1" applyBorder="1" applyAlignment="1">
      <alignment horizontal="left" vertical="top" wrapText="1"/>
    </xf>
    <xf numFmtId="164" fontId="4" fillId="3" borderId="2" xfId="0" applyNumberFormat="1" applyFont="1" applyFill="1" applyBorder="1" applyAlignment="1">
      <alignment horizontal="right" vertical="top" wrapText="1"/>
    </xf>
    <xf numFmtId="164" fontId="4" fillId="3" borderId="6" xfId="0" applyNumberFormat="1" applyFont="1" applyFill="1" applyBorder="1" applyAlignment="1">
      <alignment horizontal="right" vertical="top" wrapText="1"/>
    </xf>
    <xf numFmtId="0" fontId="0" fillId="0" borderId="0" xfId="0" applyAlignment="1">
      <alignment horizontal="center" vertical="top" wrapText="1"/>
    </xf>
    <xf numFmtId="164" fontId="3" fillId="4" borderId="10" xfId="0" applyNumberFormat="1" applyFont="1" applyFill="1" applyBorder="1" applyAlignment="1">
      <alignment horizontal="right" vertical="top" wrapText="1"/>
    </xf>
    <xf numFmtId="164" fontId="4" fillId="3" borderId="11" xfId="0" applyNumberFormat="1" applyFont="1" applyFill="1" applyBorder="1" applyAlignment="1">
      <alignment horizontal="right" vertical="top" wrapText="1"/>
    </xf>
    <xf numFmtId="164" fontId="3" fillId="5" borderId="10" xfId="0" applyNumberFormat="1" applyFont="1" applyFill="1" applyBorder="1" applyAlignment="1">
      <alignment horizontal="right" vertical="top" wrapText="1"/>
    </xf>
    <xf numFmtId="0" fontId="5" fillId="4" borderId="10" xfId="0" applyFont="1" applyFill="1" applyBorder="1" applyAlignment="1">
      <alignment horizontal="right" vertical="top" wrapText="1"/>
    </xf>
    <xf numFmtId="0" fontId="6" fillId="3" borderId="11" xfId="0" applyFont="1" applyFill="1" applyBorder="1" applyAlignment="1">
      <alignment horizontal="right" vertical="top" wrapText="1"/>
    </xf>
    <xf numFmtId="0" fontId="5" fillId="5" borderId="10" xfId="0" applyFont="1" applyFill="1" applyBorder="1" applyAlignment="1">
      <alignment horizontal="right" vertical="top" wrapText="1"/>
    </xf>
    <xf numFmtId="0" fontId="7" fillId="2" borderId="7" xfId="0" applyFont="1" applyFill="1" applyBorder="1" applyAlignment="1">
      <alignment horizontal="left" vertical="top" wrapText="1"/>
    </xf>
    <xf numFmtId="0" fontId="8" fillId="2" borderId="7" xfId="0" applyFont="1" applyFill="1" applyBorder="1" applyAlignment="1">
      <alignment horizontal="left" vertical="top" wrapText="1"/>
    </xf>
    <xf numFmtId="0" fontId="8" fillId="2" borderId="8" xfId="0" applyFont="1" applyFill="1" applyBorder="1" applyAlignment="1">
      <alignment horizontal="left" vertical="top" wrapText="1"/>
    </xf>
    <xf numFmtId="0" fontId="8" fillId="2" borderId="9" xfId="0" applyFont="1" applyFill="1" applyBorder="1" applyAlignment="1">
      <alignment horizontal="left" vertical="top" wrapText="1"/>
    </xf>
    <xf numFmtId="0" fontId="3" fillId="2" borderId="12" xfId="0" applyFont="1" applyFill="1" applyBorder="1" applyAlignment="1">
      <alignment horizontal="left" vertical="top" wrapText="1"/>
    </xf>
    <xf numFmtId="0" fontId="8" fillId="2" borderId="13" xfId="0" applyFont="1" applyFill="1" applyBorder="1" applyAlignment="1">
      <alignment horizontal="left" vertical="top" wrapText="1"/>
    </xf>
    <xf numFmtId="0" fontId="4" fillId="2" borderId="14" xfId="0" applyFont="1" applyFill="1" applyBorder="1" applyAlignment="1">
      <alignment horizontal="left" vertical="top" wrapText="1"/>
    </xf>
    <xf numFmtId="164" fontId="4" fillId="3" borderId="15" xfId="0" applyNumberFormat="1" applyFont="1" applyFill="1" applyBorder="1" applyAlignment="1">
      <alignment horizontal="right" vertical="top" wrapText="1"/>
    </xf>
    <xf numFmtId="0" fontId="8" fillId="6" borderId="16" xfId="0" applyFont="1" applyFill="1" applyBorder="1" applyAlignment="1">
      <alignment horizontal="left" vertical="top" wrapText="1"/>
    </xf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fill>
        <patternFill patternType="solid">
          <fgColor indexed="64"/>
          <bgColor rgb="FFFFFFEF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none"/>
      </font>
      <numFmt numFmtId="164" formatCode="[$$]#,##0;[Red]\([$$]#,##0\)"/>
      <fill>
        <patternFill patternType="solid">
          <fgColor indexed="64"/>
          <bgColor rgb="FFF3F2EA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979991"/>
        </left>
        <right/>
        <top style="thin">
          <color rgb="FF979991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none"/>
      </font>
      <fill>
        <patternFill patternType="solid">
          <fgColor indexed="64"/>
          <bgColor rgb="FFFFFFEF"/>
        </patternFill>
      </fill>
      <alignment horizontal="left" vertical="top" textRotation="0" wrapText="1" indent="0" justifyLastLine="0" shrinkToFit="0" readingOrder="0"/>
      <border diagonalUp="0" diagonalDown="0">
        <left/>
        <right style="thin">
          <color theme="0"/>
        </right>
        <top style="thin">
          <color rgb="FF979991"/>
        </top>
        <bottom style="thin">
          <color theme="0"/>
        </bottom>
        <vertical/>
        <horizontal/>
      </border>
    </dxf>
    <dxf>
      <border outline="0">
        <top style="thin">
          <color rgb="FF979991"/>
        </top>
      </border>
    </dxf>
    <dxf>
      <border outline="0">
        <bottom style="thick">
          <color theme="0"/>
        </bottom>
      </border>
    </dxf>
    <dxf>
      <border outline="0">
        <left style="thin">
          <color rgb="FF979991"/>
        </left>
        <top style="thin">
          <color rgb="FF979991"/>
        </top>
        <bottom style="thin">
          <color rgb="FF97999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fill>
        <patternFill patternType="solid">
          <fgColor indexed="64"/>
          <bgColor rgb="FFFFFFEF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979991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E1048404" totalsRowShown="0" headerRowDxfId="9" tableBorderDxfId="10">
  <autoFilter ref="A1:E1048404"/>
  <tableColumns count="5">
    <tableColumn id="1" name="Building"/>
    <tableColumn id="2" name="A10 Cleaning"/>
    <tableColumn id="3" name="A30 Utilities/Fuel"/>
    <tableColumn id="4" name="A40 Mechanic Oper-Maint"/>
    <tableColumn id="5" name="Grand Tot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H1093" totalsRowShown="0" headerRowDxfId="3" headerRowBorderDxfId="7" tableBorderDxfId="8" totalsRowBorderDxfId="6">
  <autoFilter ref="A1:H1093"/>
  <tableColumns count="8">
    <tableColumn id="1" name="Building" dataDxfId="5"/>
    <tableColumn id="2" name="A10 Cleaning"/>
    <tableColumn id="3" name="A30 Utilities/Fuel"/>
    <tableColumn id="4" name="A40 Mechanic Oper-Maint"/>
    <tableColumn id="5" name="Grand Total" dataDxfId="4"/>
    <tableColumn id="6" name="State" dataDxfId="0">
      <calculatedColumnFormula>LEFT(Table2[[#This Row],[Building]],2)</calculatedColumnFormula>
    </tableColumn>
    <tableColumn id="7" name="Building Number" dataDxfId="2">
      <calculatedColumnFormula>LEFT(Table2[[#This Row],[Building]],8)</calculatedColumnFormula>
    </tableColumn>
    <tableColumn id="8" name="Building Name" dataDxfId="1">
      <calculatedColumnFormula>RIGHT(Table2[[#This Row],[Building]],LEN(Table2[[#This Row],[Building]])-9)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524"/>
  <sheetViews>
    <sheetView showGridLines="0" topLeftCell="A1498" workbookViewId="0">
      <selection activeCell="I1525" sqref="I1:I1048576"/>
    </sheetView>
  </sheetViews>
  <sheetFormatPr defaultRowHeight="15" x14ac:dyDescent="0.25"/>
  <cols>
    <col min="1" max="1" width="0.7109375" customWidth="1"/>
    <col min="2" max="2" width="2.28515625" customWidth="1"/>
    <col min="3" max="3" width="13" customWidth="1"/>
    <col min="4" max="4" width="10.7109375" customWidth="1"/>
    <col min="5" max="5" width="11.42578125" customWidth="1"/>
    <col min="6" max="6" width="13" customWidth="1"/>
    <col min="7" max="7" width="19.85546875" customWidth="1"/>
    <col min="8" max="8" width="9.140625" customWidth="1"/>
    <col min="9" max="9" width="2.28515625" customWidth="1"/>
    <col min="10" max="10" width="22.85546875" customWidth="1"/>
    <col min="11" max="13" width="0.7109375" customWidth="1"/>
  </cols>
  <sheetData>
    <row r="1" spans="1:12" x14ac:dyDescent="0.2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</row>
    <row r="2" spans="1:12" x14ac:dyDescent="0.25">
      <c r="A2" s="1"/>
      <c r="B2" s="13" t="s">
        <v>1</v>
      </c>
      <c r="C2" s="13"/>
    </row>
    <row r="3" spans="1:12" x14ac:dyDescent="0.25">
      <c r="A3" s="14" t="s">
        <v>2</v>
      </c>
      <c r="B3" s="15"/>
      <c r="C3" s="15"/>
      <c r="D3" s="15"/>
      <c r="E3" s="2" t="s">
        <v>3</v>
      </c>
      <c r="F3" s="2" t="s">
        <v>4</v>
      </c>
      <c r="G3" s="2" t="s">
        <v>5</v>
      </c>
      <c r="H3" s="16" t="s">
        <v>6</v>
      </c>
      <c r="I3" s="17"/>
    </row>
    <row r="4" spans="1:12" x14ac:dyDescent="0.25">
      <c r="A4" s="14" t="s">
        <v>7</v>
      </c>
      <c r="B4" s="15"/>
      <c r="C4" s="15"/>
      <c r="D4" s="15"/>
      <c r="E4" s="3">
        <v>264456.68</v>
      </c>
      <c r="F4" s="3">
        <v>130570.38</v>
      </c>
      <c r="G4" s="3">
        <v>157768.79</v>
      </c>
      <c r="H4" s="18">
        <v>552795.85</v>
      </c>
      <c r="I4" s="19"/>
    </row>
    <row r="5" spans="1:12" x14ac:dyDescent="0.25">
      <c r="A5" s="14" t="s">
        <v>8</v>
      </c>
      <c r="B5" s="15"/>
      <c r="C5" s="15"/>
      <c r="D5" s="15"/>
      <c r="E5" s="3">
        <v>96703.28</v>
      </c>
      <c r="F5" s="3">
        <v>76128.25</v>
      </c>
      <c r="G5" s="3">
        <v>131215.32999999999</v>
      </c>
      <c r="H5" s="18">
        <v>304046.86</v>
      </c>
      <c r="I5" s="19"/>
    </row>
    <row r="6" spans="1:12" x14ac:dyDescent="0.25">
      <c r="A6" s="14" t="s">
        <v>9</v>
      </c>
      <c r="B6" s="15"/>
      <c r="C6" s="15"/>
      <c r="D6" s="15"/>
      <c r="E6" s="3">
        <v>562040.54</v>
      </c>
      <c r="F6" s="3">
        <v>473583.56</v>
      </c>
      <c r="G6" s="3">
        <v>475997.31</v>
      </c>
      <c r="H6" s="18">
        <v>1511621.41</v>
      </c>
      <c r="I6" s="19"/>
    </row>
    <row r="7" spans="1:12" x14ac:dyDescent="0.25">
      <c r="A7" s="14" t="s">
        <v>10</v>
      </c>
      <c r="B7" s="15"/>
      <c r="C7" s="15"/>
      <c r="D7" s="15"/>
      <c r="E7" s="3">
        <v>257226.63</v>
      </c>
      <c r="F7" s="3">
        <v>408334.61</v>
      </c>
      <c r="G7" s="3">
        <v>295269.33</v>
      </c>
      <c r="H7" s="18">
        <v>960830.57</v>
      </c>
      <c r="I7" s="19"/>
    </row>
    <row r="8" spans="1:12" x14ac:dyDescent="0.25">
      <c r="A8" s="14" t="s">
        <v>11</v>
      </c>
      <c r="B8" s="15"/>
      <c r="C8" s="15"/>
      <c r="D8" s="15"/>
      <c r="E8" s="3">
        <v>1127267.2</v>
      </c>
      <c r="F8" s="3">
        <v>1124849.18</v>
      </c>
      <c r="G8" s="3">
        <v>1140798.95</v>
      </c>
      <c r="H8" s="18">
        <v>3392915.33</v>
      </c>
      <c r="I8" s="19"/>
    </row>
    <row r="9" spans="1:12" x14ac:dyDescent="0.25">
      <c r="A9" s="14" t="s">
        <v>12</v>
      </c>
      <c r="B9" s="15"/>
      <c r="C9" s="15"/>
      <c r="D9" s="15"/>
      <c r="E9" s="3">
        <v>32249.93</v>
      </c>
      <c r="F9" s="3">
        <v>6191</v>
      </c>
      <c r="G9" s="3">
        <v>2705.75</v>
      </c>
      <c r="H9" s="18">
        <v>41146.68</v>
      </c>
      <c r="I9" s="19"/>
    </row>
    <row r="10" spans="1:12" x14ac:dyDescent="0.25">
      <c r="A10" s="14" t="s">
        <v>13</v>
      </c>
      <c r="B10" s="15"/>
      <c r="C10" s="15"/>
      <c r="D10" s="15"/>
      <c r="E10" s="4" t="s">
        <v>14</v>
      </c>
      <c r="F10" s="4" t="s">
        <v>15</v>
      </c>
      <c r="G10" s="4" t="s">
        <v>16</v>
      </c>
      <c r="H10" s="20" t="s">
        <v>17</v>
      </c>
      <c r="I10" s="21"/>
    </row>
    <row r="11" spans="1:12" x14ac:dyDescent="0.25">
      <c r="A11" s="14" t="s">
        <v>18</v>
      </c>
      <c r="B11" s="15"/>
      <c r="C11" s="15"/>
      <c r="D11" s="15"/>
      <c r="E11" s="3">
        <v>25829.599999999999</v>
      </c>
      <c r="F11" s="3">
        <v>17434.689999999999</v>
      </c>
      <c r="G11" s="3">
        <v>66742.8</v>
      </c>
      <c r="H11" s="18">
        <v>110007.09</v>
      </c>
      <c r="I11" s="19"/>
    </row>
    <row r="12" spans="1:12" x14ac:dyDescent="0.25">
      <c r="A12" s="14" t="s">
        <v>19</v>
      </c>
      <c r="B12" s="15"/>
      <c r="C12" s="15"/>
      <c r="D12" s="15"/>
      <c r="E12" s="4" t="s">
        <v>20</v>
      </c>
      <c r="F12" s="3">
        <v>20544.14</v>
      </c>
      <c r="G12" s="3">
        <v>22630.17</v>
      </c>
      <c r="H12" s="18">
        <v>36828.239999999998</v>
      </c>
      <c r="I12" s="19"/>
    </row>
    <row r="13" spans="1:12" x14ac:dyDescent="0.25">
      <c r="A13" s="14" t="s">
        <v>21</v>
      </c>
      <c r="B13" s="15"/>
      <c r="C13" s="15"/>
      <c r="D13" s="15"/>
      <c r="E13" s="4" t="s">
        <v>22</v>
      </c>
      <c r="F13" s="4" t="s">
        <v>23</v>
      </c>
      <c r="G13" s="4" t="s">
        <v>24</v>
      </c>
      <c r="H13" s="20" t="s">
        <v>25</v>
      </c>
      <c r="I13" s="21"/>
    </row>
    <row r="14" spans="1:12" x14ac:dyDescent="0.25">
      <c r="A14" s="14" t="s">
        <v>26</v>
      </c>
      <c r="B14" s="15"/>
      <c r="C14" s="15"/>
      <c r="D14" s="15"/>
      <c r="E14" s="3">
        <v>437721.3</v>
      </c>
      <c r="F14" s="3">
        <v>593334.19999999995</v>
      </c>
      <c r="G14" s="3">
        <v>414622.87</v>
      </c>
      <c r="H14" s="18">
        <v>1445678.37</v>
      </c>
      <c r="I14" s="19"/>
    </row>
    <row r="15" spans="1:12" x14ac:dyDescent="0.25">
      <c r="A15" s="14" t="s">
        <v>27</v>
      </c>
      <c r="B15" s="15"/>
      <c r="C15" s="15"/>
      <c r="D15" s="15"/>
      <c r="E15" s="3">
        <v>42897.67</v>
      </c>
      <c r="F15" s="3">
        <v>35333.980000000003</v>
      </c>
      <c r="G15" s="3">
        <v>82229.67</v>
      </c>
      <c r="H15" s="18">
        <v>160461.32</v>
      </c>
      <c r="I15" s="19"/>
    </row>
    <row r="16" spans="1:12" x14ac:dyDescent="0.25">
      <c r="A16" s="14" t="s">
        <v>28</v>
      </c>
      <c r="B16" s="15"/>
      <c r="C16" s="15"/>
      <c r="D16" s="15"/>
      <c r="E16" s="3">
        <v>1639.04</v>
      </c>
      <c r="F16" s="5"/>
      <c r="G16" s="3">
        <v>6528.88</v>
      </c>
      <c r="H16" s="18">
        <v>8167.92</v>
      </c>
      <c r="I16" s="19"/>
    </row>
    <row r="17" spans="1:9" x14ac:dyDescent="0.25">
      <c r="A17" s="14" t="s">
        <v>29</v>
      </c>
      <c r="B17" s="15"/>
      <c r="C17" s="15"/>
      <c r="D17" s="15"/>
      <c r="E17" s="5"/>
      <c r="F17" s="3">
        <v>4063.35</v>
      </c>
      <c r="G17" s="5"/>
      <c r="H17" s="18">
        <v>4063.35</v>
      </c>
      <c r="I17" s="19"/>
    </row>
    <row r="18" spans="1:9" x14ac:dyDescent="0.25">
      <c r="A18" s="14" t="s">
        <v>30</v>
      </c>
      <c r="B18" s="15"/>
      <c r="C18" s="15"/>
      <c r="D18" s="15"/>
      <c r="E18" s="3">
        <v>251663.64</v>
      </c>
      <c r="F18" s="3">
        <v>209980.92</v>
      </c>
      <c r="G18" s="3">
        <v>204174.37</v>
      </c>
      <c r="H18" s="18">
        <v>665818.93000000005</v>
      </c>
      <c r="I18" s="19"/>
    </row>
    <row r="19" spans="1:9" x14ac:dyDescent="0.25">
      <c r="A19" s="14" t="s">
        <v>31</v>
      </c>
      <c r="B19" s="15"/>
      <c r="C19" s="15"/>
      <c r="D19" s="15"/>
      <c r="E19" s="3">
        <v>332597.44</v>
      </c>
      <c r="F19" s="3">
        <v>94407.06</v>
      </c>
      <c r="G19" s="3">
        <v>437057.57</v>
      </c>
      <c r="H19" s="18">
        <v>864062.07</v>
      </c>
      <c r="I19" s="19"/>
    </row>
    <row r="20" spans="1:9" x14ac:dyDescent="0.25">
      <c r="A20" s="14" t="s">
        <v>32</v>
      </c>
      <c r="B20" s="15"/>
      <c r="C20" s="15"/>
      <c r="D20" s="15"/>
      <c r="E20" s="3">
        <v>7351.84</v>
      </c>
      <c r="F20" s="5"/>
      <c r="G20" s="3">
        <v>2672.72</v>
      </c>
      <c r="H20" s="18">
        <v>10024.56</v>
      </c>
      <c r="I20" s="19"/>
    </row>
    <row r="21" spans="1:9" x14ac:dyDescent="0.25">
      <c r="A21" s="14" t="s">
        <v>33</v>
      </c>
      <c r="B21" s="15"/>
      <c r="C21" s="15"/>
      <c r="D21" s="15"/>
      <c r="E21" s="3">
        <v>27691.55</v>
      </c>
      <c r="F21" s="3">
        <v>26220.63</v>
      </c>
      <c r="G21" s="3">
        <v>110228.03</v>
      </c>
      <c r="H21" s="18">
        <v>164140.21</v>
      </c>
      <c r="I21" s="19"/>
    </row>
    <row r="22" spans="1:9" x14ac:dyDescent="0.25">
      <c r="A22" s="14" t="s">
        <v>34</v>
      </c>
      <c r="B22" s="15"/>
      <c r="C22" s="15"/>
      <c r="D22" s="15"/>
      <c r="E22" s="3">
        <v>50021.16</v>
      </c>
      <c r="F22" s="3">
        <v>33936.68</v>
      </c>
      <c r="G22" s="3">
        <v>65472.480000000003</v>
      </c>
      <c r="H22" s="18">
        <v>149430.32</v>
      </c>
      <c r="I22" s="19"/>
    </row>
    <row r="23" spans="1:9" x14ac:dyDescent="0.25">
      <c r="A23" s="14" t="s">
        <v>35</v>
      </c>
      <c r="B23" s="15"/>
      <c r="C23" s="15"/>
      <c r="D23" s="15"/>
      <c r="E23" s="3">
        <v>90720.78</v>
      </c>
      <c r="F23" s="3">
        <v>71189.05</v>
      </c>
      <c r="G23" s="3">
        <v>111702.31</v>
      </c>
      <c r="H23" s="18">
        <v>273612.14</v>
      </c>
      <c r="I23" s="19"/>
    </row>
    <row r="24" spans="1:9" x14ac:dyDescent="0.25">
      <c r="A24" s="14" t="s">
        <v>36</v>
      </c>
      <c r="B24" s="15"/>
      <c r="C24" s="15"/>
      <c r="D24" s="15"/>
      <c r="E24" s="3">
        <v>231608.23</v>
      </c>
      <c r="F24" s="3">
        <v>168723.53</v>
      </c>
      <c r="G24" s="3">
        <v>229271.87</v>
      </c>
      <c r="H24" s="18">
        <v>629603.63</v>
      </c>
      <c r="I24" s="19"/>
    </row>
    <row r="25" spans="1:9" x14ac:dyDescent="0.25">
      <c r="A25" s="14" t="s">
        <v>37</v>
      </c>
      <c r="B25" s="15"/>
      <c r="C25" s="15"/>
      <c r="D25" s="15"/>
      <c r="E25" s="3">
        <v>209850.34</v>
      </c>
      <c r="F25" s="5"/>
      <c r="G25" s="3">
        <v>237332.78</v>
      </c>
      <c r="H25" s="18">
        <v>447183.12</v>
      </c>
      <c r="I25" s="19"/>
    </row>
    <row r="26" spans="1:9" x14ac:dyDescent="0.25">
      <c r="A26" s="14" t="s">
        <v>38</v>
      </c>
      <c r="B26" s="15"/>
      <c r="C26" s="15"/>
      <c r="D26" s="15"/>
      <c r="E26" s="3">
        <v>27144.57</v>
      </c>
      <c r="F26" s="3">
        <v>29164.26</v>
      </c>
      <c r="G26" s="3">
        <v>152750.78</v>
      </c>
      <c r="H26" s="18">
        <v>209059.61</v>
      </c>
      <c r="I26" s="19"/>
    </row>
    <row r="27" spans="1:9" x14ac:dyDescent="0.25">
      <c r="A27" s="14" t="s">
        <v>39</v>
      </c>
      <c r="B27" s="15"/>
      <c r="C27" s="15"/>
      <c r="D27" s="15"/>
      <c r="E27" s="3">
        <v>29182.75</v>
      </c>
      <c r="F27" s="3">
        <v>29228.22</v>
      </c>
      <c r="G27" s="3">
        <v>82057.17</v>
      </c>
      <c r="H27" s="18">
        <v>140468.14000000001</v>
      </c>
      <c r="I27" s="19"/>
    </row>
    <row r="28" spans="1:9" x14ac:dyDescent="0.25">
      <c r="A28" s="14" t="s">
        <v>40</v>
      </c>
      <c r="B28" s="15"/>
      <c r="C28" s="15"/>
      <c r="D28" s="15"/>
      <c r="E28" s="3">
        <v>373074.52</v>
      </c>
      <c r="F28" s="3">
        <v>119975.27</v>
      </c>
      <c r="G28" s="3">
        <v>233898.42</v>
      </c>
      <c r="H28" s="18">
        <v>726948.21</v>
      </c>
      <c r="I28" s="19"/>
    </row>
    <row r="29" spans="1:9" x14ac:dyDescent="0.25">
      <c r="A29" s="14" t="s">
        <v>41</v>
      </c>
      <c r="B29" s="15"/>
      <c r="C29" s="15"/>
      <c r="D29" s="15"/>
      <c r="E29" s="3">
        <v>23817.13</v>
      </c>
      <c r="F29" s="3">
        <v>18881.48</v>
      </c>
      <c r="G29" s="3">
        <v>27146.1</v>
      </c>
      <c r="H29" s="18">
        <v>69844.710000000006</v>
      </c>
      <c r="I29" s="19"/>
    </row>
    <row r="30" spans="1:9" x14ac:dyDescent="0.25">
      <c r="A30" s="14" t="s">
        <v>42</v>
      </c>
      <c r="B30" s="15"/>
      <c r="C30" s="15"/>
      <c r="D30" s="15"/>
      <c r="E30" s="3">
        <v>858</v>
      </c>
      <c r="F30" s="3">
        <v>9440.7099999999991</v>
      </c>
      <c r="G30" s="3">
        <v>53721.440000000002</v>
      </c>
      <c r="H30" s="18">
        <v>64020.15</v>
      </c>
      <c r="I30" s="19"/>
    </row>
    <row r="31" spans="1:9" x14ac:dyDescent="0.25">
      <c r="A31" s="14" t="s">
        <v>43</v>
      </c>
      <c r="B31" s="15"/>
      <c r="C31" s="15"/>
      <c r="D31" s="15"/>
      <c r="E31" s="5"/>
      <c r="F31" s="5"/>
      <c r="G31" s="4" t="s">
        <v>44</v>
      </c>
      <c r="H31" s="20" t="s">
        <v>44</v>
      </c>
      <c r="I31" s="21"/>
    </row>
    <row r="32" spans="1:9" x14ac:dyDescent="0.25">
      <c r="A32" s="14" t="s">
        <v>45</v>
      </c>
      <c r="B32" s="15"/>
      <c r="C32" s="15"/>
      <c r="D32" s="15"/>
      <c r="E32" s="3">
        <v>130730.19</v>
      </c>
      <c r="F32" s="3">
        <v>72990.5</v>
      </c>
      <c r="G32" s="3">
        <v>186471.49</v>
      </c>
      <c r="H32" s="18">
        <v>390192.18</v>
      </c>
      <c r="I32" s="19"/>
    </row>
    <row r="33" spans="1:9" x14ac:dyDescent="0.25">
      <c r="A33" s="14" t="s">
        <v>46</v>
      </c>
      <c r="B33" s="15"/>
      <c r="C33" s="15"/>
      <c r="D33" s="15"/>
      <c r="E33" s="3">
        <v>301595</v>
      </c>
      <c r="F33" s="3">
        <v>19184.96</v>
      </c>
      <c r="G33" s="3">
        <v>525581.93000000005</v>
      </c>
      <c r="H33" s="18">
        <v>846361.89</v>
      </c>
      <c r="I33" s="19"/>
    </row>
    <row r="34" spans="1:9" x14ac:dyDescent="0.25">
      <c r="A34" s="14" t="s">
        <v>47</v>
      </c>
      <c r="B34" s="15"/>
      <c r="C34" s="15"/>
      <c r="D34" s="15"/>
      <c r="E34" s="3">
        <v>125835.28</v>
      </c>
      <c r="F34" s="3">
        <v>105320.59</v>
      </c>
      <c r="G34" s="3">
        <v>185175</v>
      </c>
      <c r="H34" s="18">
        <v>416330.87</v>
      </c>
      <c r="I34" s="19"/>
    </row>
    <row r="35" spans="1:9" x14ac:dyDescent="0.25">
      <c r="A35" s="14" t="s">
        <v>48</v>
      </c>
      <c r="B35" s="15"/>
      <c r="C35" s="15"/>
      <c r="D35" s="15"/>
      <c r="E35" s="3">
        <v>102404.58</v>
      </c>
      <c r="F35" s="3">
        <v>71407.12</v>
      </c>
      <c r="G35" s="3">
        <v>139126.32999999999</v>
      </c>
      <c r="H35" s="18">
        <v>312938.03000000003</v>
      </c>
      <c r="I35" s="19"/>
    </row>
    <row r="36" spans="1:9" x14ac:dyDescent="0.25">
      <c r="A36" s="14" t="s">
        <v>49</v>
      </c>
      <c r="B36" s="15"/>
      <c r="C36" s="15"/>
      <c r="D36" s="15"/>
      <c r="E36" s="3">
        <v>104026.96</v>
      </c>
      <c r="F36" s="3">
        <v>57188.36</v>
      </c>
      <c r="G36" s="3">
        <v>160740.69</v>
      </c>
      <c r="H36" s="18">
        <v>321956.01</v>
      </c>
      <c r="I36" s="19"/>
    </row>
    <row r="37" spans="1:9" x14ac:dyDescent="0.25">
      <c r="A37" s="14" t="s">
        <v>50</v>
      </c>
      <c r="B37" s="15"/>
      <c r="C37" s="15"/>
      <c r="D37" s="15"/>
      <c r="E37" s="3">
        <v>499020.88</v>
      </c>
      <c r="F37" s="3">
        <v>544680.13</v>
      </c>
      <c r="G37" s="3">
        <v>767580.87</v>
      </c>
      <c r="H37" s="18">
        <v>1811281.88</v>
      </c>
      <c r="I37" s="19"/>
    </row>
    <row r="38" spans="1:9" x14ac:dyDescent="0.25">
      <c r="A38" s="14" t="s">
        <v>51</v>
      </c>
      <c r="B38" s="15"/>
      <c r="C38" s="15"/>
      <c r="D38" s="15"/>
      <c r="E38" s="3">
        <v>57557.64</v>
      </c>
      <c r="F38" s="3">
        <v>48983.32</v>
      </c>
      <c r="G38" s="3">
        <v>184876.45</v>
      </c>
      <c r="H38" s="18">
        <v>291417.40999999997</v>
      </c>
      <c r="I38" s="19"/>
    </row>
    <row r="39" spans="1:9" x14ac:dyDescent="0.25">
      <c r="A39" s="14" t="s">
        <v>52</v>
      </c>
      <c r="B39" s="15"/>
      <c r="C39" s="15"/>
      <c r="D39" s="15"/>
      <c r="E39" s="3">
        <v>158817.53</v>
      </c>
      <c r="F39" s="3">
        <v>117829</v>
      </c>
      <c r="G39" s="3">
        <v>261034.79</v>
      </c>
      <c r="H39" s="18">
        <v>537681.31999999995</v>
      </c>
      <c r="I39" s="19"/>
    </row>
    <row r="40" spans="1:9" x14ac:dyDescent="0.25">
      <c r="A40" s="14" t="s">
        <v>53</v>
      </c>
      <c r="B40" s="15"/>
      <c r="C40" s="15"/>
      <c r="D40" s="15"/>
      <c r="E40" s="3">
        <v>76080</v>
      </c>
      <c r="F40" s="3">
        <v>66447.820000000007</v>
      </c>
      <c r="G40" s="3">
        <v>156218.62</v>
      </c>
      <c r="H40" s="18">
        <v>298746.44</v>
      </c>
      <c r="I40" s="19"/>
    </row>
    <row r="41" spans="1:9" x14ac:dyDescent="0.25">
      <c r="A41" s="14" t="s">
        <v>54</v>
      </c>
      <c r="B41" s="15"/>
      <c r="C41" s="15"/>
      <c r="D41" s="15"/>
      <c r="E41" s="3">
        <v>10768.4</v>
      </c>
      <c r="F41" s="5"/>
      <c r="G41" s="5"/>
      <c r="H41" s="18">
        <v>10768.4</v>
      </c>
      <c r="I41" s="19"/>
    </row>
    <row r="42" spans="1:9" x14ac:dyDescent="0.25">
      <c r="A42" s="14" t="s">
        <v>55</v>
      </c>
      <c r="B42" s="15"/>
      <c r="C42" s="15"/>
      <c r="D42" s="15"/>
      <c r="E42" s="3">
        <v>121367.62</v>
      </c>
      <c r="F42" s="3">
        <v>74262.64</v>
      </c>
      <c r="G42" s="3">
        <v>141381.60999999999</v>
      </c>
      <c r="H42" s="18">
        <v>337011.87</v>
      </c>
      <c r="I42" s="19"/>
    </row>
    <row r="43" spans="1:9" x14ac:dyDescent="0.25">
      <c r="A43" s="14" t="s">
        <v>56</v>
      </c>
      <c r="B43" s="15"/>
      <c r="C43" s="15"/>
      <c r="D43" s="15"/>
      <c r="E43" s="3">
        <v>288298.78000000003</v>
      </c>
      <c r="F43" s="3">
        <v>199611.5</v>
      </c>
      <c r="G43" s="3">
        <v>372290.47</v>
      </c>
      <c r="H43" s="18">
        <v>860200.75</v>
      </c>
      <c r="I43" s="19"/>
    </row>
    <row r="44" spans="1:9" x14ac:dyDescent="0.25">
      <c r="A44" s="14" t="s">
        <v>57</v>
      </c>
      <c r="B44" s="15"/>
      <c r="C44" s="15"/>
      <c r="D44" s="15"/>
      <c r="E44" s="5"/>
      <c r="F44" s="5"/>
      <c r="G44" s="4" t="s">
        <v>58</v>
      </c>
      <c r="H44" s="20" t="s">
        <v>58</v>
      </c>
      <c r="I44" s="21"/>
    </row>
    <row r="45" spans="1:9" x14ac:dyDescent="0.25">
      <c r="A45" s="14" t="s">
        <v>59</v>
      </c>
      <c r="B45" s="15"/>
      <c r="C45" s="15"/>
      <c r="D45" s="15"/>
      <c r="E45" s="5"/>
      <c r="F45" s="5"/>
      <c r="G45" s="3">
        <v>22797.82</v>
      </c>
      <c r="H45" s="18">
        <v>22797.82</v>
      </c>
      <c r="I45" s="19"/>
    </row>
    <row r="46" spans="1:9" x14ac:dyDescent="0.25">
      <c r="A46" s="14" t="s">
        <v>60</v>
      </c>
      <c r="B46" s="15"/>
      <c r="C46" s="15"/>
      <c r="D46" s="15"/>
      <c r="E46" s="5"/>
      <c r="F46" s="5"/>
      <c r="G46" s="3">
        <v>840</v>
      </c>
      <c r="H46" s="18">
        <v>840</v>
      </c>
      <c r="I46" s="19"/>
    </row>
    <row r="47" spans="1:9" x14ac:dyDescent="0.25">
      <c r="A47" s="14" t="s">
        <v>61</v>
      </c>
      <c r="B47" s="15"/>
      <c r="C47" s="15"/>
      <c r="D47" s="15"/>
      <c r="E47" s="5"/>
      <c r="F47" s="5"/>
      <c r="G47" s="4" t="s">
        <v>62</v>
      </c>
      <c r="H47" s="20" t="s">
        <v>62</v>
      </c>
      <c r="I47" s="21"/>
    </row>
    <row r="48" spans="1:9" x14ac:dyDescent="0.25">
      <c r="A48" s="14" t="s">
        <v>63</v>
      </c>
      <c r="B48" s="15"/>
      <c r="C48" s="15"/>
      <c r="D48" s="15"/>
      <c r="E48" s="5"/>
      <c r="F48" s="3">
        <v>324903.78999999998</v>
      </c>
      <c r="G48" s="5"/>
      <c r="H48" s="18">
        <v>324903.78999999998</v>
      </c>
      <c r="I48" s="19"/>
    </row>
    <row r="49" spans="1:9" x14ac:dyDescent="0.25">
      <c r="A49" s="14" t="s">
        <v>64</v>
      </c>
      <c r="B49" s="15"/>
      <c r="C49" s="15"/>
      <c r="D49" s="15"/>
      <c r="E49" s="3">
        <v>130399.2</v>
      </c>
      <c r="F49" s="3">
        <v>78229.929999999993</v>
      </c>
      <c r="G49" s="3">
        <v>158803.10999999999</v>
      </c>
      <c r="H49" s="18">
        <v>367432.24</v>
      </c>
      <c r="I49" s="19"/>
    </row>
    <row r="50" spans="1:9" x14ac:dyDescent="0.25">
      <c r="A50" s="14" t="s">
        <v>65</v>
      </c>
      <c r="B50" s="15"/>
      <c r="C50" s="15"/>
      <c r="D50" s="15"/>
      <c r="E50" s="5"/>
      <c r="F50" s="3">
        <v>1178.7</v>
      </c>
      <c r="G50" s="5"/>
      <c r="H50" s="18">
        <v>1178.7</v>
      </c>
      <c r="I50" s="19"/>
    </row>
    <row r="51" spans="1:9" x14ac:dyDescent="0.25">
      <c r="A51" s="14" t="s">
        <v>66</v>
      </c>
      <c r="B51" s="15"/>
      <c r="C51" s="15"/>
      <c r="D51" s="15"/>
      <c r="E51" s="3">
        <v>365706.73</v>
      </c>
      <c r="F51" s="3">
        <v>321008.06</v>
      </c>
      <c r="G51" s="3">
        <v>470003.56</v>
      </c>
      <c r="H51" s="18">
        <v>1156718.3500000001</v>
      </c>
      <c r="I51" s="19"/>
    </row>
    <row r="52" spans="1:9" x14ac:dyDescent="0.25">
      <c r="A52" s="14" t="s">
        <v>67</v>
      </c>
      <c r="B52" s="15"/>
      <c r="C52" s="15"/>
      <c r="D52" s="15"/>
      <c r="E52" s="3">
        <v>284648.49</v>
      </c>
      <c r="F52" s="3">
        <v>158366.42000000001</v>
      </c>
      <c r="G52" s="3">
        <v>265108.03999999998</v>
      </c>
      <c r="H52" s="18">
        <v>708122.95</v>
      </c>
      <c r="I52" s="19"/>
    </row>
    <row r="53" spans="1:9" x14ac:dyDescent="0.25">
      <c r="A53" s="14" t="s">
        <v>68</v>
      </c>
      <c r="B53" s="15"/>
      <c r="C53" s="15"/>
      <c r="D53" s="15"/>
      <c r="E53" s="3">
        <v>802226.64</v>
      </c>
      <c r="F53" s="3">
        <v>759216.88</v>
      </c>
      <c r="G53" s="3">
        <v>842922.31</v>
      </c>
      <c r="H53" s="18">
        <v>2404365.83</v>
      </c>
      <c r="I53" s="19"/>
    </row>
    <row r="54" spans="1:9" x14ac:dyDescent="0.25">
      <c r="A54" s="14" t="s">
        <v>69</v>
      </c>
      <c r="B54" s="15"/>
      <c r="C54" s="15"/>
      <c r="D54" s="15"/>
      <c r="E54" s="3">
        <v>775034.81</v>
      </c>
      <c r="F54" s="3">
        <v>591995.28</v>
      </c>
      <c r="G54" s="3">
        <v>626635.42000000004</v>
      </c>
      <c r="H54" s="18">
        <v>1993665.51</v>
      </c>
      <c r="I54" s="19"/>
    </row>
    <row r="55" spans="1:9" x14ac:dyDescent="0.25">
      <c r="A55" s="14" t="s">
        <v>70</v>
      </c>
      <c r="B55" s="15"/>
      <c r="C55" s="15"/>
      <c r="D55" s="15"/>
      <c r="E55" s="3">
        <v>1330.35</v>
      </c>
      <c r="F55" s="3">
        <v>1291.8900000000001</v>
      </c>
      <c r="G55" s="3">
        <v>1339.76</v>
      </c>
      <c r="H55" s="18">
        <v>3962</v>
      </c>
      <c r="I55" s="19"/>
    </row>
    <row r="56" spans="1:9" x14ac:dyDescent="0.25">
      <c r="A56" s="14" t="s">
        <v>71</v>
      </c>
      <c r="B56" s="15"/>
      <c r="C56" s="15"/>
      <c r="D56" s="15"/>
      <c r="E56" s="3">
        <v>2980.48</v>
      </c>
      <c r="F56" s="3">
        <v>4409.04</v>
      </c>
      <c r="G56" s="3">
        <v>2611.5</v>
      </c>
      <c r="H56" s="18">
        <v>10001.02</v>
      </c>
      <c r="I56" s="19"/>
    </row>
    <row r="57" spans="1:9" x14ac:dyDescent="0.25">
      <c r="A57" s="14" t="s">
        <v>72</v>
      </c>
      <c r="B57" s="15"/>
      <c r="C57" s="15"/>
      <c r="D57" s="15"/>
      <c r="E57" s="3">
        <v>4364.2700000000004</v>
      </c>
      <c r="F57" s="3">
        <v>2487.09</v>
      </c>
      <c r="G57" s="3">
        <v>2520.2199999999998</v>
      </c>
      <c r="H57" s="18">
        <v>9371.58</v>
      </c>
      <c r="I57" s="19"/>
    </row>
    <row r="58" spans="1:9" x14ac:dyDescent="0.25">
      <c r="A58" s="14" t="s">
        <v>73</v>
      </c>
      <c r="B58" s="15"/>
      <c r="C58" s="15"/>
      <c r="D58" s="15"/>
      <c r="E58" s="3">
        <v>11193.11</v>
      </c>
      <c r="F58" s="3">
        <v>6845.71</v>
      </c>
      <c r="G58" s="3">
        <v>8017.24</v>
      </c>
      <c r="H58" s="18">
        <v>26056.06</v>
      </c>
      <c r="I58" s="19"/>
    </row>
    <row r="59" spans="1:9" x14ac:dyDescent="0.25">
      <c r="A59" s="14" t="s">
        <v>74</v>
      </c>
      <c r="B59" s="15"/>
      <c r="C59" s="15"/>
      <c r="D59" s="15"/>
      <c r="E59" s="3">
        <v>3840.5</v>
      </c>
      <c r="F59" s="3">
        <v>2188.62</v>
      </c>
      <c r="G59" s="3">
        <v>2217.8000000000002</v>
      </c>
      <c r="H59" s="18">
        <v>8246.92</v>
      </c>
      <c r="I59" s="19"/>
    </row>
    <row r="60" spans="1:9" x14ac:dyDescent="0.25">
      <c r="A60" s="14" t="s">
        <v>75</v>
      </c>
      <c r="B60" s="15"/>
      <c r="C60" s="15"/>
      <c r="D60" s="15"/>
      <c r="E60" s="3">
        <v>79818.69</v>
      </c>
      <c r="F60" s="3">
        <v>68117.710000000006</v>
      </c>
      <c r="G60" s="3">
        <v>61361.599999999999</v>
      </c>
      <c r="H60" s="18">
        <v>209298</v>
      </c>
      <c r="I60" s="19"/>
    </row>
    <row r="61" spans="1:9" x14ac:dyDescent="0.25">
      <c r="A61" s="14" t="s">
        <v>76</v>
      </c>
      <c r="B61" s="15"/>
      <c r="C61" s="15"/>
      <c r="D61" s="15"/>
      <c r="E61" s="4" t="s">
        <v>77</v>
      </c>
      <c r="F61" s="4" t="s">
        <v>78</v>
      </c>
      <c r="G61" s="4" t="s">
        <v>79</v>
      </c>
      <c r="H61" s="20" t="s">
        <v>80</v>
      </c>
      <c r="I61" s="21"/>
    </row>
    <row r="62" spans="1:9" x14ac:dyDescent="0.25">
      <c r="A62" s="14" t="s">
        <v>81</v>
      </c>
      <c r="B62" s="15"/>
      <c r="C62" s="15"/>
      <c r="D62" s="15"/>
      <c r="E62" s="3">
        <v>40895.339999999997</v>
      </c>
      <c r="F62" s="3">
        <v>43269.9</v>
      </c>
      <c r="G62" s="3">
        <v>17536.78</v>
      </c>
      <c r="H62" s="18">
        <v>101702.02</v>
      </c>
      <c r="I62" s="19"/>
    </row>
    <row r="63" spans="1:9" x14ac:dyDescent="0.25">
      <c r="A63" s="14" t="s">
        <v>82</v>
      </c>
      <c r="B63" s="15"/>
      <c r="C63" s="15"/>
      <c r="D63" s="15"/>
      <c r="E63" s="3">
        <v>144218.5</v>
      </c>
      <c r="F63" s="3">
        <v>152593.44</v>
      </c>
      <c r="G63" s="3">
        <v>61824.45</v>
      </c>
      <c r="H63" s="18">
        <v>358636.39</v>
      </c>
      <c r="I63" s="19"/>
    </row>
    <row r="64" spans="1:9" x14ac:dyDescent="0.25">
      <c r="A64" s="14" t="s">
        <v>83</v>
      </c>
      <c r="B64" s="15"/>
      <c r="C64" s="15"/>
      <c r="D64" s="15"/>
      <c r="E64" s="3">
        <v>7794.95</v>
      </c>
      <c r="F64" s="3">
        <v>8237.1200000000008</v>
      </c>
      <c r="G64" s="3">
        <v>3344.29</v>
      </c>
      <c r="H64" s="18">
        <v>19376.36</v>
      </c>
      <c r="I64" s="19"/>
    </row>
    <row r="65" spans="1:9" x14ac:dyDescent="0.25">
      <c r="A65" s="14" t="s">
        <v>84</v>
      </c>
      <c r="B65" s="15"/>
      <c r="C65" s="15"/>
      <c r="D65" s="15"/>
      <c r="E65" s="3">
        <v>16595.95</v>
      </c>
      <c r="F65" s="3">
        <v>17520.03</v>
      </c>
      <c r="G65" s="3">
        <v>14656.06</v>
      </c>
      <c r="H65" s="18">
        <v>48772.04</v>
      </c>
      <c r="I65" s="19"/>
    </row>
    <row r="66" spans="1:9" x14ac:dyDescent="0.25">
      <c r="A66" s="14" t="s">
        <v>85</v>
      </c>
      <c r="B66" s="15"/>
      <c r="C66" s="15"/>
      <c r="D66" s="15"/>
      <c r="E66" s="3">
        <v>3912.22</v>
      </c>
      <c r="F66" s="3">
        <v>4134.05</v>
      </c>
      <c r="G66" s="3">
        <v>1678.51</v>
      </c>
      <c r="H66" s="18">
        <v>9724.7800000000007</v>
      </c>
      <c r="I66" s="19"/>
    </row>
    <row r="67" spans="1:9" x14ac:dyDescent="0.25">
      <c r="A67" s="14" t="s">
        <v>86</v>
      </c>
      <c r="B67" s="15"/>
      <c r="C67" s="15"/>
      <c r="D67" s="15"/>
      <c r="E67" s="3">
        <v>10090.9</v>
      </c>
      <c r="F67" s="3">
        <v>10671.14</v>
      </c>
      <c r="G67" s="3">
        <v>4328.1099999999997</v>
      </c>
      <c r="H67" s="18">
        <v>25090.15</v>
      </c>
      <c r="I67" s="19"/>
    </row>
    <row r="68" spans="1:9" x14ac:dyDescent="0.25">
      <c r="A68" s="14" t="s">
        <v>87</v>
      </c>
      <c r="B68" s="15"/>
      <c r="C68" s="15"/>
      <c r="D68" s="15"/>
      <c r="E68" s="3">
        <v>6222.27</v>
      </c>
      <c r="F68" s="3">
        <v>6573.02</v>
      </c>
      <c r="G68" s="3">
        <v>2669.91</v>
      </c>
      <c r="H68" s="18">
        <v>15465.2</v>
      </c>
      <c r="I68" s="19"/>
    </row>
    <row r="69" spans="1:9" x14ac:dyDescent="0.25">
      <c r="A69" s="14" t="s">
        <v>88</v>
      </c>
      <c r="B69" s="15"/>
      <c r="C69" s="15"/>
      <c r="D69" s="15"/>
      <c r="E69" s="3">
        <v>37100.04</v>
      </c>
      <c r="F69" s="3">
        <v>62564.79</v>
      </c>
      <c r="G69" s="3">
        <v>62781.03</v>
      </c>
      <c r="H69" s="18">
        <v>162445.85999999999</v>
      </c>
      <c r="I69" s="19"/>
    </row>
    <row r="70" spans="1:9" x14ac:dyDescent="0.25">
      <c r="A70" s="14" t="s">
        <v>89</v>
      </c>
      <c r="B70" s="15"/>
      <c r="C70" s="15"/>
      <c r="D70" s="15"/>
      <c r="E70" s="3">
        <v>3694.65</v>
      </c>
      <c r="F70" s="3">
        <v>6230.56</v>
      </c>
      <c r="G70" s="3">
        <v>6252.11</v>
      </c>
      <c r="H70" s="18">
        <v>16177.32</v>
      </c>
      <c r="I70" s="19"/>
    </row>
    <row r="71" spans="1:9" x14ac:dyDescent="0.25">
      <c r="A71" s="14" t="s">
        <v>90</v>
      </c>
      <c r="B71" s="15"/>
      <c r="C71" s="15"/>
      <c r="D71" s="15"/>
      <c r="E71" s="3">
        <v>4650.34</v>
      </c>
      <c r="F71" s="3">
        <v>7842.22</v>
      </c>
      <c r="G71" s="3">
        <v>7869.33</v>
      </c>
      <c r="H71" s="18">
        <v>20361.89</v>
      </c>
      <c r="I71" s="19"/>
    </row>
    <row r="72" spans="1:9" x14ac:dyDescent="0.25">
      <c r="A72" s="14" t="s">
        <v>91</v>
      </c>
      <c r="B72" s="15"/>
      <c r="C72" s="15"/>
      <c r="D72" s="15"/>
      <c r="E72" s="3">
        <v>13830.46</v>
      </c>
      <c r="F72" s="3">
        <v>23323.51</v>
      </c>
      <c r="G72" s="3">
        <v>23404.15</v>
      </c>
      <c r="H72" s="18">
        <v>60558.12</v>
      </c>
      <c r="I72" s="19"/>
    </row>
    <row r="73" spans="1:9" x14ac:dyDescent="0.25">
      <c r="A73" s="14" t="s">
        <v>92</v>
      </c>
      <c r="B73" s="15"/>
      <c r="C73" s="15"/>
      <c r="D73" s="15"/>
      <c r="E73" s="3">
        <v>11963.27</v>
      </c>
      <c r="F73" s="3">
        <v>20174.63</v>
      </c>
      <c r="G73" s="3">
        <v>20244.400000000001</v>
      </c>
      <c r="H73" s="18">
        <v>52382.3</v>
      </c>
      <c r="I73" s="19"/>
    </row>
    <row r="74" spans="1:9" x14ac:dyDescent="0.25">
      <c r="A74" s="14" t="s">
        <v>93</v>
      </c>
      <c r="B74" s="15"/>
      <c r="C74" s="15"/>
      <c r="D74" s="15"/>
      <c r="E74" s="3">
        <v>11581.13</v>
      </c>
      <c r="F74" s="3">
        <v>19530.36</v>
      </c>
      <c r="G74" s="3">
        <v>19597.84</v>
      </c>
      <c r="H74" s="18">
        <v>50709.33</v>
      </c>
      <c r="I74" s="19"/>
    </row>
    <row r="75" spans="1:9" x14ac:dyDescent="0.25">
      <c r="A75" s="14" t="s">
        <v>94</v>
      </c>
      <c r="B75" s="15"/>
      <c r="C75" s="15"/>
      <c r="D75" s="15"/>
      <c r="E75" s="3">
        <v>103564.56</v>
      </c>
      <c r="F75" s="3">
        <v>108982.08</v>
      </c>
      <c r="G75" s="3">
        <v>133098.07</v>
      </c>
      <c r="H75" s="18">
        <v>345644.71</v>
      </c>
      <c r="I75" s="19"/>
    </row>
    <row r="76" spans="1:9" x14ac:dyDescent="0.25">
      <c r="A76" s="14" t="s">
        <v>95</v>
      </c>
      <c r="B76" s="15"/>
      <c r="C76" s="15"/>
      <c r="D76" s="15"/>
      <c r="E76" s="4" t="s">
        <v>96</v>
      </c>
      <c r="F76" s="4" t="s">
        <v>97</v>
      </c>
      <c r="G76" s="4" t="s">
        <v>98</v>
      </c>
      <c r="H76" s="20" t="s">
        <v>99</v>
      </c>
      <c r="I76" s="21"/>
    </row>
    <row r="77" spans="1:9" x14ac:dyDescent="0.25">
      <c r="A77" s="14" t="s">
        <v>100</v>
      </c>
      <c r="B77" s="15"/>
      <c r="C77" s="15"/>
      <c r="D77" s="15"/>
      <c r="E77" s="3">
        <v>1361.26</v>
      </c>
      <c r="F77" s="3">
        <v>4102.18</v>
      </c>
      <c r="G77" s="3">
        <v>1604.5</v>
      </c>
      <c r="H77" s="18">
        <v>7067.94</v>
      </c>
      <c r="I77" s="19"/>
    </row>
    <row r="78" spans="1:9" x14ac:dyDescent="0.25">
      <c r="A78" s="14" t="s">
        <v>101</v>
      </c>
      <c r="B78" s="15"/>
      <c r="C78" s="15"/>
      <c r="D78" s="15"/>
      <c r="E78" s="3">
        <v>91947.61</v>
      </c>
      <c r="F78" s="3">
        <v>71831.83</v>
      </c>
      <c r="G78" s="3">
        <v>108233.83</v>
      </c>
      <c r="H78" s="18">
        <v>272013.27</v>
      </c>
      <c r="I78" s="19"/>
    </row>
    <row r="79" spans="1:9" x14ac:dyDescent="0.25">
      <c r="A79" s="14" t="s">
        <v>102</v>
      </c>
      <c r="B79" s="15"/>
      <c r="C79" s="15"/>
      <c r="D79" s="15"/>
      <c r="E79" s="3">
        <v>71385.37</v>
      </c>
      <c r="F79" s="3">
        <v>55677.75</v>
      </c>
      <c r="G79" s="3">
        <v>83993.75</v>
      </c>
      <c r="H79" s="18">
        <v>211056.87</v>
      </c>
      <c r="I79" s="19"/>
    </row>
    <row r="80" spans="1:9" x14ac:dyDescent="0.25">
      <c r="A80" s="14" t="s">
        <v>103</v>
      </c>
      <c r="B80" s="15"/>
      <c r="C80" s="15"/>
      <c r="D80" s="15"/>
      <c r="E80" s="3">
        <v>800.73</v>
      </c>
      <c r="F80" s="3">
        <v>625.17999999999995</v>
      </c>
      <c r="G80" s="3">
        <v>942.41</v>
      </c>
      <c r="H80" s="18">
        <v>2368.3200000000002</v>
      </c>
      <c r="I80" s="19"/>
    </row>
    <row r="81" spans="1:9" x14ac:dyDescent="0.25">
      <c r="A81" s="14" t="s">
        <v>104</v>
      </c>
      <c r="B81" s="15"/>
      <c r="C81" s="15"/>
      <c r="D81" s="15"/>
      <c r="E81" s="4" t="s">
        <v>105</v>
      </c>
      <c r="F81" s="4" t="s">
        <v>106</v>
      </c>
      <c r="G81" s="4" t="s">
        <v>107</v>
      </c>
      <c r="H81" s="20" t="s">
        <v>108</v>
      </c>
      <c r="I81" s="21"/>
    </row>
    <row r="82" spans="1:9" x14ac:dyDescent="0.25">
      <c r="A82" s="14" t="s">
        <v>109</v>
      </c>
      <c r="B82" s="15"/>
      <c r="C82" s="15"/>
      <c r="D82" s="15"/>
      <c r="E82" s="3">
        <v>657.99</v>
      </c>
      <c r="F82" s="3">
        <v>664.36</v>
      </c>
      <c r="G82" s="3">
        <v>1354.76</v>
      </c>
      <c r="H82" s="18">
        <v>2677.11</v>
      </c>
      <c r="I82" s="19"/>
    </row>
    <row r="83" spans="1:9" x14ac:dyDescent="0.25">
      <c r="A83" s="14" t="s">
        <v>110</v>
      </c>
      <c r="B83" s="15"/>
      <c r="C83" s="15"/>
      <c r="D83" s="15"/>
      <c r="E83" s="3">
        <v>6259.46</v>
      </c>
      <c r="F83" s="3">
        <v>6319.98</v>
      </c>
      <c r="G83" s="3">
        <v>12887</v>
      </c>
      <c r="H83" s="18">
        <v>25466.44</v>
      </c>
      <c r="I83" s="19"/>
    </row>
    <row r="84" spans="1:9" x14ac:dyDescent="0.25">
      <c r="A84" s="14" t="s">
        <v>111</v>
      </c>
      <c r="B84" s="15"/>
      <c r="C84" s="15"/>
      <c r="D84" s="15"/>
      <c r="E84" s="3">
        <v>14901.34</v>
      </c>
      <c r="F84" s="3">
        <v>15045.23</v>
      </c>
      <c r="G84" s="3">
        <v>30678.47</v>
      </c>
      <c r="H84" s="18">
        <v>60625.04</v>
      </c>
      <c r="I84" s="19"/>
    </row>
    <row r="85" spans="1:9" x14ac:dyDescent="0.25">
      <c r="A85" s="14" t="s">
        <v>112</v>
      </c>
      <c r="B85" s="15"/>
      <c r="C85" s="15"/>
      <c r="D85" s="15"/>
      <c r="E85" s="4" t="s">
        <v>113</v>
      </c>
      <c r="F85" s="4" t="s">
        <v>114</v>
      </c>
      <c r="G85" s="4" t="s">
        <v>115</v>
      </c>
      <c r="H85" s="20" t="s">
        <v>116</v>
      </c>
      <c r="I85" s="21"/>
    </row>
    <row r="86" spans="1:9" x14ac:dyDescent="0.25">
      <c r="A86" s="14" t="s">
        <v>117</v>
      </c>
      <c r="B86" s="15"/>
      <c r="C86" s="15"/>
      <c r="D86" s="15"/>
      <c r="E86" s="3">
        <v>2856.42</v>
      </c>
      <c r="F86" s="3">
        <v>1292.79</v>
      </c>
      <c r="G86" s="3">
        <v>2502.88</v>
      </c>
      <c r="H86" s="18">
        <v>6652.09</v>
      </c>
      <c r="I86" s="19"/>
    </row>
    <row r="87" spans="1:9" x14ac:dyDescent="0.25">
      <c r="A87" s="14" t="s">
        <v>118</v>
      </c>
      <c r="B87" s="15"/>
      <c r="C87" s="15"/>
      <c r="D87" s="15"/>
      <c r="E87" s="3">
        <v>90798.59</v>
      </c>
      <c r="F87" s="3">
        <v>100023.05</v>
      </c>
      <c r="G87" s="3">
        <v>79559.06</v>
      </c>
      <c r="H87" s="18">
        <v>270380.7</v>
      </c>
      <c r="I87" s="19"/>
    </row>
    <row r="88" spans="1:9" x14ac:dyDescent="0.25">
      <c r="A88" s="14" t="s">
        <v>119</v>
      </c>
      <c r="B88" s="15"/>
      <c r="C88" s="15"/>
      <c r="D88" s="15"/>
      <c r="E88" s="3">
        <v>58756.12</v>
      </c>
      <c r="F88" s="3">
        <v>26592.16</v>
      </c>
      <c r="G88" s="3">
        <v>51482.98</v>
      </c>
      <c r="H88" s="18">
        <v>136831.26</v>
      </c>
      <c r="I88" s="19"/>
    </row>
    <row r="89" spans="1:9" x14ac:dyDescent="0.25">
      <c r="A89" s="14" t="s">
        <v>120</v>
      </c>
      <c r="B89" s="15"/>
      <c r="C89" s="15"/>
      <c r="D89" s="15"/>
      <c r="E89" s="3">
        <v>19078.400000000001</v>
      </c>
      <c r="F89" s="4" t="s">
        <v>121</v>
      </c>
      <c r="G89" s="3">
        <v>13078.37</v>
      </c>
      <c r="H89" s="18">
        <v>31396.52</v>
      </c>
      <c r="I89" s="19"/>
    </row>
    <row r="90" spans="1:9" x14ac:dyDescent="0.25">
      <c r="A90" s="14" t="s">
        <v>122</v>
      </c>
      <c r="B90" s="15"/>
      <c r="C90" s="15"/>
      <c r="D90" s="15"/>
      <c r="E90" s="3">
        <v>26512.35</v>
      </c>
      <c r="F90" s="3">
        <v>15720.1</v>
      </c>
      <c r="G90" s="3">
        <v>13848.54</v>
      </c>
      <c r="H90" s="18">
        <v>56080.99</v>
      </c>
      <c r="I90" s="19"/>
    </row>
    <row r="91" spans="1:9" x14ac:dyDescent="0.25">
      <c r="A91" s="14" t="s">
        <v>123</v>
      </c>
      <c r="B91" s="15"/>
      <c r="C91" s="15"/>
      <c r="D91" s="15"/>
      <c r="E91" s="3">
        <v>2584.75</v>
      </c>
      <c r="F91" s="3">
        <v>27721.25</v>
      </c>
      <c r="G91" s="3">
        <v>4369.92</v>
      </c>
      <c r="H91" s="18">
        <v>34675.919999999998</v>
      </c>
      <c r="I91" s="19"/>
    </row>
    <row r="92" spans="1:9" x14ac:dyDescent="0.25">
      <c r="A92" s="14" t="s">
        <v>124</v>
      </c>
      <c r="B92" s="15"/>
      <c r="C92" s="15"/>
      <c r="D92" s="15"/>
      <c r="E92" s="3">
        <v>16867.490000000002</v>
      </c>
      <c r="F92" s="3">
        <v>7606.8</v>
      </c>
      <c r="G92" s="3">
        <v>18936.169999999998</v>
      </c>
      <c r="H92" s="18">
        <v>43410.46</v>
      </c>
      <c r="I92" s="19"/>
    </row>
    <row r="93" spans="1:9" x14ac:dyDescent="0.25">
      <c r="A93" s="14" t="s">
        <v>125</v>
      </c>
      <c r="B93" s="15"/>
      <c r="C93" s="15"/>
      <c r="D93" s="15"/>
      <c r="E93" s="3">
        <v>2961.21</v>
      </c>
      <c r="F93" s="3">
        <v>1335.39</v>
      </c>
      <c r="G93" s="3">
        <v>3324.3</v>
      </c>
      <c r="H93" s="18">
        <v>7620.9</v>
      </c>
      <c r="I93" s="19"/>
    </row>
    <row r="94" spans="1:9" x14ac:dyDescent="0.25">
      <c r="A94" s="14" t="s">
        <v>126</v>
      </c>
      <c r="B94" s="15"/>
      <c r="C94" s="15"/>
      <c r="D94" s="15"/>
      <c r="E94" s="3">
        <v>2961.21</v>
      </c>
      <c r="F94" s="3">
        <v>1335.39</v>
      </c>
      <c r="G94" s="3">
        <v>3324.3</v>
      </c>
      <c r="H94" s="18">
        <v>7620.9</v>
      </c>
      <c r="I94" s="19"/>
    </row>
    <row r="95" spans="1:9" x14ac:dyDescent="0.25">
      <c r="A95" s="14" t="s">
        <v>127</v>
      </c>
      <c r="B95" s="15"/>
      <c r="C95" s="15"/>
      <c r="D95" s="15"/>
      <c r="E95" s="3">
        <v>2961.18</v>
      </c>
      <c r="F95" s="3">
        <v>1335.35</v>
      </c>
      <c r="G95" s="3">
        <v>3324.29</v>
      </c>
      <c r="H95" s="18">
        <v>7620.82</v>
      </c>
      <c r="I95" s="19"/>
    </row>
    <row r="96" spans="1:9" x14ac:dyDescent="0.25">
      <c r="A96" s="14" t="s">
        <v>128</v>
      </c>
      <c r="B96" s="15"/>
      <c r="C96" s="15"/>
      <c r="D96" s="15"/>
      <c r="E96" s="3">
        <v>2961.21</v>
      </c>
      <c r="F96" s="3">
        <v>1335.39</v>
      </c>
      <c r="G96" s="3">
        <v>3324.3</v>
      </c>
      <c r="H96" s="18">
        <v>7620.9</v>
      </c>
      <c r="I96" s="19"/>
    </row>
    <row r="97" spans="1:9" x14ac:dyDescent="0.25">
      <c r="A97" s="14" t="s">
        <v>129</v>
      </c>
      <c r="B97" s="15"/>
      <c r="C97" s="15"/>
      <c r="D97" s="15"/>
      <c r="E97" s="3">
        <v>2961.04</v>
      </c>
      <c r="F97" s="3">
        <v>1335.4</v>
      </c>
      <c r="G97" s="3">
        <v>3324.36</v>
      </c>
      <c r="H97" s="18">
        <v>7620.8</v>
      </c>
      <c r="I97" s="19"/>
    </row>
    <row r="98" spans="1:9" x14ac:dyDescent="0.25">
      <c r="A98" s="14" t="s">
        <v>130</v>
      </c>
      <c r="B98" s="15"/>
      <c r="C98" s="15"/>
      <c r="D98" s="15"/>
      <c r="E98" s="3">
        <v>2961.09</v>
      </c>
      <c r="F98" s="3">
        <v>1335.42</v>
      </c>
      <c r="G98" s="3">
        <v>3324.32</v>
      </c>
      <c r="H98" s="18">
        <v>7620.83</v>
      </c>
      <c r="I98" s="19"/>
    </row>
    <row r="99" spans="1:9" x14ac:dyDescent="0.25">
      <c r="A99" s="14" t="s">
        <v>131</v>
      </c>
      <c r="B99" s="15"/>
      <c r="C99" s="15"/>
      <c r="D99" s="15"/>
      <c r="E99" s="3">
        <v>2961.21</v>
      </c>
      <c r="F99" s="3">
        <v>1335.39</v>
      </c>
      <c r="G99" s="3">
        <v>3324.3</v>
      </c>
      <c r="H99" s="18">
        <v>7620.9</v>
      </c>
      <c r="I99" s="19"/>
    </row>
    <row r="100" spans="1:9" x14ac:dyDescent="0.25">
      <c r="A100" s="14" t="s">
        <v>132</v>
      </c>
      <c r="B100" s="15"/>
      <c r="C100" s="15"/>
      <c r="D100" s="15"/>
      <c r="E100" s="4" t="s">
        <v>133</v>
      </c>
      <c r="F100" s="4" t="s">
        <v>134</v>
      </c>
      <c r="G100" s="4" t="s">
        <v>135</v>
      </c>
      <c r="H100" s="20" t="s">
        <v>136</v>
      </c>
      <c r="I100" s="21"/>
    </row>
    <row r="101" spans="1:9" x14ac:dyDescent="0.25">
      <c r="A101" s="14" t="s">
        <v>137</v>
      </c>
      <c r="B101" s="15"/>
      <c r="C101" s="15"/>
      <c r="D101" s="15"/>
      <c r="E101" s="3">
        <v>4546.38</v>
      </c>
      <c r="F101" s="3">
        <v>4414.88</v>
      </c>
      <c r="G101" s="3">
        <v>4578.4799999999996</v>
      </c>
      <c r="H101" s="18">
        <v>13539.74</v>
      </c>
      <c r="I101" s="19"/>
    </row>
    <row r="102" spans="1:9" x14ac:dyDescent="0.25">
      <c r="A102" s="14" t="s">
        <v>138</v>
      </c>
      <c r="B102" s="15"/>
      <c r="C102" s="15"/>
      <c r="D102" s="15"/>
      <c r="E102" s="3">
        <v>10770.16</v>
      </c>
      <c r="F102" s="3">
        <v>10458.73</v>
      </c>
      <c r="G102" s="3">
        <v>10846.2</v>
      </c>
      <c r="H102" s="18">
        <v>32075.09</v>
      </c>
      <c r="I102" s="19"/>
    </row>
    <row r="103" spans="1:9" x14ac:dyDescent="0.25">
      <c r="A103" s="14" t="s">
        <v>139</v>
      </c>
      <c r="B103" s="15"/>
      <c r="C103" s="15"/>
      <c r="D103" s="15"/>
      <c r="E103" s="3">
        <v>6876.56</v>
      </c>
      <c r="F103" s="3">
        <v>6677.73</v>
      </c>
      <c r="G103" s="3">
        <v>6925.2</v>
      </c>
      <c r="H103" s="18">
        <v>20479.490000000002</v>
      </c>
      <c r="I103" s="19"/>
    </row>
    <row r="104" spans="1:9" x14ac:dyDescent="0.25">
      <c r="A104" s="14" t="s">
        <v>140</v>
      </c>
      <c r="B104" s="15"/>
      <c r="C104" s="15"/>
      <c r="D104" s="15"/>
      <c r="E104" s="3">
        <v>2961.15</v>
      </c>
      <c r="F104" s="3">
        <v>1335.44</v>
      </c>
      <c r="G104" s="3">
        <v>3324.37</v>
      </c>
      <c r="H104" s="18">
        <v>7620.96</v>
      </c>
      <c r="I104" s="19"/>
    </row>
    <row r="105" spans="1:9" x14ac:dyDescent="0.25">
      <c r="A105" s="14" t="s">
        <v>141</v>
      </c>
      <c r="B105" s="15"/>
      <c r="C105" s="15"/>
      <c r="D105" s="15"/>
      <c r="E105" s="3">
        <v>2961.21</v>
      </c>
      <c r="F105" s="3">
        <v>1335.39</v>
      </c>
      <c r="G105" s="3">
        <v>3324.3</v>
      </c>
      <c r="H105" s="18">
        <v>7620.9</v>
      </c>
      <c r="I105" s="19"/>
    </row>
    <row r="106" spans="1:9" x14ac:dyDescent="0.25">
      <c r="A106" s="14" t="s">
        <v>142</v>
      </c>
      <c r="B106" s="15"/>
      <c r="C106" s="15"/>
      <c r="D106" s="15"/>
      <c r="E106" s="3">
        <v>2961.15</v>
      </c>
      <c r="F106" s="3">
        <v>1335.42</v>
      </c>
      <c r="G106" s="3">
        <v>3324.26</v>
      </c>
      <c r="H106" s="18">
        <v>7620.83</v>
      </c>
      <c r="I106" s="19"/>
    </row>
    <row r="107" spans="1:9" x14ac:dyDescent="0.25">
      <c r="A107" s="14" t="s">
        <v>143</v>
      </c>
      <c r="B107" s="15"/>
      <c r="C107" s="15"/>
      <c r="D107" s="15"/>
      <c r="E107" s="3">
        <v>930.63</v>
      </c>
      <c r="F107" s="3">
        <v>419.73</v>
      </c>
      <c r="G107" s="3">
        <v>1044.92</v>
      </c>
      <c r="H107" s="18">
        <v>2395.2800000000002</v>
      </c>
      <c r="I107" s="19"/>
    </row>
    <row r="108" spans="1:9" x14ac:dyDescent="0.25">
      <c r="A108" s="14" t="s">
        <v>144</v>
      </c>
      <c r="B108" s="15"/>
      <c r="C108" s="15"/>
      <c r="D108" s="15"/>
      <c r="E108" s="4" t="s">
        <v>145</v>
      </c>
      <c r="F108" s="4" t="s">
        <v>146</v>
      </c>
      <c r="G108" s="4" t="s">
        <v>147</v>
      </c>
      <c r="H108" s="20" t="s">
        <v>148</v>
      </c>
      <c r="I108" s="21"/>
    </row>
    <row r="109" spans="1:9" x14ac:dyDescent="0.25">
      <c r="A109" s="14" t="s">
        <v>149</v>
      </c>
      <c r="B109" s="15"/>
      <c r="C109" s="15"/>
      <c r="D109" s="15"/>
      <c r="E109" s="3">
        <v>99191.67</v>
      </c>
      <c r="F109" s="3">
        <v>60665.79</v>
      </c>
      <c r="G109" s="3">
        <v>71047.64</v>
      </c>
      <c r="H109" s="18">
        <v>230905.1</v>
      </c>
      <c r="I109" s="19"/>
    </row>
    <row r="110" spans="1:9" x14ac:dyDescent="0.25">
      <c r="A110" s="14" t="s">
        <v>150</v>
      </c>
      <c r="B110" s="15"/>
      <c r="C110" s="15"/>
      <c r="D110" s="15"/>
      <c r="E110" s="3">
        <v>110971.01</v>
      </c>
      <c r="F110" s="3">
        <v>67870.03</v>
      </c>
      <c r="G110" s="3">
        <v>79485.279999999999</v>
      </c>
      <c r="H110" s="18">
        <v>258326.32</v>
      </c>
      <c r="I110" s="19"/>
    </row>
    <row r="111" spans="1:9" x14ac:dyDescent="0.25">
      <c r="A111" s="14" t="s">
        <v>151</v>
      </c>
      <c r="B111" s="15"/>
      <c r="C111" s="15"/>
      <c r="D111" s="15"/>
      <c r="E111" s="3">
        <v>1749.74</v>
      </c>
      <c r="F111" s="3">
        <v>789.2</v>
      </c>
      <c r="G111" s="3">
        <v>1964.43</v>
      </c>
      <c r="H111" s="18">
        <v>4503.37</v>
      </c>
      <c r="I111" s="19"/>
    </row>
    <row r="112" spans="1:9" x14ac:dyDescent="0.25">
      <c r="A112" s="14" t="s">
        <v>152</v>
      </c>
      <c r="B112" s="15"/>
      <c r="C112" s="15"/>
      <c r="D112" s="15"/>
      <c r="E112" s="3">
        <v>1464194.39</v>
      </c>
      <c r="F112" s="3">
        <v>797048.95</v>
      </c>
      <c r="G112" s="3">
        <v>1739680.63</v>
      </c>
      <c r="H112" s="18">
        <v>4000923.97</v>
      </c>
      <c r="I112" s="19"/>
    </row>
    <row r="113" spans="1:9" x14ac:dyDescent="0.25">
      <c r="A113" s="14" t="s">
        <v>153</v>
      </c>
      <c r="B113" s="15"/>
      <c r="C113" s="15"/>
      <c r="D113" s="15"/>
      <c r="E113" s="3">
        <v>257319.36</v>
      </c>
      <c r="F113" s="3">
        <v>109905.39</v>
      </c>
      <c r="G113" s="3">
        <v>728977.83</v>
      </c>
      <c r="H113" s="18">
        <v>1096202.58</v>
      </c>
      <c r="I113" s="19"/>
    </row>
    <row r="114" spans="1:9" x14ac:dyDescent="0.25">
      <c r="A114" s="14" t="s">
        <v>154</v>
      </c>
      <c r="B114" s="15"/>
      <c r="C114" s="15"/>
      <c r="D114" s="15"/>
      <c r="E114" s="3">
        <v>138580.43</v>
      </c>
      <c r="F114" s="3">
        <v>156124.20000000001</v>
      </c>
      <c r="G114" s="3">
        <v>269499.81</v>
      </c>
      <c r="H114" s="18">
        <v>564204.43999999994</v>
      </c>
      <c r="I114" s="19"/>
    </row>
    <row r="115" spans="1:9" x14ac:dyDescent="0.25">
      <c r="A115" s="14" t="s">
        <v>155</v>
      </c>
      <c r="B115" s="15"/>
      <c r="C115" s="15"/>
      <c r="D115" s="15"/>
      <c r="E115" s="3">
        <v>930448.36</v>
      </c>
      <c r="F115" s="3">
        <v>444001.45</v>
      </c>
      <c r="G115" s="3">
        <v>1020208.37</v>
      </c>
      <c r="H115" s="18">
        <v>2394658.1800000002</v>
      </c>
      <c r="I115" s="19"/>
    </row>
    <row r="116" spans="1:9" x14ac:dyDescent="0.25">
      <c r="A116" s="14" t="s">
        <v>156</v>
      </c>
      <c r="B116" s="15"/>
      <c r="C116" s="15"/>
      <c r="D116" s="15"/>
      <c r="E116" s="3">
        <v>270279.53000000003</v>
      </c>
      <c r="F116" s="3">
        <v>5512.94</v>
      </c>
      <c r="G116" s="3">
        <v>301503.05</v>
      </c>
      <c r="H116" s="18">
        <v>577295.52</v>
      </c>
      <c r="I116" s="19"/>
    </row>
    <row r="117" spans="1:9" x14ac:dyDescent="0.25">
      <c r="A117" s="14" t="s">
        <v>157</v>
      </c>
      <c r="B117" s="15"/>
      <c r="C117" s="15"/>
      <c r="D117" s="15"/>
      <c r="E117" s="3">
        <v>830090.69</v>
      </c>
      <c r="F117" s="3">
        <v>343023.37</v>
      </c>
      <c r="G117" s="3">
        <v>643521.72</v>
      </c>
      <c r="H117" s="18">
        <v>1816635.78</v>
      </c>
      <c r="I117" s="19"/>
    </row>
    <row r="118" spans="1:9" x14ac:dyDescent="0.25">
      <c r="A118" s="14" t="s">
        <v>158</v>
      </c>
      <c r="B118" s="15"/>
      <c r="C118" s="15"/>
      <c r="D118" s="15"/>
      <c r="E118" s="3">
        <v>1069375.6599999999</v>
      </c>
      <c r="F118" s="3">
        <v>425155.23</v>
      </c>
      <c r="G118" s="3">
        <v>860362.38</v>
      </c>
      <c r="H118" s="18">
        <v>2354893.27</v>
      </c>
      <c r="I118" s="19"/>
    </row>
    <row r="119" spans="1:9" x14ac:dyDescent="0.25">
      <c r="A119" s="14" t="s">
        <v>159</v>
      </c>
      <c r="B119" s="15"/>
      <c r="C119" s="15"/>
      <c r="D119" s="15"/>
      <c r="E119" s="3">
        <v>153113.31</v>
      </c>
      <c r="F119" s="3">
        <v>49468.83</v>
      </c>
      <c r="G119" s="3">
        <v>87195.6</v>
      </c>
      <c r="H119" s="18">
        <v>289777.74</v>
      </c>
      <c r="I119" s="19"/>
    </row>
    <row r="120" spans="1:9" x14ac:dyDescent="0.25">
      <c r="A120" s="14" t="s">
        <v>160</v>
      </c>
      <c r="B120" s="15"/>
      <c r="C120" s="15"/>
      <c r="D120" s="15"/>
      <c r="E120" s="3">
        <v>1057964.67</v>
      </c>
      <c r="F120" s="3">
        <v>1394657.73</v>
      </c>
      <c r="G120" s="3">
        <v>2054145.37</v>
      </c>
      <c r="H120" s="18">
        <v>4506767.7699999996</v>
      </c>
      <c r="I120" s="19"/>
    </row>
    <row r="121" spans="1:9" x14ac:dyDescent="0.25">
      <c r="A121" s="14" t="s">
        <v>161</v>
      </c>
      <c r="B121" s="15"/>
      <c r="C121" s="15"/>
      <c r="D121" s="15"/>
      <c r="E121" s="3">
        <v>560641.4</v>
      </c>
      <c r="F121" s="3">
        <v>286886.98</v>
      </c>
      <c r="G121" s="3">
        <v>756169.18</v>
      </c>
      <c r="H121" s="18">
        <v>1603697.56</v>
      </c>
      <c r="I121" s="19"/>
    </row>
    <row r="122" spans="1:9" x14ac:dyDescent="0.25">
      <c r="A122" s="14" t="s">
        <v>162</v>
      </c>
      <c r="B122" s="15"/>
      <c r="C122" s="15"/>
      <c r="D122" s="15"/>
      <c r="E122" s="3">
        <v>3337912.33</v>
      </c>
      <c r="F122" s="3">
        <v>1393942.23</v>
      </c>
      <c r="G122" s="3">
        <v>3777803</v>
      </c>
      <c r="H122" s="18">
        <v>8509657.5600000005</v>
      </c>
      <c r="I122" s="19"/>
    </row>
    <row r="123" spans="1:9" x14ac:dyDescent="0.25">
      <c r="A123" s="14" t="s">
        <v>163</v>
      </c>
      <c r="B123" s="15"/>
      <c r="C123" s="15"/>
      <c r="D123" s="15"/>
      <c r="E123" s="3">
        <v>1022908.13</v>
      </c>
      <c r="F123" s="3">
        <v>1753975.87</v>
      </c>
      <c r="G123" s="3">
        <v>1334558.72</v>
      </c>
      <c r="H123" s="18">
        <v>4111442.72</v>
      </c>
      <c r="I123" s="19"/>
    </row>
    <row r="124" spans="1:9" x14ac:dyDescent="0.25">
      <c r="A124" s="14" t="s">
        <v>164</v>
      </c>
      <c r="B124" s="15"/>
      <c r="C124" s="15"/>
      <c r="D124" s="15"/>
      <c r="E124" s="3">
        <v>960016.97</v>
      </c>
      <c r="F124" s="3">
        <v>1122814.6000000001</v>
      </c>
      <c r="G124" s="3">
        <v>857729.55</v>
      </c>
      <c r="H124" s="18">
        <v>2940561.12</v>
      </c>
      <c r="I124" s="19"/>
    </row>
    <row r="125" spans="1:9" x14ac:dyDescent="0.25">
      <c r="A125" s="14" t="s">
        <v>165</v>
      </c>
      <c r="B125" s="15"/>
      <c r="C125" s="15"/>
      <c r="D125" s="15"/>
      <c r="E125" s="3">
        <v>74385.23</v>
      </c>
      <c r="F125" s="3">
        <v>31491.49</v>
      </c>
      <c r="G125" s="3">
        <v>38726.51</v>
      </c>
      <c r="H125" s="18">
        <v>144603.23000000001</v>
      </c>
      <c r="I125" s="19"/>
    </row>
    <row r="126" spans="1:9" x14ac:dyDescent="0.25">
      <c r="A126" s="14" t="s">
        <v>166</v>
      </c>
      <c r="B126" s="15"/>
      <c r="C126" s="15"/>
      <c r="D126" s="15"/>
      <c r="E126" s="3">
        <v>56701.95</v>
      </c>
      <c r="F126" s="3">
        <v>56814.09</v>
      </c>
      <c r="G126" s="3">
        <v>33369.769999999997</v>
      </c>
      <c r="H126" s="18">
        <v>146885.81</v>
      </c>
      <c r="I126" s="19"/>
    </row>
    <row r="127" spans="1:9" x14ac:dyDescent="0.25">
      <c r="A127" s="14" t="s">
        <v>167</v>
      </c>
      <c r="B127" s="15"/>
      <c r="C127" s="15"/>
      <c r="D127" s="15"/>
      <c r="E127" s="3">
        <v>105580.08</v>
      </c>
      <c r="F127" s="3">
        <v>78111.009999999995</v>
      </c>
      <c r="G127" s="3">
        <v>564092.62</v>
      </c>
      <c r="H127" s="18">
        <v>747783.71</v>
      </c>
      <c r="I127" s="19"/>
    </row>
    <row r="128" spans="1:9" x14ac:dyDescent="0.25">
      <c r="A128" s="14" t="s">
        <v>168</v>
      </c>
      <c r="B128" s="15"/>
      <c r="C128" s="15"/>
      <c r="D128" s="15"/>
      <c r="E128" s="3">
        <v>744196.46</v>
      </c>
      <c r="F128" s="3">
        <v>359957.67</v>
      </c>
      <c r="G128" s="3">
        <v>723989.3</v>
      </c>
      <c r="H128" s="18">
        <v>1828143.43</v>
      </c>
      <c r="I128" s="19"/>
    </row>
    <row r="129" spans="1:9" x14ac:dyDescent="0.25">
      <c r="A129" s="14" t="s">
        <v>169</v>
      </c>
      <c r="B129" s="15"/>
      <c r="C129" s="15"/>
      <c r="D129" s="15"/>
      <c r="E129" s="3">
        <v>423275.45</v>
      </c>
      <c r="F129" s="3">
        <v>392230.46</v>
      </c>
      <c r="G129" s="3">
        <v>443628.7</v>
      </c>
      <c r="H129" s="18">
        <v>1259134.6100000001</v>
      </c>
      <c r="I129" s="19"/>
    </row>
    <row r="130" spans="1:9" x14ac:dyDescent="0.25">
      <c r="A130" s="14" t="s">
        <v>170</v>
      </c>
      <c r="B130" s="15"/>
      <c r="C130" s="15"/>
      <c r="D130" s="15"/>
      <c r="E130" s="3">
        <v>183826.02</v>
      </c>
      <c r="F130" s="3">
        <v>127769.69</v>
      </c>
      <c r="G130" s="3">
        <v>336177.14</v>
      </c>
      <c r="H130" s="18">
        <v>647772.85</v>
      </c>
      <c r="I130" s="19"/>
    </row>
    <row r="131" spans="1:9" x14ac:dyDescent="0.25">
      <c r="A131" s="14" t="s">
        <v>171</v>
      </c>
      <c r="B131" s="15"/>
      <c r="C131" s="15"/>
      <c r="D131" s="15"/>
      <c r="E131" s="3">
        <v>377263.68</v>
      </c>
      <c r="F131" s="3">
        <v>352340.8</v>
      </c>
      <c r="G131" s="3">
        <v>490023.25</v>
      </c>
      <c r="H131" s="18">
        <v>1219627.73</v>
      </c>
      <c r="I131" s="19"/>
    </row>
    <row r="132" spans="1:9" x14ac:dyDescent="0.25">
      <c r="A132" s="14" t="s">
        <v>172</v>
      </c>
      <c r="B132" s="15"/>
      <c r="C132" s="15"/>
      <c r="D132" s="15"/>
      <c r="E132" s="3">
        <v>313710.34999999998</v>
      </c>
      <c r="F132" s="3">
        <v>156906.32999999999</v>
      </c>
      <c r="G132" s="3">
        <v>542047.65</v>
      </c>
      <c r="H132" s="18">
        <v>1012664.33</v>
      </c>
      <c r="I132" s="19"/>
    </row>
    <row r="133" spans="1:9" x14ac:dyDescent="0.25">
      <c r="A133" s="14" t="s">
        <v>173</v>
      </c>
      <c r="B133" s="15"/>
      <c r="C133" s="15"/>
      <c r="D133" s="15"/>
      <c r="E133" s="3">
        <v>448959.65</v>
      </c>
      <c r="F133" s="3">
        <v>235775.68</v>
      </c>
      <c r="G133" s="3">
        <v>782130.12</v>
      </c>
      <c r="H133" s="18">
        <v>1466865.45</v>
      </c>
      <c r="I133" s="19"/>
    </row>
    <row r="134" spans="1:9" x14ac:dyDescent="0.25">
      <c r="A134" s="14" t="s">
        <v>174</v>
      </c>
      <c r="B134" s="15"/>
      <c r="C134" s="15"/>
      <c r="D134" s="15"/>
      <c r="E134" s="3">
        <v>158691.9</v>
      </c>
      <c r="F134" s="3">
        <v>242103.84</v>
      </c>
      <c r="G134" s="3">
        <v>206460.51</v>
      </c>
      <c r="H134" s="18">
        <v>607256.25</v>
      </c>
      <c r="I134" s="19"/>
    </row>
    <row r="135" spans="1:9" x14ac:dyDescent="0.25">
      <c r="A135" s="14" t="s">
        <v>175</v>
      </c>
      <c r="B135" s="15"/>
      <c r="C135" s="15"/>
      <c r="D135" s="15"/>
      <c r="E135" s="3">
        <v>208603.28</v>
      </c>
      <c r="F135" s="3">
        <v>75230.83</v>
      </c>
      <c r="G135" s="3">
        <v>258413.71</v>
      </c>
      <c r="H135" s="18">
        <v>542247.81999999995</v>
      </c>
      <c r="I135" s="19"/>
    </row>
    <row r="136" spans="1:9" x14ac:dyDescent="0.25">
      <c r="A136" s="14" t="s">
        <v>176</v>
      </c>
      <c r="B136" s="15"/>
      <c r="C136" s="15"/>
      <c r="D136" s="15"/>
      <c r="E136" s="4" t="s">
        <v>177</v>
      </c>
      <c r="F136" s="4" t="s">
        <v>178</v>
      </c>
      <c r="G136" s="4" t="s">
        <v>179</v>
      </c>
      <c r="H136" s="20" t="s">
        <v>180</v>
      </c>
      <c r="I136" s="21"/>
    </row>
    <row r="137" spans="1:9" x14ac:dyDescent="0.25">
      <c r="A137" s="14" t="s">
        <v>181</v>
      </c>
      <c r="B137" s="15"/>
      <c r="C137" s="15"/>
      <c r="D137" s="15"/>
      <c r="E137" s="3">
        <v>296226.96999999997</v>
      </c>
      <c r="F137" s="3">
        <v>59021.58</v>
      </c>
      <c r="G137" s="3">
        <v>74880.399999999994</v>
      </c>
      <c r="H137" s="18">
        <v>430128.95</v>
      </c>
      <c r="I137" s="19"/>
    </row>
    <row r="138" spans="1:9" x14ac:dyDescent="0.25">
      <c r="A138" s="14" t="s">
        <v>182</v>
      </c>
      <c r="B138" s="15"/>
      <c r="C138" s="15"/>
      <c r="D138" s="15"/>
      <c r="E138" s="3">
        <v>432826.61</v>
      </c>
      <c r="F138" s="3">
        <v>426063.68</v>
      </c>
      <c r="G138" s="3">
        <v>625272.05000000005</v>
      </c>
      <c r="H138" s="18">
        <v>1484162.34</v>
      </c>
      <c r="I138" s="19"/>
    </row>
    <row r="139" spans="1:9" x14ac:dyDescent="0.25">
      <c r="A139" s="14" t="s">
        <v>183</v>
      </c>
      <c r="B139" s="15"/>
      <c r="C139" s="15"/>
      <c r="D139" s="15"/>
      <c r="E139" s="3">
        <v>11769.48</v>
      </c>
      <c r="F139" s="3">
        <v>4244.5200000000004</v>
      </c>
      <c r="G139" s="3">
        <v>14579.81</v>
      </c>
      <c r="H139" s="18">
        <v>30593.81</v>
      </c>
      <c r="I139" s="19"/>
    </row>
    <row r="140" spans="1:9" x14ac:dyDescent="0.25">
      <c r="A140" s="14" t="s">
        <v>184</v>
      </c>
      <c r="B140" s="15"/>
      <c r="C140" s="15"/>
      <c r="D140" s="15"/>
      <c r="E140" s="3">
        <v>2205318.48</v>
      </c>
      <c r="F140" s="3">
        <v>1159248.2</v>
      </c>
      <c r="G140" s="3">
        <v>2276447.5299999998</v>
      </c>
      <c r="H140" s="18">
        <v>5641014.21</v>
      </c>
      <c r="I140" s="19"/>
    </row>
    <row r="141" spans="1:9" x14ac:dyDescent="0.25">
      <c r="A141" s="14" t="s">
        <v>185</v>
      </c>
      <c r="B141" s="15"/>
      <c r="C141" s="15"/>
      <c r="D141" s="15"/>
      <c r="E141" s="3">
        <v>1037994.44</v>
      </c>
      <c r="F141" s="3">
        <v>948217.79</v>
      </c>
      <c r="G141" s="3">
        <v>1465285.72</v>
      </c>
      <c r="H141" s="18">
        <v>3451497.95</v>
      </c>
      <c r="I141" s="19"/>
    </row>
    <row r="142" spans="1:9" x14ac:dyDescent="0.25">
      <c r="A142" s="14" t="s">
        <v>186</v>
      </c>
      <c r="B142" s="15"/>
      <c r="C142" s="15"/>
      <c r="D142" s="15"/>
      <c r="E142" s="3">
        <v>10959.06</v>
      </c>
      <c r="F142" s="3">
        <v>3318.12</v>
      </c>
      <c r="G142" s="3">
        <v>13034.4</v>
      </c>
      <c r="H142" s="18">
        <v>27311.58</v>
      </c>
      <c r="I142" s="19"/>
    </row>
    <row r="143" spans="1:9" x14ac:dyDescent="0.25">
      <c r="A143" s="14" t="s">
        <v>187</v>
      </c>
      <c r="B143" s="15"/>
      <c r="C143" s="15"/>
      <c r="D143" s="15"/>
      <c r="E143" s="3">
        <v>572240.9</v>
      </c>
      <c r="F143" s="3">
        <v>320051.78999999998</v>
      </c>
      <c r="G143" s="3">
        <v>708160.7</v>
      </c>
      <c r="H143" s="18">
        <v>1600453.39</v>
      </c>
      <c r="I143" s="19"/>
    </row>
    <row r="144" spans="1:9" x14ac:dyDescent="0.25">
      <c r="A144" s="14" t="s">
        <v>188</v>
      </c>
      <c r="B144" s="15"/>
      <c r="C144" s="15"/>
      <c r="D144" s="15"/>
      <c r="E144" s="3">
        <v>1058984.8400000001</v>
      </c>
      <c r="F144" s="3">
        <v>862250.39</v>
      </c>
      <c r="G144" s="3">
        <v>1141348.54</v>
      </c>
      <c r="H144" s="18">
        <v>3062583.77</v>
      </c>
      <c r="I144" s="19"/>
    </row>
    <row r="145" spans="1:9" x14ac:dyDescent="0.25">
      <c r="A145" s="14" t="s">
        <v>189</v>
      </c>
      <c r="B145" s="15"/>
      <c r="C145" s="15"/>
      <c r="D145" s="15"/>
      <c r="E145" s="3">
        <v>8620.32</v>
      </c>
      <c r="F145" s="3">
        <v>3108.8</v>
      </c>
      <c r="G145" s="3">
        <v>10678.62</v>
      </c>
      <c r="H145" s="18">
        <v>22407.74</v>
      </c>
      <c r="I145" s="19"/>
    </row>
    <row r="146" spans="1:9" x14ac:dyDescent="0.25">
      <c r="A146" s="14" t="s">
        <v>190</v>
      </c>
      <c r="B146" s="15"/>
      <c r="C146" s="15"/>
      <c r="D146" s="15"/>
      <c r="E146" s="3">
        <v>14949.48</v>
      </c>
      <c r="F146" s="3">
        <v>5391.42</v>
      </c>
      <c r="G146" s="3">
        <v>18519.259999999998</v>
      </c>
      <c r="H146" s="18">
        <v>38860.160000000003</v>
      </c>
      <c r="I146" s="19"/>
    </row>
    <row r="147" spans="1:9" x14ac:dyDescent="0.25">
      <c r="A147" s="14" t="s">
        <v>191</v>
      </c>
      <c r="B147" s="15"/>
      <c r="C147" s="15"/>
      <c r="D147" s="15"/>
      <c r="E147" s="3">
        <v>1307830.24</v>
      </c>
      <c r="F147" s="3">
        <v>1002457.02</v>
      </c>
      <c r="G147" s="3">
        <v>1446931.07</v>
      </c>
      <c r="H147" s="18">
        <v>3757218.33</v>
      </c>
      <c r="I147" s="19"/>
    </row>
    <row r="148" spans="1:9" x14ac:dyDescent="0.25">
      <c r="A148" s="14" t="s">
        <v>192</v>
      </c>
      <c r="B148" s="15"/>
      <c r="C148" s="15"/>
      <c r="D148" s="15"/>
      <c r="E148" s="3">
        <v>849596.04</v>
      </c>
      <c r="F148" s="3">
        <v>593961.34</v>
      </c>
      <c r="G148" s="3">
        <v>803072.49</v>
      </c>
      <c r="H148" s="18">
        <v>2246629.87</v>
      </c>
      <c r="I148" s="19"/>
    </row>
    <row r="149" spans="1:9" x14ac:dyDescent="0.25">
      <c r="A149" s="14" t="s">
        <v>193</v>
      </c>
      <c r="B149" s="15"/>
      <c r="C149" s="15"/>
      <c r="D149" s="15"/>
      <c r="E149" s="3">
        <v>751534.06</v>
      </c>
      <c r="F149" s="3">
        <v>751001.48</v>
      </c>
      <c r="G149" s="3">
        <v>1464401.04</v>
      </c>
      <c r="H149" s="18">
        <v>2966936.58</v>
      </c>
      <c r="I149" s="19"/>
    </row>
    <row r="150" spans="1:9" x14ac:dyDescent="0.25">
      <c r="A150" s="14" t="s">
        <v>194</v>
      </c>
      <c r="B150" s="15"/>
      <c r="C150" s="15"/>
      <c r="D150" s="15"/>
      <c r="E150" s="3">
        <v>7343.84</v>
      </c>
      <c r="F150" s="4" t="s">
        <v>195</v>
      </c>
      <c r="G150" s="3">
        <v>11252.7</v>
      </c>
      <c r="H150" s="18">
        <v>16410.62</v>
      </c>
      <c r="I150" s="19"/>
    </row>
    <row r="151" spans="1:9" x14ac:dyDescent="0.25">
      <c r="A151" s="14" t="s">
        <v>196</v>
      </c>
      <c r="B151" s="15"/>
      <c r="C151" s="15"/>
      <c r="D151" s="15"/>
      <c r="E151" s="3">
        <v>2540</v>
      </c>
      <c r="F151" s="5"/>
      <c r="G151" s="5"/>
      <c r="H151" s="18">
        <v>2540</v>
      </c>
      <c r="I151" s="19"/>
    </row>
    <row r="152" spans="1:9" x14ac:dyDescent="0.25">
      <c r="A152" s="14" t="s">
        <v>197</v>
      </c>
      <c r="B152" s="15"/>
      <c r="C152" s="15"/>
      <c r="D152" s="15"/>
      <c r="E152" s="4" t="s">
        <v>198</v>
      </c>
      <c r="F152" s="3">
        <v>18957.23</v>
      </c>
      <c r="G152" s="4" t="s">
        <v>199</v>
      </c>
      <c r="H152" s="18">
        <v>1139.5899999999999</v>
      </c>
      <c r="I152" s="19"/>
    </row>
    <row r="153" spans="1:9" x14ac:dyDescent="0.25">
      <c r="A153" s="14" t="s">
        <v>200</v>
      </c>
      <c r="B153" s="15"/>
      <c r="C153" s="15"/>
      <c r="D153" s="15"/>
      <c r="E153" s="3">
        <v>662154.4</v>
      </c>
      <c r="F153" s="3">
        <v>1286825.03</v>
      </c>
      <c r="G153" s="3">
        <v>1207820.74</v>
      </c>
      <c r="H153" s="18">
        <v>3156800.17</v>
      </c>
      <c r="I153" s="19"/>
    </row>
    <row r="154" spans="1:9" x14ac:dyDescent="0.25">
      <c r="A154" s="14" t="s">
        <v>201</v>
      </c>
      <c r="B154" s="15"/>
      <c r="C154" s="15"/>
      <c r="D154" s="15"/>
      <c r="E154" s="3">
        <v>328477.24</v>
      </c>
      <c r="F154" s="3">
        <v>155387.32</v>
      </c>
      <c r="G154" s="3">
        <v>282480.32</v>
      </c>
      <c r="H154" s="18">
        <v>766344.88</v>
      </c>
      <c r="I154" s="19"/>
    </row>
    <row r="155" spans="1:9" x14ac:dyDescent="0.25">
      <c r="A155" s="14" t="s">
        <v>202</v>
      </c>
      <c r="B155" s="15"/>
      <c r="C155" s="15"/>
      <c r="D155" s="15"/>
      <c r="E155" s="3">
        <v>42095.22</v>
      </c>
      <c r="F155" s="3">
        <v>19964.62</v>
      </c>
      <c r="G155" s="3">
        <v>36203.129999999997</v>
      </c>
      <c r="H155" s="18">
        <v>98262.97</v>
      </c>
      <c r="I155" s="19"/>
    </row>
    <row r="156" spans="1:9" x14ac:dyDescent="0.25">
      <c r="A156" s="14" t="s">
        <v>203</v>
      </c>
      <c r="B156" s="15"/>
      <c r="C156" s="15"/>
      <c r="D156" s="15"/>
      <c r="E156" s="3">
        <v>25440.55</v>
      </c>
      <c r="F156" s="3">
        <v>11947.34</v>
      </c>
      <c r="G156" s="3">
        <v>21873.75</v>
      </c>
      <c r="H156" s="18">
        <v>59261.64</v>
      </c>
      <c r="I156" s="19"/>
    </row>
    <row r="157" spans="1:9" x14ac:dyDescent="0.25">
      <c r="A157" s="14" t="s">
        <v>204</v>
      </c>
      <c r="B157" s="15"/>
      <c r="C157" s="15"/>
      <c r="D157" s="15"/>
      <c r="E157" s="3">
        <v>130121.65</v>
      </c>
      <c r="F157" s="3">
        <v>60870.26</v>
      </c>
      <c r="G157" s="3">
        <v>111866.57</v>
      </c>
      <c r="H157" s="18">
        <v>302858.48</v>
      </c>
      <c r="I157" s="19"/>
    </row>
    <row r="158" spans="1:9" x14ac:dyDescent="0.25">
      <c r="A158" s="14" t="s">
        <v>205</v>
      </c>
      <c r="B158" s="15"/>
      <c r="C158" s="15"/>
      <c r="D158" s="15"/>
      <c r="E158" s="3">
        <v>109777.5</v>
      </c>
      <c r="F158" s="3">
        <v>120666.93</v>
      </c>
      <c r="G158" s="3">
        <v>211375.17</v>
      </c>
      <c r="H158" s="18">
        <v>441819.6</v>
      </c>
      <c r="I158" s="19"/>
    </row>
    <row r="159" spans="1:9" x14ac:dyDescent="0.25">
      <c r="A159" s="14" t="s">
        <v>206</v>
      </c>
      <c r="B159" s="15"/>
      <c r="C159" s="15"/>
      <c r="D159" s="15"/>
      <c r="E159" s="3">
        <v>7207.09</v>
      </c>
      <c r="F159" s="3">
        <v>416.53</v>
      </c>
      <c r="G159" s="3">
        <v>5970.94</v>
      </c>
      <c r="H159" s="18">
        <v>13594.56</v>
      </c>
      <c r="I159" s="19"/>
    </row>
    <row r="160" spans="1:9" x14ac:dyDescent="0.25">
      <c r="A160" s="14" t="s">
        <v>207</v>
      </c>
      <c r="B160" s="15"/>
      <c r="C160" s="15"/>
      <c r="D160" s="15"/>
      <c r="E160" s="3">
        <v>45110.07</v>
      </c>
      <c r="F160" s="3">
        <v>144880.95999999999</v>
      </c>
      <c r="G160" s="3">
        <v>235779.31</v>
      </c>
      <c r="H160" s="18">
        <v>425770.34</v>
      </c>
      <c r="I160" s="19"/>
    </row>
    <row r="161" spans="1:9" x14ac:dyDescent="0.25">
      <c r="A161" s="14" t="s">
        <v>208</v>
      </c>
      <c r="B161" s="15"/>
      <c r="C161" s="15"/>
      <c r="D161" s="15"/>
      <c r="E161" s="3">
        <v>197057.5</v>
      </c>
      <c r="F161" s="3">
        <v>7388.55</v>
      </c>
      <c r="G161" s="3">
        <v>163258.9</v>
      </c>
      <c r="H161" s="18">
        <v>367704.95</v>
      </c>
      <c r="I161" s="19"/>
    </row>
    <row r="162" spans="1:9" x14ac:dyDescent="0.25">
      <c r="A162" s="14" t="s">
        <v>209</v>
      </c>
      <c r="B162" s="15"/>
      <c r="C162" s="15"/>
      <c r="D162" s="15"/>
      <c r="E162" s="4" t="s">
        <v>210</v>
      </c>
      <c r="F162" s="4" t="s">
        <v>211</v>
      </c>
      <c r="G162" s="4" t="s">
        <v>212</v>
      </c>
      <c r="H162" s="20" t="s">
        <v>213</v>
      </c>
      <c r="I162" s="21"/>
    </row>
    <row r="163" spans="1:9" x14ac:dyDescent="0.25">
      <c r="A163" s="14" t="s">
        <v>214</v>
      </c>
      <c r="B163" s="15"/>
      <c r="C163" s="15"/>
      <c r="D163" s="15"/>
      <c r="E163" s="3">
        <v>544778.31000000006</v>
      </c>
      <c r="F163" s="4" t="s">
        <v>215</v>
      </c>
      <c r="G163" s="3">
        <v>224948.33</v>
      </c>
      <c r="H163" s="18">
        <v>769226.51</v>
      </c>
      <c r="I163" s="19"/>
    </row>
    <row r="164" spans="1:9" x14ac:dyDescent="0.25">
      <c r="A164" s="14" t="s">
        <v>216</v>
      </c>
      <c r="B164" s="15"/>
      <c r="C164" s="15"/>
      <c r="D164" s="15"/>
      <c r="E164" s="3">
        <v>787111.22</v>
      </c>
      <c r="F164" s="4" t="s">
        <v>217</v>
      </c>
      <c r="G164" s="3">
        <v>325011.55</v>
      </c>
      <c r="H164" s="18">
        <v>1111400.17</v>
      </c>
      <c r="I164" s="19"/>
    </row>
    <row r="165" spans="1:9" x14ac:dyDescent="0.25">
      <c r="A165" s="14" t="s">
        <v>218</v>
      </c>
      <c r="B165" s="15"/>
      <c r="C165" s="15"/>
      <c r="D165" s="15"/>
      <c r="E165" s="3">
        <v>39996.949999999997</v>
      </c>
      <c r="F165" s="3">
        <v>432245.03</v>
      </c>
      <c r="G165" s="3">
        <v>16515.490000000002</v>
      </c>
      <c r="H165" s="18">
        <v>488757.47</v>
      </c>
      <c r="I165" s="19"/>
    </row>
    <row r="166" spans="1:9" x14ac:dyDescent="0.25">
      <c r="A166" s="14" t="s">
        <v>219</v>
      </c>
      <c r="B166" s="15"/>
      <c r="C166" s="15"/>
      <c r="D166" s="15"/>
      <c r="E166" s="3">
        <v>128716.76</v>
      </c>
      <c r="F166" s="4" t="s">
        <v>220</v>
      </c>
      <c r="G166" s="3">
        <v>53149.35</v>
      </c>
      <c r="H166" s="18">
        <v>181747.98</v>
      </c>
      <c r="I166" s="19"/>
    </row>
    <row r="167" spans="1:9" x14ac:dyDescent="0.25">
      <c r="A167" s="14" t="s">
        <v>221</v>
      </c>
      <c r="B167" s="15"/>
      <c r="C167" s="15"/>
      <c r="D167" s="15"/>
      <c r="E167" s="5"/>
      <c r="F167" s="5"/>
      <c r="G167" s="3">
        <v>9787.5</v>
      </c>
      <c r="H167" s="18">
        <v>9787.5</v>
      </c>
      <c r="I167" s="19"/>
    </row>
    <row r="168" spans="1:9" x14ac:dyDescent="0.25">
      <c r="A168" s="14" t="s">
        <v>222</v>
      </c>
      <c r="B168" s="15"/>
      <c r="C168" s="15"/>
      <c r="D168" s="15"/>
      <c r="E168" s="3">
        <v>1972220.49</v>
      </c>
      <c r="F168" s="3">
        <v>946959.67</v>
      </c>
      <c r="G168" s="3">
        <v>1469631.37</v>
      </c>
      <c r="H168" s="18">
        <v>4388811.53</v>
      </c>
      <c r="I168" s="19"/>
    </row>
    <row r="169" spans="1:9" x14ac:dyDescent="0.25">
      <c r="A169" s="14" t="s">
        <v>223</v>
      </c>
      <c r="B169" s="15"/>
      <c r="C169" s="15"/>
      <c r="D169" s="15"/>
      <c r="E169" s="3">
        <v>324179.39</v>
      </c>
      <c r="F169" s="3">
        <v>118835.12</v>
      </c>
      <c r="G169" s="3">
        <v>266231.25</v>
      </c>
      <c r="H169" s="18">
        <v>709245.76</v>
      </c>
      <c r="I169" s="19"/>
    </row>
    <row r="170" spans="1:9" x14ac:dyDescent="0.25">
      <c r="A170" s="14" t="s">
        <v>224</v>
      </c>
      <c r="B170" s="15"/>
      <c r="C170" s="15"/>
      <c r="D170" s="15"/>
      <c r="E170" s="4" t="s">
        <v>225</v>
      </c>
      <c r="F170" s="3">
        <v>154831.79</v>
      </c>
      <c r="G170" s="4" t="s">
        <v>226</v>
      </c>
      <c r="H170" s="20" t="s">
        <v>227</v>
      </c>
      <c r="I170" s="21"/>
    </row>
    <row r="171" spans="1:9" x14ac:dyDescent="0.25">
      <c r="A171" s="14" t="s">
        <v>228</v>
      </c>
      <c r="B171" s="15"/>
      <c r="C171" s="15"/>
      <c r="D171" s="15"/>
      <c r="E171" s="4" t="s">
        <v>229</v>
      </c>
      <c r="F171" s="3">
        <v>37467.49</v>
      </c>
      <c r="G171" s="3">
        <v>45555.839999999997</v>
      </c>
      <c r="H171" s="18">
        <v>67710.13</v>
      </c>
      <c r="I171" s="19"/>
    </row>
    <row r="172" spans="1:9" x14ac:dyDescent="0.25">
      <c r="A172" s="14" t="s">
        <v>230</v>
      </c>
      <c r="B172" s="15"/>
      <c r="C172" s="15"/>
      <c r="D172" s="15"/>
      <c r="E172" s="3">
        <v>54782.36</v>
      </c>
      <c r="F172" s="3">
        <v>164.34</v>
      </c>
      <c r="G172" s="3">
        <v>171591.18</v>
      </c>
      <c r="H172" s="18">
        <v>226537.88</v>
      </c>
      <c r="I172" s="19"/>
    </row>
    <row r="173" spans="1:9" x14ac:dyDescent="0.25">
      <c r="A173" s="14" t="s">
        <v>231</v>
      </c>
      <c r="B173" s="15"/>
      <c r="C173" s="15"/>
      <c r="D173" s="15"/>
      <c r="E173" s="3">
        <v>22187.599999999999</v>
      </c>
      <c r="F173" s="3">
        <v>66.58</v>
      </c>
      <c r="G173" s="3">
        <v>69496.87</v>
      </c>
      <c r="H173" s="18">
        <v>91751.05</v>
      </c>
      <c r="I173" s="19"/>
    </row>
    <row r="174" spans="1:9" x14ac:dyDescent="0.25">
      <c r="A174" s="14" t="s">
        <v>232</v>
      </c>
      <c r="B174" s="15"/>
      <c r="C174" s="15"/>
      <c r="D174" s="15"/>
      <c r="E174" s="3">
        <v>4101.4399999999996</v>
      </c>
      <c r="F174" s="3">
        <v>11.78</v>
      </c>
      <c r="G174" s="3">
        <v>11224.8</v>
      </c>
      <c r="H174" s="18">
        <v>15338.02</v>
      </c>
      <c r="I174" s="19"/>
    </row>
    <row r="175" spans="1:9" x14ac:dyDescent="0.25">
      <c r="A175" s="14" t="s">
        <v>233</v>
      </c>
      <c r="B175" s="15"/>
      <c r="C175" s="15"/>
      <c r="D175" s="15"/>
      <c r="E175" s="3">
        <v>90845.05</v>
      </c>
      <c r="F175" s="3">
        <v>81085.38</v>
      </c>
      <c r="G175" s="3">
        <v>126624.09</v>
      </c>
      <c r="H175" s="18">
        <v>298554.52</v>
      </c>
      <c r="I175" s="19"/>
    </row>
    <row r="176" spans="1:9" x14ac:dyDescent="0.25">
      <c r="A176" s="14" t="s">
        <v>234</v>
      </c>
      <c r="B176" s="15"/>
      <c r="C176" s="15"/>
      <c r="D176" s="15"/>
      <c r="E176" s="3">
        <v>29812.79</v>
      </c>
      <c r="F176" s="3">
        <v>14518.99</v>
      </c>
      <c r="G176" s="3">
        <v>29662.26</v>
      </c>
      <c r="H176" s="18">
        <v>73994.039999999994</v>
      </c>
      <c r="I176" s="19"/>
    </row>
    <row r="177" spans="1:9" x14ac:dyDescent="0.25">
      <c r="A177" s="14" t="s">
        <v>235</v>
      </c>
      <c r="B177" s="15"/>
      <c r="C177" s="15"/>
      <c r="D177" s="15"/>
      <c r="E177" s="3">
        <v>27571.15</v>
      </c>
      <c r="F177" s="3">
        <v>14710.76</v>
      </c>
      <c r="G177" s="3">
        <v>30054.12</v>
      </c>
      <c r="H177" s="18">
        <v>72336.03</v>
      </c>
      <c r="I177" s="19"/>
    </row>
    <row r="178" spans="1:9" x14ac:dyDescent="0.25">
      <c r="A178" s="14" t="s">
        <v>236</v>
      </c>
      <c r="B178" s="15"/>
      <c r="C178" s="15"/>
      <c r="D178" s="15"/>
      <c r="E178" s="3">
        <v>27661.22</v>
      </c>
      <c r="F178" s="3">
        <v>14977.89</v>
      </c>
      <c r="G178" s="3">
        <v>32580.43</v>
      </c>
      <c r="H178" s="18">
        <v>75219.539999999994</v>
      </c>
      <c r="I178" s="19"/>
    </row>
    <row r="179" spans="1:9" x14ac:dyDescent="0.25">
      <c r="A179" s="14" t="s">
        <v>237</v>
      </c>
      <c r="B179" s="15"/>
      <c r="C179" s="15"/>
      <c r="D179" s="15"/>
      <c r="E179" s="3">
        <v>67864.149999999994</v>
      </c>
      <c r="F179" s="3">
        <v>41924.97</v>
      </c>
      <c r="G179" s="3">
        <v>85652.62</v>
      </c>
      <c r="H179" s="18">
        <v>195441.74</v>
      </c>
      <c r="I179" s="19"/>
    </row>
    <row r="180" spans="1:9" x14ac:dyDescent="0.25">
      <c r="A180" s="14" t="s">
        <v>238</v>
      </c>
      <c r="B180" s="15"/>
      <c r="C180" s="15"/>
      <c r="D180" s="15"/>
      <c r="E180" s="3">
        <v>420.38</v>
      </c>
      <c r="F180" s="3">
        <v>1249.06</v>
      </c>
      <c r="G180" s="3">
        <v>2551.8000000000002</v>
      </c>
      <c r="H180" s="18">
        <v>4221.24</v>
      </c>
      <c r="I180" s="19"/>
    </row>
    <row r="181" spans="1:9" x14ac:dyDescent="0.25">
      <c r="A181" s="14" t="s">
        <v>239</v>
      </c>
      <c r="B181" s="15"/>
      <c r="C181" s="15"/>
      <c r="D181" s="15"/>
      <c r="E181" s="3">
        <v>373.53</v>
      </c>
      <c r="F181" s="3">
        <v>1109.68</v>
      </c>
      <c r="G181" s="3">
        <v>2267.1</v>
      </c>
      <c r="H181" s="18">
        <v>3750.31</v>
      </c>
      <c r="I181" s="19"/>
    </row>
    <row r="182" spans="1:9" x14ac:dyDescent="0.25">
      <c r="A182" s="14" t="s">
        <v>240</v>
      </c>
      <c r="B182" s="15"/>
      <c r="C182" s="15"/>
      <c r="D182" s="15"/>
      <c r="E182" s="5"/>
      <c r="F182" s="5"/>
      <c r="G182" s="3">
        <v>1668.56</v>
      </c>
      <c r="H182" s="18">
        <v>1668.56</v>
      </c>
      <c r="I182" s="19"/>
    </row>
    <row r="183" spans="1:9" x14ac:dyDescent="0.25">
      <c r="A183" s="14" t="s">
        <v>241</v>
      </c>
      <c r="B183" s="15"/>
      <c r="C183" s="15"/>
      <c r="D183" s="15"/>
      <c r="E183" s="4" t="s">
        <v>242</v>
      </c>
      <c r="F183" s="4" t="s">
        <v>243</v>
      </c>
      <c r="G183" s="4" t="s">
        <v>244</v>
      </c>
      <c r="H183" s="20" t="s">
        <v>245</v>
      </c>
      <c r="I183" s="21"/>
    </row>
    <row r="184" spans="1:9" x14ac:dyDescent="0.25">
      <c r="A184" s="14" t="s">
        <v>246</v>
      </c>
      <c r="B184" s="15"/>
      <c r="C184" s="15"/>
      <c r="D184" s="15"/>
      <c r="E184" s="3">
        <v>18361.04</v>
      </c>
      <c r="F184" s="3">
        <v>8923.82</v>
      </c>
      <c r="G184" s="3">
        <v>39582.06</v>
      </c>
      <c r="H184" s="18">
        <v>66866.92</v>
      </c>
      <c r="I184" s="19"/>
    </row>
    <row r="185" spans="1:9" x14ac:dyDescent="0.25">
      <c r="A185" s="14" t="s">
        <v>247</v>
      </c>
      <c r="B185" s="15"/>
      <c r="C185" s="15"/>
      <c r="D185" s="15"/>
      <c r="E185" s="3">
        <v>19326.36</v>
      </c>
      <c r="F185" s="3">
        <v>7689.45</v>
      </c>
      <c r="G185" s="3">
        <v>38340.67</v>
      </c>
      <c r="H185" s="18">
        <v>65356.480000000003</v>
      </c>
      <c r="I185" s="19"/>
    </row>
    <row r="186" spans="1:9" x14ac:dyDescent="0.25">
      <c r="A186" s="14" t="s">
        <v>248</v>
      </c>
      <c r="B186" s="15"/>
      <c r="C186" s="15"/>
      <c r="D186" s="15"/>
      <c r="E186" s="3">
        <v>121305</v>
      </c>
      <c r="F186" s="3">
        <v>52399.23</v>
      </c>
      <c r="G186" s="3">
        <v>263617.65999999997</v>
      </c>
      <c r="H186" s="18">
        <v>437321.89</v>
      </c>
      <c r="I186" s="19"/>
    </row>
    <row r="187" spans="1:9" x14ac:dyDescent="0.25">
      <c r="A187" s="14" t="s">
        <v>249</v>
      </c>
      <c r="B187" s="15"/>
      <c r="C187" s="15"/>
      <c r="D187" s="15"/>
      <c r="E187" s="3">
        <v>84650.07</v>
      </c>
      <c r="F187" s="3">
        <v>126311.64</v>
      </c>
      <c r="G187" s="3">
        <v>134165.22</v>
      </c>
      <c r="H187" s="18">
        <v>345126.93</v>
      </c>
      <c r="I187" s="19"/>
    </row>
    <row r="188" spans="1:9" x14ac:dyDescent="0.25">
      <c r="A188" s="14" t="s">
        <v>250</v>
      </c>
      <c r="B188" s="15"/>
      <c r="C188" s="15"/>
      <c r="D188" s="15"/>
      <c r="E188" s="3">
        <v>90962.4</v>
      </c>
      <c r="F188" s="3">
        <v>101567.85</v>
      </c>
      <c r="G188" s="3">
        <v>143042.92000000001</v>
      </c>
      <c r="H188" s="18">
        <v>335573.17</v>
      </c>
      <c r="I188" s="19"/>
    </row>
    <row r="189" spans="1:9" x14ac:dyDescent="0.25">
      <c r="A189" s="14" t="s">
        <v>251</v>
      </c>
      <c r="B189" s="15"/>
      <c r="C189" s="15"/>
      <c r="D189" s="15"/>
      <c r="E189" s="3">
        <v>185889.46</v>
      </c>
      <c r="F189" s="3">
        <v>216343.29</v>
      </c>
      <c r="G189" s="3">
        <v>290525.8</v>
      </c>
      <c r="H189" s="18">
        <v>692758.55</v>
      </c>
      <c r="I189" s="19"/>
    </row>
    <row r="190" spans="1:9" x14ac:dyDescent="0.25">
      <c r="A190" s="14" t="s">
        <v>252</v>
      </c>
      <c r="B190" s="15"/>
      <c r="C190" s="15"/>
      <c r="D190" s="15"/>
      <c r="E190" s="3">
        <v>7338.99</v>
      </c>
      <c r="F190" s="3">
        <v>8154.74</v>
      </c>
      <c r="G190" s="3">
        <v>8940.6200000000008</v>
      </c>
      <c r="H190" s="18">
        <v>24434.35</v>
      </c>
      <c r="I190" s="19"/>
    </row>
    <row r="191" spans="1:9" x14ac:dyDescent="0.25">
      <c r="A191" s="14" t="s">
        <v>253</v>
      </c>
      <c r="B191" s="15"/>
      <c r="C191" s="15"/>
      <c r="D191" s="15"/>
      <c r="E191" s="3">
        <v>4026.84</v>
      </c>
      <c r="F191" s="3">
        <v>6148.71</v>
      </c>
      <c r="G191" s="3">
        <v>8253.64</v>
      </c>
      <c r="H191" s="18">
        <v>18429.189999999999</v>
      </c>
      <c r="I191" s="19"/>
    </row>
    <row r="192" spans="1:9" x14ac:dyDescent="0.25">
      <c r="A192" s="14" t="s">
        <v>254</v>
      </c>
      <c r="B192" s="15"/>
      <c r="C192" s="15"/>
      <c r="D192" s="15"/>
      <c r="E192" s="3">
        <v>22863.18</v>
      </c>
      <c r="F192" s="3">
        <v>35303.910000000003</v>
      </c>
      <c r="G192" s="3">
        <v>36770.93</v>
      </c>
      <c r="H192" s="18">
        <v>94938.02</v>
      </c>
      <c r="I192" s="19"/>
    </row>
    <row r="193" spans="1:9" x14ac:dyDescent="0.25">
      <c r="A193" s="14" t="s">
        <v>255</v>
      </c>
      <c r="B193" s="15"/>
      <c r="C193" s="15"/>
      <c r="D193" s="15"/>
      <c r="E193" s="3">
        <v>2474.3000000000002</v>
      </c>
      <c r="F193" s="3">
        <v>3820.11</v>
      </c>
      <c r="G193" s="3">
        <v>3879.23</v>
      </c>
      <c r="H193" s="18">
        <v>10173.64</v>
      </c>
      <c r="I193" s="19"/>
    </row>
    <row r="194" spans="1:9" x14ac:dyDescent="0.25">
      <c r="A194" s="14" t="s">
        <v>256</v>
      </c>
      <c r="B194" s="15"/>
      <c r="C194" s="15"/>
      <c r="D194" s="15"/>
      <c r="E194" s="3">
        <v>10634.06</v>
      </c>
      <c r="F194" s="3">
        <v>16419.39</v>
      </c>
      <c r="G194" s="3">
        <v>17266.72</v>
      </c>
      <c r="H194" s="18">
        <v>44320.17</v>
      </c>
      <c r="I194" s="19"/>
    </row>
    <row r="195" spans="1:9" x14ac:dyDescent="0.25">
      <c r="A195" s="14" t="s">
        <v>257</v>
      </c>
      <c r="B195" s="15"/>
      <c r="C195" s="15"/>
      <c r="D195" s="15"/>
      <c r="E195" s="3">
        <v>20720.87</v>
      </c>
      <c r="F195" s="4" t="s">
        <v>258</v>
      </c>
      <c r="G195" s="3">
        <v>32484.639999999999</v>
      </c>
      <c r="H195" s="20" t="s">
        <v>259</v>
      </c>
      <c r="I195" s="21"/>
    </row>
    <row r="196" spans="1:9" x14ac:dyDescent="0.25">
      <c r="A196" s="14" t="s">
        <v>260</v>
      </c>
      <c r="B196" s="15"/>
      <c r="C196" s="15"/>
      <c r="D196" s="15"/>
      <c r="E196" s="3">
        <v>1171.73</v>
      </c>
      <c r="F196" s="3">
        <v>1805.52</v>
      </c>
      <c r="G196" s="3">
        <v>1838.57</v>
      </c>
      <c r="H196" s="18">
        <v>4815.82</v>
      </c>
      <c r="I196" s="19"/>
    </row>
    <row r="197" spans="1:9" x14ac:dyDescent="0.25">
      <c r="A197" s="14" t="s">
        <v>261</v>
      </c>
      <c r="B197" s="15"/>
      <c r="C197" s="15"/>
      <c r="D197" s="15"/>
      <c r="E197" s="3">
        <v>4043.15</v>
      </c>
      <c r="F197" s="4" t="s">
        <v>262</v>
      </c>
      <c r="G197" s="3">
        <v>6338.97</v>
      </c>
      <c r="H197" s="20" t="s">
        <v>263</v>
      </c>
      <c r="I197" s="21"/>
    </row>
    <row r="198" spans="1:9" x14ac:dyDescent="0.25">
      <c r="A198" s="14" t="s">
        <v>264</v>
      </c>
      <c r="B198" s="15"/>
      <c r="C198" s="15"/>
      <c r="D198" s="15"/>
      <c r="E198" s="3">
        <v>808.44</v>
      </c>
      <c r="F198" s="3">
        <v>1248.3599999999999</v>
      </c>
      <c r="G198" s="3">
        <v>1267.47</v>
      </c>
      <c r="H198" s="18">
        <v>3324.27</v>
      </c>
      <c r="I198" s="19"/>
    </row>
    <row r="199" spans="1:9" x14ac:dyDescent="0.25">
      <c r="A199" s="14" t="s">
        <v>265</v>
      </c>
      <c r="B199" s="15"/>
      <c r="C199" s="15"/>
      <c r="D199" s="15"/>
      <c r="E199" s="3">
        <v>26838.27</v>
      </c>
      <c r="F199" s="3">
        <v>36500.339999999997</v>
      </c>
      <c r="G199" s="3">
        <v>37989.22</v>
      </c>
      <c r="H199" s="18">
        <v>101327.83</v>
      </c>
      <c r="I199" s="19"/>
    </row>
    <row r="200" spans="1:9" x14ac:dyDescent="0.25">
      <c r="A200" s="14" t="s">
        <v>266</v>
      </c>
      <c r="B200" s="15"/>
      <c r="C200" s="15"/>
      <c r="D200" s="15"/>
      <c r="E200" s="3">
        <v>304219.31</v>
      </c>
      <c r="F200" s="4" t="s">
        <v>267</v>
      </c>
      <c r="G200" s="3">
        <v>492156.32</v>
      </c>
      <c r="H200" s="18">
        <v>542524.52</v>
      </c>
      <c r="I200" s="19"/>
    </row>
    <row r="201" spans="1:9" x14ac:dyDescent="0.25">
      <c r="A201" s="14" t="s">
        <v>268</v>
      </c>
      <c r="B201" s="15"/>
      <c r="C201" s="15"/>
      <c r="D201" s="15"/>
      <c r="E201" s="3">
        <v>6238.61</v>
      </c>
      <c r="F201" s="3">
        <v>9636.31</v>
      </c>
      <c r="G201" s="3">
        <v>9779.02</v>
      </c>
      <c r="H201" s="18">
        <v>25653.94</v>
      </c>
      <c r="I201" s="19"/>
    </row>
    <row r="202" spans="1:9" x14ac:dyDescent="0.25">
      <c r="A202" s="14" t="s">
        <v>269</v>
      </c>
      <c r="B202" s="15"/>
      <c r="C202" s="15"/>
      <c r="D202" s="15"/>
      <c r="E202" s="3">
        <v>25530.95</v>
      </c>
      <c r="F202" s="3">
        <v>35459.360000000001</v>
      </c>
      <c r="G202" s="3">
        <v>36023.07</v>
      </c>
      <c r="H202" s="18">
        <v>97013.38</v>
      </c>
      <c r="I202" s="19"/>
    </row>
    <row r="203" spans="1:9" x14ac:dyDescent="0.25">
      <c r="A203" s="14" t="s">
        <v>270</v>
      </c>
      <c r="B203" s="15"/>
      <c r="C203" s="15"/>
      <c r="D203" s="15"/>
      <c r="E203" s="3">
        <v>64068.75</v>
      </c>
      <c r="F203" s="3">
        <v>27597.75</v>
      </c>
      <c r="G203" s="3">
        <v>52061.02</v>
      </c>
      <c r="H203" s="18">
        <v>143727.51999999999</v>
      </c>
      <c r="I203" s="19"/>
    </row>
    <row r="204" spans="1:9" x14ac:dyDescent="0.25">
      <c r="A204" s="14" t="s">
        <v>271</v>
      </c>
      <c r="B204" s="15"/>
      <c r="C204" s="15"/>
      <c r="D204" s="15"/>
      <c r="E204" s="3">
        <v>644096.34</v>
      </c>
      <c r="F204" s="3">
        <v>153489.65</v>
      </c>
      <c r="G204" s="3">
        <v>290396.71000000002</v>
      </c>
      <c r="H204" s="18">
        <v>1087982.7</v>
      </c>
      <c r="I204" s="19"/>
    </row>
    <row r="205" spans="1:9" x14ac:dyDescent="0.25">
      <c r="A205" s="14" t="s">
        <v>272</v>
      </c>
      <c r="B205" s="15"/>
      <c r="C205" s="15"/>
      <c r="D205" s="15"/>
      <c r="E205" s="3">
        <v>386227.77</v>
      </c>
      <c r="F205" s="3">
        <v>245891.54</v>
      </c>
      <c r="G205" s="3">
        <v>212991.31</v>
      </c>
      <c r="H205" s="18">
        <v>845110.62</v>
      </c>
      <c r="I205" s="19"/>
    </row>
    <row r="206" spans="1:9" x14ac:dyDescent="0.25">
      <c r="A206" s="14" t="s">
        <v>273</v>
      </c>
      <c r="B206" s="15"/>
      <c r="C206" s="15"/>
      <c r="D206" s="15"/>
      <c r="E206" s="3">
        <v>320778.15000000002</v>
      </c>
      <c r="F206" s="3">
        <v>439555.53</v>
      </c>
      <c r="G206" s="3">
        <v>540761.5</v>
      </c>
      <c r="H206" s="18">
        <v>1301095.18</v>
      </c>
      <c r="I206" s="19"/>
    </row>
    <row r="207" spans="1:9" x14ac:dyDescent="0.25">
      <c r="A207" s="14" t="s">
        <v>274</v>
      </c>
      <c r="B207" s="15"/>
      <c r="C207" s="15"/>
      <c r="D207" s="15"/>
      <c r="E207" s="3">
        <v>75218.009999999995</v>
      </c>
      <c r="F207" s="3">
        <v>23157.15</v>
      </c>
      <c r="G207" s="3">
        <v>142408.74</v>
      </c>
      <c r="H207" s="18">
        <v>240783.9</v>
      </c>
      <c r="I207" s="19"/>
    </row>
    <row r="208" spans="1:9" x14ac:dyDescent="0.25">
      <c r="A208" s="14" t="s">
        <v>275</v>
      </c>
      <c r="B208" s="15"/>
      <c r="C208" s="15"/>
      <c r="D208" s="15"/>
      <c r="E208" s="3">
        <v>595225.55000000005</v>
      </c>
      <c r="F208" s="3">
        <v>809644.18</v>
      </c>
      <c r="G208" s="3">
        <v>1009428.65</v>
      </c>
      <c r="H208" s="18">
        <v>2414298.38</v>
      </c>
      <c r="I208" s="19"/>
    </row>
    <row r="209" spans="1:9" x14ac:dyDescent="0.25">
      <c r="A209" s="14" t="s">
        <v>276</v>
      </c>
      <c r="B209" s="15"/>
      <c r="C209" s="15"/>
      <c r="D209" s="15"/>
      <c r="E209" s="3">
        <v>160815.85</v>
      </c>
      <c r="F209" s="3">
        <v>57370.94</v>
      </c>
      <c r="G209" s="3">
        <v>243447.82</v>
      </c>
      <c r="H209" s="18">
        <v>461634.61</v>
      </c>
      <c r="I209" s="19"/>
    </row>
    <row r="210" spans="1:9" x14ac:dyDescent="0.25">
      <c r="A210" s="14" t="s">
        <v>277</v>
      </c>
      <c r="B210" s="15"/>
      <c r="C210" s="15"/>
      <c r="D210" s="15"/>
      <c r="E210" s="3">
        <v>17061.84</v>
      </c>
      <c r="F210" s="3">
        <v>4509.7</v>
      </c>
      <c r="G210" s="3">
        <v>8980.15</v>
      </c>
      <c r="H210" s="18">
        <v>30551.69</v>
      </c>
      <c r="I210" s="19"/>
    </row>
    <row r="211" spans="1:9" x14ac:dyDescent="0.25">
      <c r="A211" s="14" t="s">
        <v>278</v>
      </c>
      <c r="B211" s="15"/>
      <c r="C211" s="15"/>
      <c r="D211" s="15"/>
      <c r="E211" s="3">
        <v>16458.509999999998</v>
      </c>
      <c r="F211" s="3">
        <v>10729.99</v>
      </c>
      <c r="G211" s="3">
        <v>13416.31</v>
      </c>
      <c r="H211" s="18">
        <v>40604.81</v>
      </c>
      <c r="I211" s="19"/>
    </row>
    <row r="212" spans="1:9" x14ac:dyDescent="0.25">
      <c r="A212" s="14" t="s">
        <v>279</v>
      </c>
      <c r="B212" s="15"/>
      <c r="C212" s="15"/>
      <c r="D212" s="15"/>
      <c r="E212" s="3">
        <v>28454</v>
      </c>
      <c r="F212" s="3">
        <v>2310.37</v>
      </c>
      <c r="G212" s="3">
        <v>5062.32</v>
      </c>
      <c r="H212" s="18">
        <v>35826.69</v>
      </c>
      <c r="I212" s="19"/>
    </row>
    <row r="213" spans="1:9" x14ac:dyDescent="0.25">
      <c r="A213" s="14" t="s">
        <v>280</v>
      </c>
      <c r="B213" s="15"/>
      <c r="C213" s="15"/>
      <c r="D213" s="15"/>
      <c r="E213" s="3">
        <v>325844.74</v>
      </c>
      <c r="F213" s="3">
        <v>252638.12</v>
      </c>
      <c r="G213" s="3">
        <v>331933.96999999997</v>
      </c>
      <c r="H213" s="18">
        <v>910416.83</v>
      </c>
      <c r="I213" s="19"/>
    </row>
    <row r="214" spans="1:9" x14ac:dyDescent="0.25">
      <c r="A214" s="14" t="s">
        <v>281</v>
      </c>
      <c r="B214" s="15"/>
      <c r="C214" s="15"/>
      <c r="D214" s="15"/>
      <c r="E214" s="3">
        <v>665146.53</v>
      </c>
      <c r="F214" s="3">
        <v>82000</v>
      </c>
      <c r="G214" s="3">
        <v>1043956.62</v>
      </c>
      <c r="H214" s="18">
        <v>1791103.15</v>
      </c>
      <c r="I214" s="19"/>
    </row>
    <row r="215" spans="1:9" x14ac:dyDescent="0.25">
      <c r="A215" s="14" t="s">
        <v>282</v>
      </c>
      <c r="B215" s="15"/>
      <c r="C215" s="15"/>
      <c r="D215" s="15"/>
      <c r="E215" s="3">
        <v>413106.7</v>
      </c>
      <c r="F215" s="3">
        <v>591360.29</v>
      </c>
      <c r="G215" s="3">
        <v>844669.05</v>
      </c>
      <c r="H215" s="18">
        <v>1849136.04</v>
      </c>
      <c r="I215" s="19"/>
    </row>
    <row r="216" spans="1:9" x14ac:dyDescent="0.25">
      <c r="A216" s="14" t="s">
        <v>283</v>
      </c>
      <c r="B216" s="15"/>
      <c r="C216" s="15"/>
      <c r="D216" s="15"/>
      <c r="E216" s="3">
        <v>119103.92</v>
      </c>
      <c r="F216" s="4" t="s">
        <v>284</v>
      </c>
      <c r="G216" s="3">
        <v>106542.6</v>
      </c>
      <c r="H216" s="18">
        <v>145944.70000000001</v>
      </c>
      <c r="I216" s="19"/>
    </row>
    <row r="217" spans="1:9" x14ac:dyDescent="0.25">
      <c r="A217" s="14" t="s">
        <v>285</v>
      </c>
      <c r="B217" s="15"/>
      <c r="C217" s="15"/>
      <c r="D217" s="15"/>
      <c r="E217" s="3">
        <v>255767.64</v>
      </c>
      <c r="F217" s="3">
        <v>8744.1299999999992</v>
      </c>
      <c r="G217" s="3">
        <v>164816.54</v>
      </c>
      <c r="H217" s="18">
        <v>429328.31</v>
      </c>
      <c r="I217" s="19"/>
    </row>
    <row r="218" spans="1:9" x14ac:dyDescent="0.25">
      <c r="A218" s="14" t="s">
        <v>286</v>
      </c>
      <c r="B218" s="15"/>
      <c r="C218" s="15"/>
      <c r="D218" s="15"/>
      <c r="E218" s="3">
        <v>246757.61</v>
      </c>
      <c r="F218" s="3">
        <v>5457.92</v>
      </c>
      <c r="G218" s="3">
        <v>203613.21</v>
      </c>
      <c r="H218" s="18">
        <v>455828.74</v>
      </c>
      <c r="I218" s="19"/>
    </row>
    <row r="219" spans="1:9" x14ac:dyDescent="0.25">
      <c r="A219" s="14" t="s">
        <v>287</v>
      </c>
      <c r="B219" s="15"/>
      <c r="C219" s="15"/>
      <c r="D219" s="15"/>
      <c r="E219" s="3">
        <v>109966.6</v>
      </c>
      <c r="F219" s="3">
        <v>267.52</v>
      </c>
      <c r="G219" s="3">
        <v>104613.39</v>
      </c>
      <c r="H219" s="18">
        <v>214847.51</v>
      </c>
      <c r="I219" s="19"/>
    </row>
    <row r="220" spans="1:9" x14ac:dyDescent="0.25">
      <c r="A220" s="14" t="s">
        <v>288</v>
      </c>
      <c r="B220" s="15"/>
      <c r="C220" s="15"/>
      <c r="D220" s="15"/>
      <c r="E220" s="3">
        <v>138464.04999999999</v>
      </c>
      <c r="F220" s="5"/>
      <c r="G220" s="3">
        <v>99103.99</v>
      </c>
      <c r="H220" s="18">
        <v>237568.04</v>
      </c>
      <c r="I220" s="19"/>
    </row>
    <row r="221" spans="1:9" x14ac:dyDescent="0.25">
      <c r="A221" s="14" t="s">
        <v>289</v>
      </c>
      <c r="B221" s="15"/>
      <c r="C221" s="15"/>
      <c r="D221" s="15"/>
      <c r="E221" s="3">
        <v>58514.44</v>
      </c>
      <c r="F221" s="4" t="s">
        <v>290</v>
      </c>
      <c r="G221" s="3">
        <v>58600.639999999999</v>
      </c>
      <c r="H221" s="18">
        <v>59789.04</v>
      </c>
      <c r="I221" s="19"/>
    </row>
    <row r="222" spans="1:9" x14ac:dyDescent="0.25">
      <c r="A222" s="14" t="s">
        <v>291</v>
      </c>
      <c r="B222" s="15"/>
      <c r="C222" s="15"/>
      <c r="D222" s="15"/>
      <c r="E222" s="4" t="s">
        <v>292</v>
      </c>
      <c r="F222" s="3">
        <v>253740.63</v>
      </c>
      <c r="G222" s="5"/>
      <c r="H222" s="18">
        <v>253155.93</v>
      </c>
      <c r="I222" s="19"/>
    </row>
    <row r="223" spans="1:9" x14ac:dyDescent="0.25">
      <c r="A223" s="14" t="s">
        <v>293</v>
      </c>
      <c r="B223" s="15"/>
      <c r="C223" s="15"/>
      <c r="D223" s="15"/>
      <c r="E223" s="3">
        <v>5680.14</v>
      </c>
      <c r="F223" s="3">
        <v>5184.1899999999996</v>
      </c>
      <c r="G223" s="3">
        <v>7552.45</v>
      </c>
      <c r="H223" s="18">
        <v>18416.78</v>
      </c>
      <c r="I223" s="19"/>
    </row>
    <row r="224" spans="1:9" x14ac:dyDescent="0.25">
      <c r="A224" s="14" t="s">
        <v>294</v>
      </c>
      <c r="B224" s="15"/>
      <c r="C224" s="15"/>
      <c r="D224" s="15"/>
      <c r="E224" s="3">
        <v>0.54</v>
      </c>
      <c r="F224" s="3">
        <v>16.05</v>
      </c>
      <c r="G224" s="3">
        <v>1.91</v>
      </c>
      <c r="H224" s="18">
        <v>18.5</v>
      </c>
      <c r="I224" s="19"/>
    </row>
    <row r="225" spans="1:9" x14ac:dyDescent="0.25">
      <c r="A225" s="14" t="s">
        <v>295</v>
      </c>
      <c r="B225" s="15"/>
      <c r="C225" s="15"/>
      <c r="D225" s="15"/>
      <c r="E225" s="3">
        <v>35.46</v>
      </c>
      <c r="F225" s="3">
        <v>10084.030000000001</v>
      </c>
      <c r="G225" s="3">
        <v>32553.119999999999</v>
      </c>
      <c r="H225" s="18">
        <v>42672.61</v>
      </c>
      <c r="I225" s="19"/>
    </row>
    <row r="226" spans="1:9" x14ac:dyDescent="0.25">
      <c r="A226" s="14" t="s">
        <v>296</v>
      </c>
      <c r="B226" s="15"/>
      <c r="C226" s="15"/>
      <c r="D226" s="15"/>
      <c r="E226" s="3">
        <v>381097.09</v>
      </c>
      <c r="F226" s="3">
        <v>39389.53</v>
      </c>
      <c r="G226" s="3">
        <v>861880.05</v>
      </c>
      <c r="H226" s="18">
        <v>1282366.67</v>
      </c>
      <c r="I226" s="19"/>
    </row>
    <row r="227" spans="1:9" x14ac:dyDescent="0.25">
      <c r="A227" s="14" t="s">
        <v>297</v>
      </c>
      <c r="B227" s="15"/>
      <c r="C227" s="15"/>
      <c r="D227" s="15"/>
      <c r="E227" s="3">
        <v>19124.48</v>
      </c>
      <c r="F227" s="4" t="s">
        <v>298</v>
      </c>
      <c r="G227" s="3">
        <v>41647.599999999999</v>
      </c>
      <c r="H227" s="20" t="s">
        <v>299</v>
      </c>
      <c r="I227" s="21"/>
    </row>
    <row r="228" spans="1:9" x14ac:dyDescent="0.25">
      <c r="A228" s="14" t="s">
        <v>300</v>
      </c>
      <c r="B228" s="15"/>
      <c r="C228" s="15"/>
      <c r="D228" s="15"/>
      <c r="E228" s="3">
        <v>406850.8</v>
      </c>
      <c r="F228" s="4" t="s">
        <v>301</v>
      </c>
      <c r="G228" s="3">
        <v>353996.68</v>
      </c>
      <c r="H228" s="18">
        <v>742594.78</v>
      </c>
      <c r="I228" s="19"/>
    </row>
    <row r="229" spans="1:9" x14ac:dyDescent="0.25">
      <c r="A229" s="14" t="s">
        <v>302</v>
      </c>
      <c r="B229" s="15"/>
      <c r="C229" s="15"/>
      <c r="D229" s="15"/>
      <c r="E229" s="3">
        <v>55216.71</v>
      </c>
      <c r="F229" s="3">
        <v>23913.26</v>
      </c>
      <c r="G229" s="3">
        <v>55762.94</v>
      </c>
      <c r="H229" s="18">
        <v>134892.91</v>
      </c>
      <c r="I229" s="19"/>
    </row>
    <row r="230" spans="1:9" x14ac:dyDescent="0.25">
      <c r="A230" s="14" t="s">
        <v>303</v>
      </c>
      <c r="B230" s="15"/>
      <c r="C230" s="15"/>
      <c r="D230" s="15"/>
      <c r="E230" s="3">
        <v>484415.44</v>
      </c>
      <c r="F230" s="3">
        <v>402880.17</v>
      </c>
      <c r="G230" s="3">
        <v>727534.5</v>
      </c>
      <c r="H230" s="18">
        <v>1614830.11</v>
      </c>
      <c r="I230" s="19"/>
    </row>
    <row r="231" spans="1:9" x14ac:dyDescent="0.25">
      <c r="A231" s="14" t="s">
        <v>304</v>
      </c>
      <c r="B231" s="15"/>
      <c r="C231" s="15"/>
      <c r="D231" s="15"/>
      <c r="E231" s="3">
        <v>10340.84</v>
      </c>
      <c r="F231" s="3">
        <v>13437.73</v>
      </c>
      <c r="G231" s="3">
        <v>12925.54</v>
      </c>
      <c r="H231" s="18">
        <v>36704.11</v>
      </c>
      <c r="I231" s="19"/>
    </row>
    <row r="232" spans="1:9" x14ac:dyDescent="0.25">
      <c r="A232" s="14" t="s">
        <v>305</v>
      </c>
      <c r="B232" s="15"/>
      <c r="C232" s="15"/>
      <c r="D232" s="15"/>
      <c r="E232" s="3">
        <v>70085.89</v>
      </c>
      <c r="F232" s="3">
        <v>66850.19</v>
      </c>
      <c r="G232" s="3">
        <v>98790.24</v>
      </c>
      <c r="H232" s="18">
        <v>235726.32</v>
      </c>
      <c r="I232" s="19"/>
    </row>
    <row r="233" spans="1:9" x14ac:dyDescent="0.25">
      <c r="A233" s="14" t="s">
        <v>306</v>
      </c>
      <c r="B233" s="15"/>
      <c r="C233" s="15"/>
      <c r="D233" s="15"/>
      <c r="E233" s="3">
        <v>20862.21</v>
      </c>
      <c r="F233" s="3">
        <v>11980.45</v>
      </c>
      <c r="G233" s="3">
        <v>25084.49</v>
      </c>
      <c r="H233" s="18">
        <v>57927.15</v>
      </c>
      <c r="I233" s="19"/>
    </row>
    <row r="234" spans="1:9" x14ac:dyDescent="0.25">
      <c r="A234" s="14" t="s">
        <v>307</v>
      </c>
      <c r="B234" s="15"/>
      <c r="C234" s="15"/>
      <c r="D234" s="15"/>
      <c r="E234" s="3">
        <v>82.71</v>
      </c>
      <c r="F234" s="3">
        <v>3704.22</v>
      </c>
      <c r="G234" s="3">
        <v>327.83</v>
      </c>
      <c r="H234" s="18">
        <v>4114.76</v>
      </c>
      <c r="I234" s="19"/>
    </row>
    <row r="235" spans="1:9" x14ac:dyDescent="0.25">
      <c r="A235" s="14" t="s">
        <v>308</v>
      </c>
      <c r="B235" s="15"/>
      <c r="C235" s="15"/>
      <c r="D235" s="15"/>
      <c r="E235" s="3">
        <v>103546.61</v>
      </c>
      <c r="F235" s="3">
        <v>116946.8</v>
      </c>
      <c r="G235" s="3">
        <v>144601.71</v>
      </c>
      <c r="H235" s="18">
        <v>365095.12</v>
      </c>
      <c r="I235" s="19"/>
    </row>
    <row r="236" spans="1:9" x14ac:dyDescent="0.25">
      <c r="A236" s="14" t="s">
        <v>309</v>
      </c>
      <c r="B236" s="15"/>
      <c r="C236" s="15"/>
      <c r="D236" s="15"/>
      <c r="E236" s="3">
        <v>2.68</v>
      </c>
      <c r="F236" s="3">
        <v>89.44</v>
      </c>
      <c r="G236" s="3">
        <v>10.62</v>
      </c>
      <c r="H236" s="18">
        <v>102.74</v>
      </c>
      <c r="I236" s="19"/>
    </row>
    <row r="237" spans="1:9" x14ac:dyDescent="0.25">
      <c r="A237" s="14" t="s">
        <v>310</v>
      </c>
      <c r="B237" s="15"/>
      <c r="C237" s="15"/>
      <c r="D237" s="15"/>
      <c r="E237" s="3">
        <v>4.16</v>
      </c>
      <c r="F237" s="3">
        <v>2849.31</v>
      </c>
      <c r="G237" s="3">
        <v>393.72</v>
      </c>
      <c r="H237" s="18">
        <v>3247.19</v>
      </c>
      <c r="I237" s="19"/>
    </row>
    <row r="238" spans="1:9" x14ac:dyDescent="0.25">
      <c r="A238" s="14" t="s">
        <v>311</v>
      </c>
      <c r="B238" s="15"/>
      <c r="C238" s="15"/>
      <c r="D238" s="15"/>
      <c r="E238" s="3">
        <v>1.83</v>
      </c>
      <c r="F238" s="3">
        <v>2052.7600000000002</v>
      </c>
      <c r="G238" s="3">
        <v>172.6</v>
      </c>
      <c r="H238" s="18">
        <v>2227.19</v>
      </c>
      <c r="I238" s="19"/>
    </row>
    <row r="239" spans="1:9" x14ac:dyDescent="0.25">
      <c r="A239" s="14" t="s">
        <v>312</v>
      </c>
      <c r="B239" s="15"/>
      <c r="C239" s="15"/>
      <c r="D239" s="15"/>
      <c r="E239" s="3">
        <v>0.61</v>
      </c>
      <c r="F239" s="3">
        <v>1042.6300000000001</v>
      </c>
      <c r="G239" s="3">
        <v>2.37</v>
      </c>
      <c r="H239" s="18">
        <v>1045.6099999999999</v>
      </c>
      <c r="I239" s="19"/>
    </row>
    <row r="240" spans="1:9" x14ac:dyDescent="0.25">
      <c r="A240" s="14" t="s">
        <v>313</v>
      </c>
      <c r="B240" s="15"/>
      <c r="C240" s="15"/>
      <c r="D240" s="15"/>
      <c r="E240" s="3">
        <v>143680.42000000001</v>
      </c>
      <c r="F240" s="3">
        <v>83040.42</v>
      </c>
      <c r="G240" s="3">
        <v>196795.17</v>
      </c>
      <c r="H240" s="18">
        <v>423516.01</v>
      </c>
      <c r="I240" s="19"/>
    </row>
    <row r="241" spans="1:9" x14ac:dyDescent="0.25">
      <c r="A241" s="14" t="s">
        <v>314</v>
      </c>
      <c r="B241" s="15"/>
      <c r="C241" s="15"/>
      <c r="D241" s="15"/>
      <c r="E241" s="3">
        <v>14157.59</v>
      </c>
      <c r="F241" s="4" t="s">
        <v>315</v>
      </c>
      <c r="G241" s="3">
        <v>15630.9</v>
      </c>
      <c r="H241" s="18">
        <v>28971.22</v>
      </c>
      <c r="I241" s="19"/>
    </row>
    <row r="242" spans="1:9" x14ac:dyDescent="0.25">
      <c r="A242" s="14" t="s">
        <v>316</v>
      </c>
      <c r="B242" s="15"/>
      <c r="C242" s="15"/>
      <c r="D242" s="15"/>
      <c r="E242" s="3">
        <v>400087.89</v>
      </c>
      <c r="F242" s="4" t="s">
        <v>317</v>
      </c>
      <c r="G242" s="3">
        <v>442090.45</v>
      </c>
      <c r="H242" s="18">
        <v>591248.36</v>
      </c>
      <c r="I242" s="19"/>
    </row>
    <row r="243" spans="1:9" x14ac:dyDescent="0.25">
      <c r="A243" s="14" t="s">
        <v>318</v>
      </c>
      <c r="B243" s="15"/>
      <c r="C243" s="15"/>
      <c r="D243" s="15"/>
      <c r="E243" s="3">
        <v>1383.5</v>
      </c>
      <c r="F243" s="3">
        <v>66727.62</v>
      </c>
      <c r="G243" s="3">
        <v>8646.3799999999992</v>
      </c>
      <c r="H243" s="18">
        <v>76757.5</v>
      </c>
      <c r="I243" s="19"/>
    </row>
    <row r="244" spans="1:9" x14ac:dyDescent="0.25">
      <c r="A244" s="14" t="s">
        <v>319</v>
      </c>
      <c r="B244" s="15"/>
      <c r="C244" s="15"/>
      <c r="D244" s="15"/>
      <c r="E244" s="3">
        <v>14691.53</v>
      </c>
      <c r="F244" s="3">
        <v>9645.7000000000007</v>
      </c>
      <c r="G244" s="3">
        <v>20023.28</v>
      </c>
      <c r="H244" s="18">
        <v>44360.51</v>
      </c>
      <c r="I244" s="19"/>
    </row>
    <row r="245" spans="1:9" x14ac:dyDescent="0.25">
      <c r="A245" s="14" t="s">
        <v>320</v>
      </c>
      <c r="B245" s="15"/>
      <c r="C245" s="15"/>
      <c r="D245" s="15"/>
      <c r="E245" s="3">
        <v>404519.99</v>
      </c>
      <c r="F245" s="3">
        <v>173808.47</v>
      </c>
      <c r="G245" s="3">
        <v>450339.49</v>
      </c>
      <c r="H245" s="18">
        <v>1028667.95</v>
      </c>
      <c r="I245" s="19"/>
    </row>
    <row r="246" spans="1:9" x14ac:dyDescent="0.25">
      <c r="A246" s="14" t="s">
        <v>321</v>
      </c>
      <c r="B246" s="15"/>
      <c r="C246" s="15"/>
      <c r="D246" s="15"/>
      <c r="E246" s="3">
        <v>11636.06</v>
      </c>
      <c r="F246" s="3">
        <v>7313.88</v>
      </c>
      <c r="G246" s="3">
        <v>25547.02</v>
      </c>
      <c r="H246" s="18">
        <v>44496.959999999999</v>
      </c>
      <c r="I246" s="19"/>
    </row>
    <row r="247" spans="1:9" x14ac:dyDescent="0.25">
      <c r="A247" s="14" t="s">
        <v>322</v>
      </c>
      <c r="B247" s="15"/>
      <c r="C247" s="15"/>
      <c r="D247" s="15"/>
      <c r="E247" s="3">
        <v>4.0999999999999996</v>
      </c>
      <c r="F247" s="3">
        <v>2564.61</v>
      </c>
      <c r="G247" s="3">
        <v>16.21</v>
      </c>
      <c r="H247" s="18">
        <v>2584.92</v>
      </c>
      <c r="I247" s="19"/>
    </row>
    <row r="248" spans="1:9" x14ac:dyDescent="0.25">
      <c r="A248" s="14" t="s">
        <v>323</v>
      </c>
      <c r="B248" s="15"/>
      <c r="C248" s="15"/>
      <c r="D248" s="15"/>
      <c r="E248" s="3">
        <v>146991.04999999999</v>
      </c>
      <c r="F248" s="3">
        <v>68059.100000000006</v>
      </c>
      <c r="G248" s="3">
        <v>146456.15</v>
      </c>
      <c r="H248" s="18">
        <v>361506.3</v>
      </c>
      <c r="I248" s="19"/>
    </row>
    <row r="249" spans="1:9" x14ac:dyDescent="0.25">
      <c r="A249" s="14" t="s">
        <v>324</v>
      </c>
      <c r="B249" s="15"/>
      <c r="C249" s="15"/>
      <c r="D249" s="15"/>
      <c r="E249" s="3">
        <v>93.72</v>
      </c>
      <c r="F249" s="3">
        <v>1727.97</v>
      </c>
      <c r="G249" s="3">
        <v>219.79</v>
      </c>
      <c r="H249" s="18">
        <v>2041.48</v>
      </c>
      <c r="I249" s="19"/>
    </row>
    <row r="250" spans="1:9" x14ac:dyDescent="0.25">
      <c r="A250" s="14" t="s">
        <v>325</v>
      </c>
      <c r="B250" s="15"/>
      <c r="C250" s="15"/>
      <c r="D250" s="15"/>
      <c r="E250" s="3">
        <v>103.29</v>
      </c>
      <c r="F250" s="3">
        <v>2327.12</v>
      </c>
      <c r="G250" s="3">
        <v>242.45</v>
      </c>
      <c r="H250" s="18">
        <v>2672.86</v>
      </c>
      <c r="I250" s="19"/>
    </row>
    <row r="251" spans="1:9" x14ac:dyDescent="0.25">
      <c r="A251" s="14" t="s">
        <v>326</v>
      </c>
      <c r="B251" s="15"/>
      <c r="C251" s="15"/>
      <c r="D251" s="15"/>
      <c r="E251" s="3">
        <v>544.48</v>
      </c>
      <c r="F251" s="3">
        <v>52350.94</v>
      </c>
      <c r="G251" s="3">
        <v>1254.42</v>
      </c>
      <c r="H251" s="18">
        <v>54149.84</v>
      </c>
      <c r="I251" s="19"/>
    </row>
    <row r="252" spans="1:9" x14ac:dyDescent="0.25">
      <c r="A252" s="14" t="s">
        <v>327</v>
      </c>
      <c r="B252" s="15"/>
      <c r="C252" s="15"/>
      <c r="D252" s="15"/>
      <c r="E252" s="3">
        <v>301.88</v>
      </c>
      <c r="F252" s="3">
        <v>3400.93</v>
      </c>
      <c r="G252" s="3">
        <v>710.61</v>
      </c>
      <c r="H252" s="18">
        <v>4413.42</v>
      </c>
      <c r="I252" s="19"/>
    </row>
    <row r="253" spans="1:9" x14ac:dyDescent="0.25">
      <c r="A253" s="14" t="s">
        <v>328</v>
      </c>
      <c r="B253" s="15"/>
      <c r="C253" s="15"/>
      <c r="D253" s="15"/>
      <c r="E253" s="3">
        <v>869461.59</v>
      </c>
      <c r="F253" s="3">
        <v>143021.43</v>
      </c>
      <c r="G253" s="3">
        <v>709634.37</v>
      </c>
      <c r="H253" s="18">
        <v>1722117.39</v>
      </c>
      <c r="I253" s="19"/>
    </row>
    <row r="254" spans="1:9" x14ac:dyDescent="0.25">
      <c r="A254" s="14" t="s">
        <v>329</v>
      </c>
      <c r="B254" s="15"/>
      <c r="C254" s="15"/>
      <c r="D254" s="15"/>
      <c r="E254" s="3">
        <v>25867.54</v>
      </c>
      <c r="F254" s="3">
        <v>49235.95</v>
      </c>
      <c r="G254" s="3">
        <v>54123.199999999997</v>
      </c>
      <c r="H254" s="18">
        <v>129226.69</v>
      </c>
      <c r="I254" s="19"/>
    </row>
    <row r="255" spans="1:9" x14ac:dyDescent="0.25">
      <c r="A255" s="14" t="s">
        <v>330</v>
      </c>
      <c r="B255" s="15"/>
      <c r="C255" s="15"/>
      <c r="D255" s="15"/>
      <c r="E255" s="3">
        <v>36211.71</v>
      </c>
      <c r="F255" s="3">
        <v>14137.72</v>
      </c>
      <c r="G255" s="3">
        <v>48349.84</v>
      </c>
      <c r="H255" s="18">
        <v>98699.27</v>
      </c>
      <c r="I255" s="19"/>
    </row>
    <row r="256" spans="1:9" x14ac:dyDescent="0.25">
      <c r="A256" s="14" t="s">
        <v>331</v>
      </c>
      <c r="B256" s="15"/>
      <c r="C256" s="15"/>
      <c r="D256" s="15"/>
      <c r="E256" s="3">
        <v>604034.31999999995</v>
      </c>
      <c r="F256" s="3">
        <v>266597.36</v>
      </c>
      <c r="G256" s="3">
        <v>544323.56000000006</v>
      </c>
      <c r="H256" s="18">
        <v>1414955.24</v>
      </c>
      <c r="I256" s="19"/>
    </row>
    <row r="257" spans="1:9" x14ac:dyDescent="0.25">
      <c r="A257" s="14" t="s">
        <v>332</v>
      </c>
      <c r="B257" s="15"/>
      <c r="C257" s="15"/>
      <c r="D257" s="15"/>
      <c r="E257" s="3">
        <v>39824.660000000003</v>
      </c>
      <c r="F257" s="3">
        <v>35511.39</v>
      </c>
      <c r="G257" s="3">
        <v>43755.7</v>
      </c>
      <c r="H257" s="18">
        <v>119091.75</v>
      </c>
      <c r="I257" s="19"/>
    </row>
    <row r="258" spans="1:9" x14ac:dyDescent="0.25">
      <c r="A258" s="14" t="s">
        <v>333</v>
      </c>
      <c r="B258" s="15"/>
      <c r="C258" s="15"/>
      <c r="D258" s="15"/>
      <c r="E258" s="3">
        <v>3.02</v>
      </c>
      <c r="F258" s="3">
        <v>1988.62</v>
      </c>
      <c r="G258" s="3">
        <v>11.98</v>
      </c>
      <c r="H258" s="18">
        <v>2003.62</v>
      </c>
      <c r="I258" s="19"/>
    </row>
    <row r="259" spans="1:9" x14ac:dyDescent="0.25">
      <c r="A259" s="14" t="s">
        <v>334</v>
      </c>
      <c r="B259" s="15"/>
      <c r="C259" s="15"/>
      <c r="D259" s="15"/>
      <c r="E259" s="3">
        <v>82.41</v>
      </c>
      <c r="F259" s="3">
        <v>2084.17</v>
      </c>
      <c r="G259" s="3">
        <v>443.01</v>
      </c>
      <c r="H259" s="18">
        <v>2609.59</v>
      </c>
      <c r="I259" s="19"/>
    </row>
    <row r="260" spans="1:9" x14ac:dyDescent="0.25">
      <c r="A260" s="14" t="s">
        <v>335</v>
      </c>
      <c r="B260" s="15"/>
      <c r="C260" s="15"/>
      <c r="D260" s="15"/>
      <c r="E260" s="3">
        <v>8482.2900000000009</v>
      </c>
      <c r="F260" s="3">
        <v>13616.13</v>
      </c>
      <c r="G260" s="3">
        <v>8707.91</v>
      </c>
      <c r="H260" s="18">
        <v>30806.33</v>
      </c>
      <c r="I260" s="19"/>
    </row>
    <row r="261" spans="1:9" x14ac:dyDescent="0.25">
      <c r="A261" s="14" t="s">
        <v>336</v>
      </c>
      <c r="B261" s="15"/>
      <c r="C261" s="15"/>
      <c r="D261" s="15"/>
      <c r="E261" s="3">
        <v>151.08000000000001</v>
      </c>
      <c r="F261" s="3">
        <v>5069.32</v>
      </c>
      <c r="G261" s="3">
        <v>10.91</v>
      </c>
      <c r="H261" s="18">
        <v>5231.3100000000004</v>
      </c>
      <c r="I261" s="19"/>
    </row>
    <row r="262" spans="1:9" x14ac:dyDescent="0.25">
      <c r="A262" s="14" t="s">
        <v>337</v>
      </c>
      <c r="B262" s="15"/>
      <c r="C262" s="15"/>
      <c r="D262" s="15"/>
      <c r="E262" s="3">
        <v>638.23</v>
      </c>
      <c r="F262" s="3">
        <v>9055.5</v>
      </c>
      <c r="G262" s="3">
        <v>7442.89</v>
      </c>
      <c r="H262" s="18">
        <v>17136.62</v>
      </c>
      <c r="I262" s="19"/>
    </row>
    <row r="263" spans="1:9" x14ac:dyDescent="0.25">
      <c r="A263" s="14" t="s">
        <v>338</v>
      </c>
      <c r="B263" s="15"/>
      <c r="C263" s="15"/>
      <c r="D263" s="15"/>
      <c r="E263" s="3">
        <v>5614.38</v>
      </c>
      <c r="F263" s="3">
        <v>3915.16</v>
      </c>
      <c r="G263" s="3">
        <v>4755.16</v>
      </c>
      <c r="H263" s="18">
        <v>14284.7</v>
      </c>
      <c r="I263" s="19"/>
    </row>
    <row r="264" spans="1:9" x14ac:dyDescent="0.25">
      <c r="A264" s="14" t="s">
        <v>339</v>
      </c>
      <c r="B264" s="15"/>
      <c r="C264" s="15"/>
      <c r="D264" s="15"/>
      <c r="E264" s="3">
        <v>2467.31</v>
      </c>
      <c r="F264" s="3">
        <v>4572.7700000000004</v>
      </c>
      <c r="G264" s="3">
        <v>19001.91</v>
      </c>
      <c r="H264" s="18">
        <v>26041.99</v>
      </c>
      <c r="I264" s="19"/>
    </row>
    <row r="265" spans="1:9" x14ac:dyDescent="0.25">
      <c r="A265" s="14" t="s">
        <v>340</v>
      </c>
      <c r="B265" s="15"/>
      <c r="C265" s="15"/>
      <c r="D265" s="15"/>
      <c r="E265" s="3">
        <v>9.16</v>
      </c>
      <c r="F265" s="3">
        <v>1839.87</v>
      </c>
      <c r="G265" s="3">
        <v>866.83</v>
      </c>
      <c r="H265" s="18">
        <v>2715.86</v>
      </c>
      <c r="I265" s="19"/>
    </row>
    <row r="266" spans="1:9" x14ac:dyDescent="0.25">
      <c r="A266" s="14" t="s">
        <v>341</v>
      </c>
      <c r="B266" s="15"/>
      <c r="C266" s="15"/>
      <c r="D266" s="15"/>
      <c r="E266" s="3">
        <v>42214</v>
      </c>
      <c r="F266" s="3">
        <v>14149.85</v>
      </c>
      <c r="G266" s="3">
        <v>54730.9</v>
      </c>
      <c r="H266" s="18">
        <v>111094.75</v>
      </c>
      <c r="I266" s="19"/>
    </row>
    <row r="267" spans="1:9" x14ac:dyDescent="0.25">
      <c r="A267" s="14" t="s">
        <v>342</v>
      </c>
      <c r="B267" s="15"/>
      <c r="C267" s="15"/>
      <c r="D267" s="15"/>
      <c r="E267" s="3">
        <v>3282.22</v>
      </c>
      <c r="F267" s="3">
        <v>18136.89</v>
      </c>
      <c r="G267" s="3">
        <v>19020.05</v>
      </c>
      <c r="H267" s="18">
        <v>40439.160000000003</v>
      </c>
      <c r="I267" s="19"/>
    </row>
    <row r="268" spans="1:9" x14ac:dyDescent="0.25">
      <c r="A268" s="14" t="s">
        <v>343</v>
      </c>
      <c r="B268" s="15"/>
      <c r="C268" s="15"/>
      <c r="D268" s="15"/>
      <c r="E268" s="3">
        <v>181410.84</v>
      </c>
      <c r="F268" s="4" t="s">
        <v>344</v>
      </c>
      <c r="G268" s="3">
        <v>211236.96</v>
      </c>
      <c r="H268" s="18">
        <v>262068.73</v>
      </c>
      <c r="I268" s="19"/>
    </row>
    <row r="269" spans="1:9" x14ac:dyDescent="0.25">
      <c r="A269" s="14" t="s">
        <v>345</v>
      </c>
      <c r="B269" s="15"/>
      <c r="C269" s="15"/>
      <c r="D269" s="15"/>
      <c r="E269" s="3">
        <v>20626.25</v>
      </c>
      <c r="F269" s="3">
        <v>16643.189999999999</v>
      </c>
      <c r="G269" s="3">
        <v>18127.66</v>
      </c>
      <c r="H269" s="18">
        <v>55397.1</v>
      </c>
      <c r="I269" s="19"/>
    </row>
    <row r="270" spans="1:9" x14ac:dyDescent="0.25">
      <c r="A270" s="14" t="s">
        <v>346</v>
      </c>
      <c r="B270" s="15"/>
      <c r="C270" s="15"/>
      <c r="D270" s="15"/>
      <c r="E270" s="3">
        <v>7.04</v>
      </c>
      <c r="F270" s="3">
        <v>1573.79</v>
      </c>
      <c r="G270" s="3">
        <v>29696.91</v>
      </c>
      <c r="H270" s="18">
        <v>31277.74</v>
      </c>
      <c r="I270" s="19"/>
    </row>
    <row r="271" spans="1:9" x14ac:dyDescent="0.25">
      <c r="A271" s="14" t="s">
        <v>347</v>
      </c>
      <c r="B271" s="15"/>
      <c r="C271" s="15"/>
      <c r="D271" s="15"/>
      <c r="E271" s="3">
        <v>17656.53</v>
      </c>
      <c r="F271" s="3">
        <v>4810.3100000000004</v>
      </c>
      <c r="G271" s="3">
        <v>6420.12</v>
      </c>
      <c r="H271" s="18">
        <v>28886.959999999999</v>
      </c>
      <c r="I271" s="19"/>
    </row>
    <row r="272" spans="1:9" x14ac:dyDescent="0.25">
      <c r="A272" s="14" t="s">
        <v>348</v>
      </c>
      <c r="B272" s="15"/>
      <c r="C272" s="15"/>
      <c r="D272" s="15"/>
      <c r="E272" s="3">
        <v>33259.839999999997</v>
      </c>
      <c r="F272" s="3">
        <v>9188.73</v>
      </c>
      <c r="G272" s="3">
        <v>39147.910000000003</v>
      </c>
      <c r="H272" s="18">
        <v>81596.479999999996</v>
      </c>
      <c r="I272" s="19"/>
    </row>
    <row r="273" spans="1:9" x14ac:dyDescent="0.25">
      <c r="A273" s="14" t="s">
        <v>349</v>
      </c>
      <c r="B273" s="15"/>
      <c r="C273" s="15"/>
      <c r="D273" s="15"/>
      <c r="E273" s="5"/>
      <c r="F273" s="4" t="s">
        <v>350</v>
      </c>
      <c r="G273" s="3">
        <v>455.74</v>
      </c>
      <c r="H273" s="20" t="s">
        <v>351</v>
      </c>
      <c r="I273" s="21"/>
    </row>
    <row r="274" spans="1:9" x14ac:dyDescent="0.25">
      <c r="A274" s="14" t="s">
        <v>352</v>
      </c>
      <c r="B274" s="15"/>
      <c r="C274" s="15"/>
      <c r="D274" s="15"/>
      <c r="E274" s="3">
        <v>258780.51</v>
      </c>
      <c r="F274" s="3">
        <v>238210.47</v>
      </c>
      <c r="G274" s="3">
        <v>219268.56</v>
      </c>
      <c r="H274" s="18">
        <v>716259.54</v>
      </c>
      <c r="I274" s="19"/>
    </row>
    <row r="275" spans="1:9" x14ac:dyDescent="0.25">
      <c r="A275" s="14" t="s">
        <v>353</v>
      </c>
      <c r="B275" s="15"/>
      <c r="C275" s="15"/>
      <c r="D275" s="15"/>
      <c r="E275" s="3">
        <v>202816.91</v>
      </c>
      <c r="F275" s="3">
        <v>158753.1</v>
      </c>
      <c r="G275" s="3">
        <v>269684.61</v>
      </c>
      <c r="H275" s="18">
        <v>631254.62</v>
      </c>
      <c r="I275" s="19"/>
    </row>
    <row r="276" spans="1:9" x14ac:dyDescent="0.25">
      <c r="A276" s="14" t="s">
        <v>354</v>
      </c>
      <c r="B276" s="15"/>
      <c r="C276" s="15"/>
      <c r="D276" s="15"/>
      <c r="E276" s="3">
        <v>559195.51</v>
      </c>
      <c r="F276" s="3">
        <v>785240.35</v>
      </c>
      <c r="G276" s="3">
        <v>345046.26</v>
      </c>
      <c r="H276" s="18">
        <v>1689482.12</v>
      </c>
      <c r="I276" s="19"/>
    </row>
    <row r="277" spans="1:9" x14ac:dyDescent="0.25">
      <c r="A277" s="14" t="s">
        <v>355</v>
      </c>
      <c r="B277" s="15"/>
      <c r="C277" s="15"/>
      <c r="D277" s="15"/>
      <c r="E277" s="3">
        <v>234147.78</v>
      </c>
      <c r="F277" s="3">
        <v>213996.91</v>
      </c>
      <c r="G277" s="3">
        <v>298790.62</v>
      </c>
      <c r="H277" s="18">
        <v>746935.31</v>
      </c>
      <c r="I277" s="19"/>
    </row>
    <row r="278" spans="1:9" x14ac:dyDescent="0.25">
      <c r="A278" s="14" t="s">
        <v>356</v>
      </c>
      <c r="B278" s="15"/>
      <c r="C278" s="15"/>
      <c r="D278" s="15"/>
      <c r="E278" s="3">
        <v>16904.02</v>
      </c>
      <c r="F278" s="3">
        <v>12375.73</v>
      </c>
      <c r="G278" s="3">
        <v>1995.41</v>
      </c>
      <c r="H278" s="18">
        <v>31275.16</v>
      </c>
      <c r="I278" s="19"/>
    </row>
    <row r="279" spans="1:9" x14ac:dyDescent="0.25">
      <c r="A279" s="14" t="s">
        <v>357</v>
      </c>
      <c r="B279" s="15"/>
      <c r="C279" s="15"/>
      <c r="D279" s="15"/>
      <c r="E279" s="3">
        <v>201675</v>
      </c>
      <c r="F279" s="3">
        <v>301088.48</v>
      </c>
      <c r="G279" s="3">
        <v>299472.07</v>
      </c>
      <c r="H279" s="18">
        <v>802235.55</v>
      </c>
      <c r="I279" s="19"/>
    </row>
    <row r="280" spans="1:9" x14ac:dyDescent="0.25">
      <c r="A280" s="14" t="s">
        <v>358</v>
      </c>
      <c r="B280" s="15"/>
      <c r="C280" s="15"/>
      <c r="D280" s="15"/>
      <c r="E280" s="3">
        <v>382829.64</v>
      </c>
      <c r="F280" s="4" t="s">
        <v>359</v>
      </c>
      <c r="G280" s="3">
        <v>6673270.4699999997</v>
      </c>
      <c r="H280" s="20" t="s">
        <v>360</v>
      </c>
      <c r="I280" s="21"/>
    </row>
    <row r="281" spans="1:9" x14ac:dyDescent="0.25">
      <c r="A281" s="14" t="s">
        <v>361</v>
      </c>
      <c r="B281" s="15"/>
      <c r="C281" s="15"/>
      <c r="D281" s="15"/>
      <c r="E281" s="5"/>
      <c r="F281" s="5"/>
      <c r="G281" s="3">
        <v>4403.78</v>
      </c>
      <c r="H281" s="18">
        <v>4403.78</v>
      </c>
      <c r="I281" s="19"/>
    </row>
    <row r="282" spans="1:9" x14ac:dyDescent="0.25">
      <c r="A282" s="14" t="s">
        <v>362</v>
      </c>
      <c r="B282" s="15"/>
      <c r="C282" s="15"/>
      <c r="D282" s="15"/>
      <c r="E282" s="3">
        <v>12285.69</v>
      </c>
      <c r="F282" s="3">
        <v>6717.35</v>
      </c>
      <c r="G282" s="3">
        <v>10283.24</v>
      </c>
      <c r="H282" s="18">
        <v>29286.28</v>
      </c>
      <c r="I282" s="19"/>
    </row>
    <row r="283" spans="1:9" x14ac:dyDescent="0.25">
      <c r="A283" s="14" t="s">
        <v>363</v>
      </c>
      <c r="B283" s="15"/>
      <c r="C283" s="15"/>
      <c r="D283" s="15"/>
      <c r="E283" s="5"/>
      <c r="F283" s="5"/>
      <c r="G283" s="3">
        <v>28574.41</v>
      </c>
      <c r="H283" s="18">
        <v>28574.41</v>
      </c>
      <c r="I283" s="19"/>
    </row>
    <row r="284" spans="1:9" x14ac:dyDescent="0.25">
      <c r="A284" s="14" t="s">
        <v>364</v>
      </c>
      <c r="B284" s="15"/>
      <c r="C284" s="15"/>
      <c r="D284" s="15"/>
      <c r="E284" s="3">
        <v>1770882.87</v>
      </c>
      <c r="F284" s="3">
        <v>665764.46</v>
      </c>
      <c r="G284" s="3">
        <v>2397486.2000000002</v>
      </c>
      <c r="H284" s="18">
        <v>4834133.53</v>
      </c>
      <c r="I284" s="19"/>
    </row>
    <row r="285" spans="1:9" x14ac:dyDescent="0.25">
      <c r="A285" s="14" t="s">
        <v>365</v>
      </c>
      <c r="B285" s="15"/>
      <c r="C285" s="15"/>
      <c r="D285" s="15"/>
      <c r="E285" s="3">
        <v>1219036.96</v>
      </c>
      <c r="F285" s="3">
        <v>1024109.37</v>
      </c>
      <c r="G285" s="3">
        <v>1681424.87</v>
      </c>
      <c r="H285" s="18">
        <v>3924571.2</v>
      </c>
      <c r="I285" s="19"/>
    </row>
    <row r="286" spans="1:9" x14ac:dyDescent="0.25">
      <c r="A286" s="14" t="s">
        <v>366</v>
      </c>
      <c r="B286" s="15"/>
      <c r="C286" s="15"/>
      <c r="D286" s="15"/>
      <c r="E286" s="5"/>
      <c r="F286" s="5"/>
      <c r="G286" s="3">
        <v>130602.06</v>
      </c>
      <c r="H286" s="18">
        <v>130602.06</v>
      </c>
      <c r="I286" s="19"/>
    </row>
    <row r="287" spans="1:9" x14ac:dyDescent="0.25">
      <c r="A287" s="14" t="s">
        <v>367</v>
      </c>
      <c r="B287" s="15"/>
      <c r="C287" s="15"/>
      <c r="D287" s="15"/>
      <c r="E287" s="3">
        <v>1576743.92</v>
      </c>
      <c r="F287" s="3">
        <v>870270.35</v>
      </c>
      <c r="G287" s="3">
        <v>1187836.53</v>
      </c>
      <c r="H287" s="18">
        <v>3634850.8</v>
      </c>
      <c r="I287" s="19"/>
    </row>
    <row r="288" spans="1:9" x14ac:dyDescent="0.25">
      <c r="A288" s="14" t="s">
        <v>368</v>
      </c>
      <c r="B288" s="15"/>
      <c r="C288" s="15"/>
      <c r="D288" s="15"/>
      <c r="E288" s="5"/>
      <c r="F288" s="3">
        <v>4059.94</v>
      </c>
      <c r="G288" s="5"/>
      <c r="H288" s="18">
        <v>4059.94</v>
      </c>
      <c r="I288" s="19"/>
    </row>
    <row r="289" spans="1:9" x14ac:dyDescent="0.25">
      <c r="A289" s="14" t="s">
        <v>369</v>
      </c>
      <c r="B289" s="15"/>
      <c r="C289" s="15"/>
      <c r="D289" s="15"/>
      <c r="E289" s="3">
        <v>1097874.08</v>
      </c>
      <c r="F289" s="3">
        <v>1175205.24</v>
      </c>
      <c r="G289" s="3">
        <v>960651.48</v>
      </c>
      <c r="H289" s="18">
        <v>3233730.8</v>
      </c>
      <c r="I289" s="19"/>
    </row>
    <row r="290" spans="1:9" x14ac:dyDescent="0.25">
      <c r="A290" s="14" t="s">
        <v>370</v>
      </c>
      <c r="B290" s="15"/>
      <c r="C290" s="15"/>
      <c r="D290" s="15"/>
      <c r="E290" s="3">
        <v>4.03</v>
      </c>
      <c r="F290" s="5"/>
      <c r="G290" s="3">
        <v>33508.639999999999</v>
      </c>
      <c r="H290" s="18">
        <v>33512.67</v>
      </c>
      <c r="I290" s="19"/>
    </row>
    <row r="291" spans="1:9" x14ac:dyDescent="0.25">
      <c r="A291" s="14" t="s">
        <v>371</v>
      </c>
      <c r="B291" s="15"/>
      <c r="C291" s="15"/>
      <c r="D291" s="15"/>
      <c r="E291" s="3">
        <v>6020.5</v>
      </c>
      <c r="F291" s="5"/>
      <c r="G291" s="3">
        <v>161548.32999999999</v>
      </c>
      <c r="H291" s="18">
        <v>167568.82999999999</v>
      </c>
      <c r="I291" s="19"/>
    </row>
    <row r="292" spans="1:9" x14ac:dyDescent="0.25">
      <c r="A292" s="14" t="s">
        <v>372</v>
      </c>
      <c r="B292" s="15"/>
      <c r="C292" s="15"/>
      <c r="D292" s="15"/>
      <c r="E292" s="3">
        <v>2703651.21</v>
      </c>
      <c r="F292" s="3">
        <v>1698428.32</v>
      </c>
      <c r="G292" s="3">
        <v>2892512.36</v>
      </c>
      <c r="H292" s="18">
        <v>7294591.8899999997</v>
      </c>
      <c r="I292" s="19"/>
    </row>
    <row r="293" spans="1:9" x14ac:dyDescent="0.25">
      <c r="A293" s="14" t="s">
        <v>373</v>
      </c>
      <c r="B293" s="15"/>
      <c r="C293" s="15"/>
      <c r="D293" s="15"/>
      <c r="E293" s="3">
        <v>70.59</v>
      </c>
      <c r="F293" s="5"/>
      <c r="G293" s="3">
        <v>17459.900000000001</v>
      </c>
      <c r="H293" s="18">
        <v>17530.490000000002</v>
      </c>
      <c r="I293" s="19"/>
    </row>
    <row r="294" spans="1:9" x14ac:dyDescent="0.25">
      <c r="A294" s="14" t="s">
        <v>374</v>
      </c>
      <c r="B294" s="15"/>
      <c r="C294" s="15"/>
      <c r="D294" s="15"/>
      <c r="E294" s="3">
        <v>6020.91</v>
      </c>
      <c r="F294" s="5"/>
      <c r="G294" s="3">
        <v>130022.69</v>
      </c>
      <c r="H294" s="18">
        <v>136043.6</v>
      </c>
      <c r="I294" s="19"/>
    </row>
    <row r="295" spans="1:9" x14ac:dyDescent="0.25">
      <c r="A295" s="14" t="s">
        <v>375</v>
      </c>
      <c r="B295" s="15"/>
      <c r="C295" s="15"/>
      <c r="D295" s="15"/>
      <c r="E295" s="3">
        <v>2.65</v>
      </c>
      <c r="F295" s="3">
        <v>13081.94</v>
      </c>
      <c r="G295" s="3">
        <v>5910.94</v>
      </c>
      <c r="H295" s="18">
        <v>18995.53</v>
      </c>
      <c r="I295" s="19"/>
    </row>
    <row r="296" spans="1:9" x14ac:dyDescent="0.25">
      <c r="A296" s="14" t="s">
        <v>376</v>
      </c>
      <c r="B296" s="15"/>
      <c r="C296" s="15"/>
      <c r="D296" s="15"/>
      <c r="E296" s="3">
        <v>706458.19</v>
      </c>
      <c r="F296" s="3">
        <v>1089035.8400000001</v>
      </c>
      <c r="G296" s="3">
        <v>1303397.55</v>
      </c>
      <c r="H296" s="18">
        <v>3098891.58</v>
      </c>
      <c r="I296" s="19"/>
    </row>
    <row r="297" spans="1:9" x14ac:dyDescent="0.25">
      <c r="A297" s="14" t="s">
        <v>377</v>
      </c>
      <c r="B297" s="15"/>
      <c r="C297" s="15"/>
      <c r="D297" s="15"/>
      <c r="E297" s="3">
        <v>81198.929999999993</v>
      </c>
      <c r="F297" s="3">
        <v>200792.31</v>
      </c>
      <c r="G297" s="3">
        <v>505928.06</v>
      </c>
      <c r="H297" s="18">
        <v>787919.3</v>
      </c>
      <c r="I297" s="19"/>
    </row>
    <row r="298" spans="1:9" x14ac:dyDescent="0.25">
      <c r="A298" s="14" t="s">
        <v>378</v>
      </c>
      <c r="B298" s="15"/>
      <c r="C298" s="15"/>
      <c r="D298" s="15"/>
      <c r="E298" s="3">
        <v>2395031.4</v>
      </c>
      <c r="F298" s="3">
        <v>2538974.2999999998</v>
      </c>
      <c r="G298" s="3">
        <v>2395162.4300000002</v>
      </c>
      <c r="H298" s="18">
        <v>7329168.1299999999</v>
      </c>
      <c r="I298" s="19"/>
    </row>
    <row r="299" spans="1:9" x14ac:dyDescent="0.25">
      <c r="A299" s="14" t="s">
        <v>379</v>
      </c>
      <c r="B299" s="15"/>
      <c r="C299" s="15"/>
      <c r="D299" s="15"/>
      <c r="E299" s="3">
        <v>145676.22</v>
      </c>
      <c r="F299" s="3">
        <v>749863.97</v>
      </c>
      <c r="G299" s="3">
        <v>224322.03</v>
      </c>
      <c r="H299" s="18">
        <v>1119862.22</v>
      </c>
      <c r="I299" s="19"/>
    </row>
    <row r="300" spans="1:9" x14ac:dyDescent="0.25">
      <c r="A300" s="14" t="s">
        <v>380</v>
      </c>
      <c r="B300" s="15"/>
      <c r="C300" s="15"/>
      <c r="D300" s="15"/>
      <c r="E300" s="3">
        <v>620643.97</v>
      </c>
      <c r="F300" s="3">
        <v>945144.89</v>
      </c>
      <c r="G300" s="3">
        <v>1102681.8</v>
      </c>
      <c r="H300" s="18">
        <v>2668470.66</v>
      </c>
      <c r="I300" s="19"/>
    </row>
    <row r="301" spans="1:9" x14ac:dyDescent="0.25">
      <c r="A301" s="14" t="s">
        <v>381</v>
      </c>
      <c r="B301" s="15"/>
      <c r="C301" s="15"/>
      <c r="D301" s="15"/>
      <c r="E301" s="3">
        <v>1873759.24</v>
      </c>
      <c r="F301" s="3">
        <v>1939913.63</v>
      </c>
      <c r="G301" s="3">
        <v>2008234.28</v>
      </c>
      <c r="H301" s="18">
        <v>5821907.1500000004</v>
      </c>
      <c r="I301" s="19"/>
    </row>
    <row r="302" spans="1:9" x14ac:dyDescent="0.25">
      <c r="A302" s="14" t="s">
        <v>382</v>
      </c>
      <c r="B302" s="15"/>
      <c r="C302" s="15"/>
      <c r="D302" s="15"/>
      <c r="E302" s="3">
        <v>6020.51</v>
      </c>
      <c r="F302" s="5"/>
      <c r="G302" s="3">
        <v>18155.22</v>
      </c>
      <c r="H302" s="18">
        <v>24175.73</v>
      </c>
      <c r="I302" s="19"/>
    </row>
    <row r="303" spans="1:9" x14ac:dyDescent="0.25">
      <c r="A303" s="14" t="s">
        <v>383</v>
      </c>
      <c r="B303" s="15"/>
      <c r="C303" s="15"/>
      <c r="D303" s="15"/>
      <c r="E303" s="3">
        <v>676875.62</v>
      </c>
      <c r="F303" s="3">
        <v>858250.44</v>
      </c>
      <c r="G303" s="3">
        <v>710326.94</v>
      </c>
      <c r="H303" s="18">
        <v>2245453</v>
      </c>
      <c r="I303" s="19"/>
    </row>
    <row r="304" spans="1:9" x14ac:dyDescent="0.25">
      <c r="A304" s="14" t="s">
        <v>384</v>
      </c>
      <c r="B304" s="15"/>
      <c r="C304" s="15"/>
      <c r="D304" s="15"/>
      <c r="E304" s="3">
        <v>2090665.38</v>
      </c>
      <c r="F304" s="3">
        <v>1355751.1</v>
      </c>
      <c r="G304" s="3">
        <v>2331169.42</v>
      </c>
      <c r="H304" s="18">
        <v>5777585.9000000004</v>
      </c>
      <c r="I304" s="19"/>
    </row>
    <row r="305" spans="1:9" x14ac:dyDescent="0.25">
      <c r="A305" s="14" t="s">
        <v>385</v>
      </c>
      <c r="B305" s="15"/>
      <c r="C305" s="15"/>
      <c r="D305" s="15"/>
      <c r="E305" s="3">
        <v>5048002.34</v>
      </c>
      <c r="F305" s="3">
        <v>2302708.04</v>
      </c>
      <c r="G305" s="3">
        <v>4121234.61</v>
      </c>
      <c r="H305" s="18">
        <v>11471944.99</v>
      </c>
      <c r="I305" s="19"/>
    </row>
    <row r="306" spans="1:9" x14ac:dyDescent="0.25">
      <c r="A306" s="14" t="s">
        <v>386</v>
      </c>
      <c r="B306" s="15"/>
      <c r="C306" s="15"/>
      <c r="D306" s="15"/>
      <c r="E306" s="5"/>
      <c r="F306" s="3">
        <v>0</v>
      </c>
      <c r="G306" s="5"/>
      <c r="H306" s="18">
        <v>0</v>
      </c>
      <c r="I306" s="19"/>
    </row>
    <row r="307" spans="1:9" x14ac:dyDescent="0.25">
      <c r="A307" s="14" t="s">
        <v>387</v>
      </c>
      <c r="B307" s="15"/>
      <c r="C307" s="15"/>
      <c r="D307" s="15"/>
      <c r="E307" s="3">
        <v>172228.62</v>
      </c>
      <c r="F307" s="4" t="s">
        <v>388</v>
      </c>
      <c r="G307" s="3">
        <v>42704.86</v>
      </c>
      <c r="H307" s="18">
        <v>198674.17</v>
      </c>
      <c r="I307" s="19"/>
    </row>
    <row r="308" spans="1:9" x14ac:dyDescent="0.25">
      <c r="A308" s="14" t="s">
        <v>389</v>
      </c>
      <c r="B308" s="15"/>
      <c r="C308" s="15"/>
      <c r="D308" s="15"/>
      <c r="E308" s="5"/>
      <c r="F308" s="5"/>
      <c r="G308" s="3">
        <v>139.1</v>
      </c>
      <c r="H308" s="18">
        <v>139.1</v>
      </c>
      <c r="I308" s="19"/>
    </row>
    <row r="309" spans="1:9" x14ac:dyDescent="0.25">
      <c r="A309" s="14" t="s">
        <v>390</v>
      </c>
      <c r="B309" s="15"/>
      <c r="C309" s="15"/>
      <c r="D309" s="15"/>
      <c r="E309" s="3">
        <v>6041.44</v>
      </c>
      <c r="F309" s="5"/>
      <c r="G309" s="3">
        <v>1047.74</v>
      </c>
      <c r="H309" s="18">
        <v>7089.18</v>
      </c>
      <c r="I309" s="19"/>
    </row>
    <row r="310" spans="1:9" x14ac:dyDescent="0.25">
      <c r="A310" s="14" t="s">
        <v>391</v>
      </c>
      <c r="B310" s="15"/>
      <c r="C310" s="15"/>
      <c r="D310" s="15"/>
      <c r="E310" s="3">
        <v>108459.44</v>
      </c>
      <c r="F310" s="3">
        <v>161486.84</v>
      </c>
      <c r="G310" s="3">
        <v>358616.01</v>
      </c>
      <c r="H310" s="18">
        <v>628562.29</v>
      </c>
      <c r="I310" s="19"/>
    </row>
    <row r="311" spans="1:9" x14ac:dyDescent="0.25">
      <c r="A311" s="14" t="s">
        <v>392</v>
      </c>
      <c r="B311" s="15"/>
      <c r="C311" s="15"/>
      <c r="D311" s="15"/>
      <c r="E311" s="3">
        <v>11423.36</v>
      </c>
      <c r="F311" s="3">
        <v>37326.68</v>
      </c>
      <c r="G311" s="3">
        <v>3696.5</v>
      </c>
      <c r="H311" s="18">
        <v>52446.54</v>
      </c>
      <c r="I311" s="19"/>
    </row>
    <row r="312" spans="1:9" x14ac:dyDescent="0.25">
      <c r="A312" s="14" t="s">
        <v>393</v>
      </c>
      <c r="B312" s="15"/>
      <c r="C312" s="15"/>
      <c r="D312" s="15"/>
      <c r="E312" s="3">
        <v>41874.910000000003</v>
      </c>
      <c r="F312" s="3">
        <v>209.2</v>
      </c>
      <c r="G312" s="5"/>
      <c r="H312" s="18">
        <v>42084.11</v>
      </c>
      <c r="I312" s="19"/>
    </row>
    <row r="313" spans="1:9" x14ac:dyDescent="0.25">
      <c r="A313" s="14" t="s">
        <v>394</v>
      </c>
      <c r="B313" s="15"/>
      <c r="C313" s="15"/>
      <c r="D313" s="15"/>
      <c r="E313" s="5"/>
      <c r="F313" s="5"/>
      <c r="G313" s="3">
        <v>56511.91</v>
      </c>
      <c r="H313" s="18">
        <v>56511.91</v>
      </c>
      <c r="I313" s="19"/>
    </row>
    <row r="314" spans="1:9" x14ac:dyDescent="0.25">
      <c r="A314" s="14" t="s">
        <v>395</v>
      </c>
      <c r="B314" s="15"/>
      <c r="C314" s="15"/>
      <c r="D314" s="15"/>
      <c r="E314" s="3">
        <v>110838.66</v>
      </c>
      <c r="F314" s="3">
        <v>188098.42</v>
      </c>
      <c r="G314" s="3">
        <v>345142</v>
      </c>
      <c r="H314" s="18">
        <v>644079.07999999996</v>
      </c>
      <c r="I314" s="19"/>
    </row>
    <row r="315" spans="1:9" x14ac:dyDescent="0.25">
      <c r="A315" s="14" t="s">
        <v>396</v>
      </c>
      <c r="B315" s="15"/>
      <c r="C315" s="15"/>
      <c r="D315" s="15"/>
      <c r="E315" s="5"/>
      <c r="F315" s="5"/>
      <c r="G315" s="3">
        <v>122.54</v>
      </c>
      <c r="H315" s="18">
        <v>122.54</v>
      </c>
      <c r="I315" s="19"/>
    </row>
    <row r="316" spans="1:9" x14ac:dyDescent="0.25">
      <c r="A316" s="14" t="s">
        <v>397</v>
      </c>
      <c r="B316" s="15"/>
      <c r="C316" s="15"/>
      <c r="D316" s="15"/>
      <c r="E316" s="3">
        <v>6019.07</v>
      </c>
      <c r="F316" s="5"/>
      <c r="G316" s="3">
        <v>103259.27</v>
      </c>
      <c r="H316" s="18">
        <v>109278.34</v>
      </c>
      <c r="I316" s="19"/>
    </row>
    <row r="317" spans="1:9" x14ac:dyDescent="0.25">
      <c r="A317" s="14" t="s">
        <v>398</v>
      </c>
      <c r="B317" s="15"/>
      <c r="C317" s="15"/>
      <c r="D317" s="15"/>
      <c r="E317" s="3">
        <v>2496991.29</v>
      </c>
      <c r="F317" s="3">
        <v>1457167.55</v>
      </c>
      <c r="G317" s="3">
        <v>1959197.88</v>
      </c>
      <c r="H317" s="18">
        <v>5913356.7199999997</v>
      </c>
      <c r="I317" s="19"/>
    </row>
    <row r="318" spans="1:9" x14ac:dyDescent="0.25">
      <c r="A318" s="14" t="s">
        <v>399</v>
      </c>
      <c r="B318" s="15"/>
      <c r="C318" s="15"/>
      <c r="D318" s="15"/>
      <c r="E318" s="3">
        <v>1043738.74</v>
      </c>
      <c r="F318" s="3">
        <v>1861401.54</v>
      </c>
      <c r="G318" s="3">
        <v>1015184.12</v>
      </c>
      <c r="H318" s="18">
        <v>3920324.4</v>
      </c>
      <c r="I318" s="19"/>
    </row>
    <row r="319" spans="1:9" x14ac:dyDescent="0.25">
      <c r="A319" s="14" t="s">
        <v>400</v>
      </c>
      <c r="B319" s="15"/>
      <c r="C319" s="15"/>
      <c r="D319" s="15"/>
      <c r="E319" s="5"/>
      <c r="F319" s="5"/>
      <c r="G319" s="3">
        <v>930.78</v>
      </c>
      <c r="H319" s="18">
        <v>930.78</v>
      </c>
      <c r="I319" s="19"/>
    </row>
    <row r="320" spans="1:9" x14ac:dyDescent="0.25">
      <c r="A320" s="14" t="s">
        <v>401</v>
      </c>
      <c r="B320" s="15"/>
      <c r="C320" s="15"/>
      <c r="D320" s="15"/>
      <c r="E320" s="3">
        <v>855855.2</v>
      </c>
      <c r="F320" s="3">
        <v>687406.01</v>
      </c>
      <c r="G320" s="3">
        <v>1079960.1200000001</v>
      </c>
      <c r="H320" s="18">
        <v>2623221.33</v>
      </c>
      <c r="I320" s="19"/>
    </row>
    <row r="321" spans="1:9" x14ac:dyDescent="0.25">
      <c r="A321" s="14" t="s">
        <v>402</v>
      </c>
      <c r="B321" s="15"/>
      <c r="C321" s="15"/>
      <c r="D321" s="15"/>
      <c r="E321" s="3">
        <v>6015.77</v>
      </c>
      <c r="F321" s="5"/>
      <c r="G321" s="3">
        <v>56594.96</v>
      </c>
      <c r="H321" s="18">
        <v>62610.73</v>
      </c>
      <c r="I321" s="19"/>
    </row>
    <row r="322" spans="1:9" x14ac:dyDescent="0.25">
      <c r="A322" s="14" t="s">
        <v>403</v>
      </c>
      <c r="B322" s="15"/>
      <c r="C322" s="15"/>
      <c r="D322" s="15"/>
      <c r="E322" s="5"/>
      <c r="F322" s="5"/>
      <c r="G322" s="3">
        <v>187997.13</v>
      </c>
      <c r="H322" s="18">
        <v>187997.13</v>
      </c>
      <c r="I322" s="19"/>
    </row>
    <row r="323" spans="1:9" x14ac:dyDescent="0.25">
      <c r="A323" s="14" t="s">
        <v>404</v>
      </c>
      <c r="B323" s="15"/>
      <c r="C323" s="15"/>
      <c r="D323" s="15"/>
      <c r="E323" s="3">
        <v>14.48</v>
      </c>
      <c r="F323" s="5"/>
      <c r="G323" s="3">
        <v>217979.92</v>
      </c>
      <c r="H323" s="18">
        <v>217994.4</v>
      </c>
      <c r="I323" s="19"/>
    </row>
    <row r="324" spans="1:9" x14ac:dyDescent="0.25">
      <c r="A324" s="14" t="s">
        <v>405</v>
      </c>
      <c r="B324" s="15"/>
      <c r="C324" s="15"/>
      <c r="D324" s="15"/>
      <c r="E324" s="3">
        <v>571608.37</v>
      </c>
      <c r="F324" s="3">
        <v>823316.69</v>
      </c>
      <c r="G324" s="3">
        <v>1015632.88</v>
      </c>
      <c r="H324" s="18">
        <v>2410557.94</v>
      </c>
      <c r="I324" s="19"/>
    </row>
    <row r="325" spans="1:9" x14ac:dyDescent="0.25">
      <c r="A325" s="14" t="s">
        <v>406</v>
      </c>
      <c r="B325" s="15"/>
      <c r="C325" s="15"/>
      <c r="D325" s="15"/>
      <c r="E325" s="5"/>
      <c r="F325" s="5"/>
      <c r="G325" s="3">
        <v>1330.37</v>
      </c>
      <c r="H325" s="18">
        <v>1330.37</v>
      </c>
      <c r="I325" s="19"/>
    </row>
    <row r="326" spans="1:9" x14ac:dyDescent="0.25">
      <c r="A326" s="14" t="s">
        <v>407</v>
      </c>
      <c r="B326" s="15"/>
      <c r="C326" s="15"/>
      <c r="D326" s="15"/>
      <c r="E326" s="3">
        <v>1911076.44</v>
      </c>
      <c r="F326" s="3">
        <v>2800399.79</v>
      </c>
      <c r="G326" s="3">
        <v>4018283.8</v>
      </c>
      <c r="H326" s="18">
        <v>8729760.0299999993</v>
      </c>
      <c r="I326" s="19"/>
    </row>
    <row r="327" spans="1:9" x14ac:dyDescent="0.25">
      <c r="A327" s="14" t="s">
        <v>408</v>
      </c>
      <c r="B327" s="15"/>
      <c r="C327" s="15"/>
      <c r="D327" s="15"/>
      <c r="E327" s="3">
        <v>6015.07</v>
      </c>
      <c r="F327" s="3">
        <v>13506.01</v>
      </c>
      <c r="G327" s="3">
        <v>13694.1</v>
      </c>
      <c r="H327" s="18">
        <v>33215.18</v>
      </c>
      <c r="I327" s="19"/>
    </row>
    <row r="328" spans="1:9" x14ac:dyDescent="0.25">
      <c r="A328" s="14" t="s">
        <v>409</v>
      </c>
      <c r="B328" s="15"/>
      <c r="C328" s="15"/>
      <c r="D328" s="15"/>
      <c r="E328" s="3">
        <v>6821.31</v>
      </c>
      <c r="F328" s="3">
        <v>17063.25</v>
      </c>
      <c r="G328" s="3">
        <v>17372.5</v>
      </c>
      <c r="H328" s="18">
        <v>41257.06</v>
      </c>
      <c r="I328" s="19"/>
    </row>
    <row r="329" spans="1:9" x14ac:dyDescent="0.25">
      <c r="A329" s="14" t="s">
        <v>410</v>
      </c>
      <c r="B329" s="15"/>
      <c r="C329" s="15"/>
      <c r="D329" s="15"/>
      <c r="E329" s="3">
        <v>13771.31</v>
      </c>
      <c r="F329" s="3">
        <v>20264.05</v>
      </c>
      <c r="G329" s="3">
        <v>19042.39</v>
      </c>
      <c r="H329" s="18">
        <v>53077.75</v>
      </c>
      <c r="I329" s="19"/>
    </row>
    <row r="330" spans="1:9" x14ac:dyDescent="0.25">
      <c r="A330" s="14" t="s">
        <v>411</v>
      </c>
      <c r="B330" s="15"/>
      <c r="C330" s="15"/>
      <c r="D330" s="15"/>
      <c r="E330" s="3">
        <v>703424.36</v>
      </c>
      <c r="F330" s="3">
        <v>513604.25</v>
      </c>
      <c r="G330" s="3">
        <v>945534.32</v>
      </c>
      <c r="H330" s="18">
        <v>2162562.9300000002</v>
      </c>
      <c r="I330" s="19"/>
    </row>
    <row r="331" spans="1:9" x14ac:dyDescent="0.25">
      <c r="A331" s="14" t="s">
        <v>412</v>
      </c>
      <c r="B331" s="15"/>
      <c r="C331" s="15"/>
      <c r="D331" s="15"/>
      <c r="E331" s="5"/>
      <c r="F331" s="5"/>
      <c r="G331" s="3">
        <v>8732.43</v>
      </c>
      <c r="H331" s="18">
        <v>8732.43</v>
      </c>
      <c r="I331" s="19"/>
    </row>
    <row r="332" spans="1:9" x14ac:dyDescent="0.25">
      <c r="A332" s="14" t="s">
        <v>413</v>
      </c>
      <c r="B332" s="15"/>
      <c r="C332" s="15"/>
      <c r="D332" s="15"/>
      <c r="E332" s="5"/>
      <c r="F332" s="5"/>
      <c r="G332" s="3">
        <v>143212.92000000001</v>
      </c>
      <c r="H332" s="18">
        <v>143212.92000000001</v>
      </c>
      <c r="I332" s="19"/>
    </row>
    <row r="333" spans="1:9" x14ac:dyDescent="0.25">
      <c r="A333" s="14" t="s">
        <v>414</v>
      </c>
      <c r="B333" s="15"/>
      <c r="C333" s="15"/>
      <c r="D333" s="15"/>
      <c r="E333" s="3">
        <v>24264.85</v>
      </c>
      <c r="F333" s="5"/>
      <c r="G333" s="3">
        <v>35670.21</v>
      </c>
      <c r="H333" s="18">
        <v>59935.06</v>
      </c>
      <c r="I333" s="19"/>
    </row>
    <row r="334" spans="1:9" x14ac:dyDescent="0.25">
      <c r="A334" s="14" t="s">
        <v>415</v>
      </c>
      <c r="B334" s="15"/>
      <c r="C334" s="15"/>
      <c r="D334" s="15"/>
      <c r="E334" s="3">
        <v>24437.57</v>
      </c>
      <c r="F334" s="5"/>
      <c r="G334" s="3">
        <v>42061.89</v>
      </c>
      <c r="H334" s="18">
        <v>66499.460000000006</v>
      </c>
      <c r="I334" s="19"/>
    </row>
    <row r="335" spans="1:9" x14ac:dyDescent="0.25">
      <c r="A335" s="14" t="s">
        <v>416</v>
      </c>
      <c r="B335" s="15"/>
      <c r="C335" s="15"/>
      <c r="D335" s="15"/>
      <c r="E335" s="3">
        <v>19568.59</v>
      </c>
      <c r="F335" s="5"/>
      <c r="G335" s="3">
        <v>28010.85</v>
      </c>
      <c r="H335" s="18">
        <v>47579.44</v>
      </c>
      <c r="I335" s="19"/>
    </row>
    <row r="336" spans="1:9" x14ac:dyDescent="0.25">
      <c r="A336" s="14" t="s">
        <v>417</v>
      </c>
      <c r="B336" s="15"/>
      <c r="C336" s="15"/>
      <c r="D336" s="15"/>
      <c r="E336" s="3">
        <v>22857.54</v>
      </c>
      <c r="F336" s="3">
        <v>4034.42</v>
      </c>
      <c r="G336" s="3">
        <v>22133.14</v>
      </c>
      <c r="H336" s="18">
        <v>49025.1</v>
      </c>
      <c r="I336" s="19"/>
    </row>
    <row r="337" spans="1:9" x14ac:dyDescent="0.25">
      <c r="A337" s="14" t="s">
        <v>418</v>
      </c>
      <c r="B337" s="15"/>
      <c r="C337" s="15"/>
      <c r="D337" s="15"/>
      <c r="E337" s="3">
        <v>22486.85</v>
      </c>
      <c r="F337" s="5"/>
      <c r="G337" s="3">
        <v>24698.560000000001</v>
      </c>
      <c r="H337" s="18">
        <v>47185.41</v>
      </c>
      <c r="I337" s="19"/>
    </row>
    <row r="338" spans="1:9" x14ac:dyDescent="0.25">
      <c r="A338" s="14" t="s">
        <v>419</v>
      </c>
      <c r="B338" s="15"/>
      <c r="C338" s="15"/>
      <c r="D338" s="15"/>
      <c r="E338" s="3">
        <v>25962.51</v>
      </c>
      <c r="F338" s="3">
        <v>126985.19</v>
      </c>
      <c r="G338" s="3">
        <v>38873.35</v>
      </c>
      <c r="H338" s="18">
        <v>191821.05</v>
      </c>
      <c r="I338" s="19"/>
    </row>
    <row r="339" spans="1:9" x14ac:dyDescent="0.25">
      <c r="A339" s="14" t="s">
        <v>420</v>
      </c>
      <c r="B339" s="15"/>
      <c r="C339" s="15"/>
      <c r="D339" s="15"/>
      <c r="E339" s="3">
        <v>20107.330000000002</v>
      </c>
      <c r="F339" s="5"/>
      <c r="G339" s="3">
        <v>7523.74</v>
      </c>
      <c r="H339" s="18">
        <v>27631.07</v>
      </c>
      <c r="I339" s="19"/>
    </row>
    <row r="340" spans="1:9" x14ac:dyDescent="0.25">
      <c r="A340" s="14" t="s">
        <v>421</v>
      </c>
      <c r="B340" s="15"/>
      <c r="C340" s="15"/>
      <c r="D340" s="15"/>
      <c r="E340" s="3">
        <v>20179.310000000001</v>
      </c>
      <c r="F340" s="5"/>
      <c r="G340" s="3">
        <v>5401.07</v>
      </c>
      <c r="H340" s="18">
        <v>25580.38</v>
      </c>
      <c r="I340" s="19"/>
    </row>
    <row r="341" spans="1:9" x14ac:dyDescent="0.25">
      <c r="A341" s="14" t="s">
        <v>422</v>
      </c>
      <c r="B341" s="15"/>
      <c r="C341" s="15"/>
      <c r="D341" s="15"/>
      <c r="E341" s="3">
        <v>22231.35</v>
      </c>
      <c r="F341" s="5"/>
      <c r="G341" s="3">
        <v>4241.38</v>
      </c>
      <c r="H341" s="18">
        <v>26472.73</v>
      </c>
      <c r="I341" s="19"/>
    </row>
    <row r="342" spans="1:9" x14ac:dyDescent="0.25">
      <c r="A342" s="14" t="s">
        <v>423</v>
      </c>
      <c r="B342" s="15"/>
      <c r="C342" s="15"/>
      <c r="D342" s="15"/>
      <c r="E342" s="3">
        <v>12947.4</v>
      </c>
      <c r="F342" s="3">
        <v>1106.8</v>
      </c>
      <c r="G342" s="3">
        <v>11438.72</v>
      </c>
      <c r="H342" s="18">
        <v>25492.92</v>
      </c>
      <c r="I342" s="19"/>
    </row>
    <row r="343" spans="1:9" x14ac:dyDescent="0.25">
      <c r="A343" s="14" t="s">
        <v>424</v>
      </c>
      <c r="B343" s="15"/>
      <c r="C343" s="15"/>
      <c r="D343" s="15"/>
      <c r="E343" s="3">
        <v>20061.900000000001</v>
      </c>
      <c r="F343" s="5"/>
      <c r="G343" s="3">
        <v>2479.7199999999998</v>
      </c>
      <c r="H343" s="18">
        <v>22541.62</v>
      </c>
      <c r="I343" s="19"/>
    </row>
    <row r="344" spans="1:9" x14ac:dyDescent="0.25">
      <c r="A344" s="14" t="s">
        <v>425</v>
      </c>
      <c r="B344" s="15"/>
      <c r="C344" s="15"/>
      <c r="D344" s="15"/>
      <c r="E344" s="5"/>
      <c r="F344" s="5"/>
      <c r="G344" s="3">
        <v>124.34</v>
      </c>
      <c r="H344" s="18">
        <v>124.34</v>
      </c>
      <c r="I344" s="19"/>
    </row>
    <row r="345" spans="1:9" x14ac:dyDescent="0.25">
      <c r="A345" s="14" t="s">
        <v>426</v>
      </c>
      <c r="B345" s="15"/>
      <c r="C345" s="15"/>
      <c r="D345" s="15"/>
      <c r="E345" s="5"/>
      <c r="F345" s="5"/>
      <c r="G345" s="3">
        <v>559.36</v>
      </c>
      <c r="H345" s="18">
        <v>559.36</v>
      </c>
      <c r="I345" s="19"/>
    </row>
    <row r="346" spans="1:9" x14ac:dyDescent="0.25">
      <c r="A346" s="14" t="s">
        <v>427</v>
      </c>
      <c r="B346" s="15"/>
      <c r="C346" s="15"/>
      <c r="D346" s="15"/>
      <c r="E346" s="5"/>
      <c r="F346" s="5"/>
      <c r="G346" s="3">
        <v>3614.83</v>
      </c>
      <c r="H346" s="18">
        <v>3614.83</v>
      </c>
      <c r="I346" s="19"/>
    </row>
    <row r="347" spans="1:9" x14ac:dyDescent="0.25">
      <c r="A347" s="14" t="s">
        <v>428</v>
      </c>
      <c r="B347" s="15"/>
      <c r="C347" s="15"/>
      <c r="D347" s="15"/>
      <c r="E347" s="5"/>
      <c r="F347" s="5"/>
      <c r="G347" s="3">
        <v>865.87</v>
      </c>
      <c r="H347" s="18">
        <v>865.87</v>
      </c>
      <c r="I347" s="19"/>
    </row>
    <row r="348" spans="1:9" x14ac:dyDescent="0.25">
      <c r="A348" s="14" t="s">
        <v>429</v>
      </c>
      <c r="B348" s="15"/>
      <c r="C348" s="15"/>
      <c r="D348" s="15"/>
      <c r="E348" s="3">
        <v>2.5099999999999998</v>
      </c>
      <c r="F348" s="5"/>
      <c r="G348" s="5"/>
      <c r="H348" s="18">
        <v>2.5099999999999998</v>
      </c>
      <c r="I348" s="19"/>
    </row>
    <row r="349" spans="1:9" x14ac:dyDescent="0.25">
      <c r="A349" s="14" t="s">
        <v>430</v>
      </c>
      <c r="B349" s="15"/>
      <c r="C349" s="15"/>
      <c r="D349" s="15"/>
      <c r="E349" s="5"/>
      <c r="F349" s="5"/>
      <c r="G349" s="3">
        <v>2.82</v>
      </c>
      <c r="H349" s="18">
        <v>2.82</v>
      </c>
      <c r="I349" s="19"/>
    </row>
    <row r="350" spans="1:9" x14ac:dyDescent="0.25">
      <c r="A350" s="14" t="s">
        <v>431</v>
      </c>
      <c r="B350" s="15"/>
      <c r="C350" s="15"/>
      <c r="D350" s="15"/>
      <c r="E350" s="5"/>
      <c r="F350" s="5"/>
      <c r="G350" s="3">
        <v>33836.76</v>
      </c>
      <c r="H350" s="18">
        <v>33836.76</v>
      </c>
      <c r="I350" s="19"/>
    </row>
    <row r="351" spans="1:9" x14ac:dyDescent="0.25">
      <c r="A351" s="14" t="s">
        <v>432</v>
      </c>
      <c r="B351" s="15"/>
      <c r="C351" s="15"/>
      <c r="D351" s="15"/>
      <c r="E351" s="5"/>
      <c r="F351" s="5"/>
      <c r="G351" s="3">
        <v>478</v>
      </c>
      <c r="H351" s="18">
        <v>478</v>
      </c>
      <c r="I351" s="19"/>
    </row>
    <row r="352" spans="1:9" x14ac:dyDescent="0.25">
      <c r="A352" s="14" t="s">
        <v>433</v>
      </c>
      <c r="B352" s="15"/>
      <c r="C352" s="15"/>
      <c r="D352" s="15"/>
      <c r="E352" s="5"/>
      <c r="F352" s="5"/>
      <c r="G352" s="3">
        <v>1497.85</v>
      </c>
      <c r="H352" s="18">
        <v>1497.85</v>
      </c>
      <c r="I352" s="19"/>
    </row>
    <row r="353" spans="1:9" x14ac:dyDescent="0.25">
      <c r="A353" s="14" t="s">
        <v>434</v>
      </c>
      <c r="B353" s="15"/>
      <c r="C353" s="15"/>
      <c r="D353" s="15"/>
      <c r="E353" s="5"/>
      <c r="F353" s="5"/>
      <c r="G353" s="3">
        <v>1088.7</v>
      </c>
      <c r="H353" s="18">
        <v>1088.7</v>
      </c>
      <c r="I353" s="19"/>
    </row>
    <row r="354" spans="1:9" x14ac:dyDescent="0.25">
      <c r="A354" s="14" t="s">
        <v>435</v>
      </c>
      <c r="B354" s="15"/>
      <c r="C354" s="15"/>
      <c r="D354" s="15"/>
      <c r="E354" s="5"/>
      <c r="F354" s="5"/>
      <c r="G354" s="3">
        <v>2364.92</v>
      </c>
      <c r="H354" s="18">
        <v>2364.92</v>
      </c>
      <c r="I354" s="19"/>
    </row>
    <row r="355" spans="1:9" x14ac:dyDescent="0.25">
      <c r="A355" s="14" t="s">
        <v>436</v>
      </c>
      <c r="B355" s="15"/>
      <c r="C355" s="15"/>
      <c r="D355" s="15"/>
      <c r="E355" s="5"/>
      <c r="F355" s="3">
        <v>12207.62</v>
      </c>
      <c r="G355" s="3">
        <v>939</v>
      </c>
      <c r="H355" s="18">
        <v>13146.62</v>
      </c>
      <c r="I355" s="19"/>
    </row>
    <row r="356" spans="1:9" x14ac:dyDescent="0.25">
      <c r="A356" s="14" t="s">
        <v>437</v>
      </c>
      <c r="B356" s="15"/>
      <c r="C356" s="15"/>
      <c r="D356" s="15"/>
      <c r="E356" s="5"/>
      <c r="F356" s="3">
        <v>305651.34999999998</v>
      </c>
      <c r="G356" s="3">
        <v>7545.01</v>
      </c>
      <c r="H356" s="18">
        <v>313196.36</v>
      </c>
      <c r="I356" s="19"/>
    </row>
    <row r="357" spans="1:9" x14ac:dyDescent="0.25">
      <c r="A357" s="14" t="s">
        <v>438</v>
      </c>
      <c r="B357" s="15"/>
      <c r="C357" s="15"/>
      <c r="D357" s="15"/>
      <c r="E357" s="5"/>
      <c r="F357" s="3">
        <v>150328.73000000001</v>
      </c>
      <c r="G357" s="3">
        <v>1647.2</v>
      </c>
      <c r="H357" s="18">
        <v>151975.93</v>
      </c>
      <c r="I357" s="19"/>
    </row>
    <row r="358" spans="1:9" x14ac:dyDescent="0.25">
      <c r="A358" s="14" t="s">
        <v>439</v>
      </c>
      <c r="B358" s="15"/>
      <c r="C358" s="15"/>
      <c r="D358" s="15"/>
      <c r="E358" s="5"/>
      <c r="F358" s="5"/>
      <c r="G358" s="3">
        <v>2893.54</v>
      </c>
      <c r="H358" s="18">
        <v>2893.54</v>
      </c>
      <c r="I358" s="19"/>
    </row>
    <row r="359" spans="1:9" x14ac:dyDescent="0.25">
      <c r="A359" s="14" t="s">
        <v>440</v>
      </c>
      <c r="B359" s="15"/>
      <c r="C359" s="15"/>
      <c r="D359" s="15"/>
      <c r="E359" s="5"/>
      <c r="F359" s="5"/>
      <c r="G359" s="3">
        <v>4915.74</v>
      </c>
      <c r="H359" s="18">
        <v>4915.74</v>
      </c>
      <c r="I359" s="19"/>
    </row>
    <row r="360" spans="1:9" x14ac:dyDescent="0.25">
      <c r="A360" s="14" t="s">
        <v>441</v>
      </c>
      <c r="B360" s="15"/>
      <c r="C360" s="15"/>
      <c r="D360" s="15"/>
      <c r="E360" s="5"/>
      <c r="F360" s="5"/>
      <c r="G360" s="3">
        <v>5156.1499999999996</v>
      </c>
      <c r="H360" s="18">
        <v>5156.1499999999996</v>
      </c>
      <c r="I360" s="19"/>
    </row>
    <row r="361" spans="1:9" x14ac:dyDescent="0.25">
      <c r="A361" s="14" t="s">
        <v>442</v>
      </c>
      <c r="B361" s="15"/>
      <c r="C361" s="15"/>
      <c r="D361" s="15"/>
      <c r="E361" s="4" t="s">
        <v>443</v>
      </c>
      <c r="F361" s="5"/>
      <c r="G361" s="5"/>
      <c r="H361" s="20" t="s">
        <v>443</v>
      </c>
      <c r="I361" s="21"/>
    </row>
    <row r="362" spans="1:9" x14ac:dyDescent="0.25">
      <c r="A362" s="14" t="s">
        <v>444</v>
      </c>
      <c r="B362" s="15"/>
      <c r="C362" s="15"/>
      <c r="D362" s="15"/>
      <c r="E362" s="5"/>
      <c r="F362" s="5"/>
      <c r="G362" s="3">
        <v>705224.66</v>
      </c>
      <c r="H362" s="18">
        <v>705224.66</v>
      </c>
      <c r="I362" s="19"/>
    </row>
    <row r="363" spans="1:9" x14ac:dyDescent="0.25">
      <c r="A363" s="14" t="s">
        <v>445</v>
      </c>
      <c r="B363" s="15"/>
      <c r="C363" s="15"/>
      <c r="D363" s="15"/>
      <c r="E363" s="5"/>
      <c r="F363" s="5"/>
      <c r="G363" s="3">
        <v>305424.77</v>
      </c>
      <c r="H363" s="18">
        <v>305424.77</v>
      </c>
      <c r="I363" s="19"/>
    </row>
    <row r="364" spans="1:9" x14ac:dyDescent="0.25">
      <c r="A364" s="14" t="s">
        <v>446</v>
      </c>
      <c r="B364" s="15"/>
      <c r="C364" s="15"/>
      <c r="D364" s="15"/>
      <c r="E364" s="3">
        <v>316776.46999999997</v>
      </c>
      <c r="F364" s="3">
        <v>197389.94</v>
      </c>
      <c r="G364" s="3">
        <v>633053.18000000005</v>
      </c>
      <c r="H364" s="18">
        <v>1147219.5900000001</v>
      </c>
      <c r="I364" s="19"/>
    </row>
    <row r="365" spans="1:9" x14ac:dyDescent="0.25">
      <c r="A365" s="14" t="s">
        <v>447</v>
      </c>
      <c r="B365" s="15"/>
      <c r="C365" s="15"/>
      <c r="D365" s="15"/>
      <c r="E365" s="5"/>
      <c r="F365" s="5"/>
      <c r="G365" s="3">
        <v>6881.97</v>
      </c>
      <c r="H365" s="18">
        <v>6881.97</v>
      </c>
      <c r="I365" s="19"/>
    </row>
    <row r="366" spans="1:9" x14ac:dyDescent="0.25">
      <c r="A366" s="14" t="s">
        <v>448</v>
      </c>
      <c r="B366" s="15"/>
      <c r="C366" s="15"/>
      <c r="D366" s="15"/>
      <c r="E366" s="5"/>
      <c r="F366" s="3">
        <v>222779.02</v>
      </c>
      <c r="G366" s="3">
        <v>3192056.89</v>
      </c>
      <c r="H366" s="18">
        <v>3414835.91</v>
      </c>
      <c r="I366" s="19"/>
    </row>
    <row r="367" spans="1:9" x14ac:dyDescent="0.25">
      <c r="A367" s="14" t="s">
        <v>449</v>
      </c>
      <c r="B367" s="15"/>
      <c r="C367" s="15"/>
      <c r="D367" s="15"/>
      <c r="E367" s="3">
        <v>160397.57</v>
      </c>
      <c r="F367" s="5"/>
      <c r="G367" s="3">
        <v>365764.56</v>
      </c>
      <c r="H367" s="18">
        <v>526162.13</v>
      </c>
      <c r="I367" s="19"/>
    </row>
    <row r="368" spans="1:9" x14ac:dyDescent="0.25">
      <c r="A368" s="14" t="s">
        <v>450</v>
      </c>
      <c r="B368" s="15"/>
      <c r="C368" s="15"/>
      <c r="D368" s="15"/>
      <c r="E368" s="3">
        <v>3784131.18</v>
      </c>
      <c r="F368" s="3">
        <v>5963968.0700000003</v>
      </c>
      <c r="G368" s="3">
        <v>5445657.5599999996</v>
      </c>
      <c r="H368" s="18">
        <v>15193756.810000001</v>
      </c>
      <c r="I368" s="19"/>
    </row>
    <row r="369" spans="1:9" x14ac:dyDescent="0.25">
      <c r="A369" s="14" t="s">
        <v>451</v>
      </c>
      <c r="B369" s="15"/>
      <c r="C369" s="15"/>
      <c r="D369" s="15"/>
      <c r="E369" s="3">
        <v>1204317.3999999999</v>
      </c>
      <c r="F369" s="3">
        <v>530907.09</v>
      </c>
      <c r="G369" s="3">
        <v>1282630.8400000001</v>
      </c>
      <c r="H369" s="18">
        <v>3017855.33</v>
      </c>
      <c r="I369" s="19"/>
    </row>
    <row r="370" spans="1:9" x14ac:dyDescent="0.25">
      <c r="A370" s="14" t="s">
        <v>452</v>
      </c>
      <c r="B370" s="15"/>
      <c r="C370" s="15"/>
      <c r="D370" s="15"/>
      <c r="E370" s="3">
        <v>112954.73</v>
      </c>
      <c r="F370" s="5"/>
      <c r="G370" s="3">
        <v>369228.15</v>
      </c>
      <c r="H370" s="18">
        <v>482182.88</v>
      </c>
      <c r="I370" s="19"/>
    </row>
    <row r="371" spans="1:9" x14ac:dyDescent="0.25">
      <c r="A371" s="14" t="s">
        <v>453</v>
      </c>
      <c r="B371" s="15"/>
      <c r="C371" s="15"/>
      <c r="D371" s="15"/>
      <c r="E371" s="3">
        <v>642100.81999999995</v>
      </c>
      <c r="F371" s="3">
        <v>458712.49</v>
      </c>
      <c r="G371" s="3">
        <v>654800.81999999995</v>
      </c>
      <c r="H371" s="18">
        <v>1755614.13</v>
      </c>
      <c r="I371" s="19"/>
    </row>
    <row r="372" spans="1:9" x14ac:dyDescent="0.25">
      <c r="A372" s="14" t="s">
        <v>454</v>
      </c>
      <c r="B372" s="15"/>
      <c r="C372" s="15"/>
      <c r="D372" s="15"/>
      <c r="E372" s="3">
        <v>1788470.59</v>
      </c>
      <c r="F372" s="3">
        <v>408857.2</v>
      </c>
      <c r="G372" s="3">
        <v>1902659.28</v>
      </c>
      <c r="H372" s="18">
        <v>4099987.07</v>
      </c>
      <c r="I372" s="19"/>
    </row>
    <row r="373" spans="1:9" x14ac:dyDescent="0.25">
      <c r="A373" s="14" t="s">
        <v>455</v>
      </c>
      <c r="B373" s="15"/>
      <c r="C373" s="15"/>
      <c r="D373" s="15"/>
      <c r="E373" s="3">
        <v>5866791.4400000004</v>
      </c>
      <c r="F373" s="3">
        <v>2889464.06</v>
      </c>
      <c r="G373" s="3">
        <v>1626464.97</v>
      </c>
      <c r="H373" s="18">
        <v>10382720.470000001</v>
      </c>
      <c r="I373" s="19"/>
    </row>
    <row r="374" spans="1:9" x14ac:dyDescent="0.25">
      <c r="A374" s="14" t="s">
        <v>456</v>
      </c>
      <c r="B374" s="15"/>
      <c r="C374" s="15"/>
      <c r="D374" s="15"/>
      <c r="E374" s="5"/>
      <c r="F374" s="5"/>
      <c r="G374" s="3">
        <v>105974.2</v>
      </c>
      <c r="H374" s="18">
        <v>105974.2</v>
      </c>
      <c r="I374" s="19"/>
    </row>
    <row r="375" spans="1:9" x14ac:dyDescent="0.25">
      <c r="A375" s="14" t="s">
        <v>457</v>
      </c>
      <c r="B375" s="15"/>
      <c r="C375" s="15"/>
      <c r="D375" s="15"/>
      <c r="E375" s="3">
        <v>840184.45</v>
      </c>
      <c r="F375" s="3">
        <v>1897570.53</v>
      </c>
      <c r="G375" s="3">
        <v>802623.56</v>
      </c>
      <c r="H375" s="18">
        <v>3540378.54</v>
      </c>
      <c r="I375" s="19"/>
    </row>
    <row r="376" spans="1:9" x14ac:dyDescent="0.25">
      <c r="A376" s="14" t="s">
        <v>458</v>
      </c>
      <c r="B376" s="15"/>
      <c r="C376" s="15"/>
      <c r="D376" s="15"/>
      <c r="E376" s="3">
        <v>802338.11</v>
      </c>
      <c r="F376" s="3">
        <v>1688809.89</v>
      </c>
      <c r="G376" s="3">
        <v>737676.64</v>
      </c>
      <c r="H376" s="18">
        <v>3228824.64</v>
      </c>
      <c r="I376" s="19"/>
    </row>
    <row r="377" spans="1:9" x14ac:dyDescent="0.25">
      <c r="A377" s="14" t="s">
        <v>459</v>
      </c>
      <c r="B377" s="15"/>
      <c r="C377" s="15"/>
      <c r="D377" s="15"/>
      <c r="E377" s="3">
        <v>394858.97</v>
      </c>
      <c r="F377" s="5"/>
      <c r="G377" s="3">
        <v>442303.76</v>
      </c>
      <c r="H377" s="18">
        <v>837162.73</v>
      </c>
      <c r="I377" s="19"/>
    </row>
    <row r="378" spans="1:9" x14ac:dyDescent="0.25">
      <c r="A378" s="14" t="s">
        <v>460</v>
      </c>
      <c r="B378" s="15"/>
      <c r="C378" s="15"/>
      <c r="D378" s="15"/>
      <c r="E378" s="3">
        <v>152285.74</v>
      </c>
      <c r="F378" s="3">
        <v>145324.72</v>
      </c>
      <c r="G378" s="3">
        <v>119399.94</v>
      </c>
      <c r="H378" s="18">
        <v>417010.4</v>
      </c>
      <c r="I378" s="19"/>
    </row>
    <row r="379" spans="1:9" x14ac:dyDescent="0.25">
      <c r="A379" s="14" t="s">
        <v>461</v>
      </c>
      <c r="B379" s="15"/>
      <c r="C379" s="15"/>
      <c r="D379" s="15"/>
      <c r="E379" s="3">
        <v>67155.850000000006</v>
      </c>
      <c r="F379" s="5"/>
      <c r="G379" s="3">
        <v>123398.94</v>
      </c>
      <c r="H379" s="18">
        <v>190554.79</v>
      </c>
      <c r="I379" s="19"/>
    </row>
    <row r="380" spans="1:9" x14ac:dyDescent="0.25">
      <c r="A380" s="14" t="s">
        <v>462</v>
      </c>
      <c r="B380" s="15"/>
      <c r="C380" s="15"/>
      <c r="D380" s="15"/>
      <c r="E380" s="3">
        <v>233678.63</v>
      </c>
      <c r="F380" s="3">
        <v>45072.29</v>
      </c>
      <c r="G380" s="3">
        <v>140051.23000000001</v>
      </c>
      <c r="H380" s="18">
        <v>418802.15</v>
      </c>
      <c r="I380" s="19"/>
    </row>
    <row r="381" spans="1:9" x14ac:dyDescent="0.25">
      <c r="A381" s="14" t="s">
        <v>463</v>
      </c>
      <c r="B381" s="15"/>
      <c r="C381" s="15"/>
      <c r="D381" s="15"/>
      <c r="E381" s="3">
        <v>17837.13</v>
      </c>
      <c r="F381" s="5"/>
      <c r="G381" s="3">
        <v>126399.12</v>
      </c>
      <c r="H381" s="18">
        <v>144236.25</v>
      </c>
      <c r="I381" s="19"/>
    </row>
    <row r="382" spans="1:9" x14ac:dyDescent="0.25">
      <c r="A382" s="14" t="s">
        <v>464</v>
      </c>
      <c r="B382" s="15"/>
      <c r="C382" s="15"/>
      <c r="D382" s="15"/>
      <c r="E382" s="3">
        <v>2762.13</v>
      </c>
      <c r="F382" s="5"/>
      <c r="G382" s="5"/>
      <c r="H382" s="18">
        <v>2762.13</v>
      </c>
      <c r="I382" s="19"/>
    </row>
    <row r="383" spans="1:9" x14ac:dyDescent="0.25">
      <c r="A383" s="14" t="s">
        <v>465</v>
      </c>
      <c r="B383" s="15"/>
      <c r="C383" s="15"/>
      <c r="D383" s="15"/>
      <c r="E383" s="3">
        <v>903851.52000000002</v>
      </c>
      <c r="F383" s="3">
        <v>1227953.76</v>
      </c>
      <c r="G383" s="3">
        <v>1847699.39</v>
      </c>
      <c r="H383" s="18">
        <v>3979504.67</v>
      </c>
      <c r="I383" s="19"/>
    </row>
    <row r="384" spans="1:9" x14ac:dyDescent="0.25">
      <c r="A384" s="14" t="s">
        <v>466</v>
      </c>
      <c r="B384" s="15"/>
      <c r="C384" s="15"/>
      <c r="D384" s="15"/>
      <c r="E384" s="3">
        <v>865700.66</v>
      </c>
      <c r="F384" s="3">
        <v>795894.87</v>
      </c>
      <c r="G384" s="3">
        <v>718055.13</v>
      </c>
      <c r="H384" s="18">
        <v>2379650.66</v>
      </c>
      <c r="I384" s="19"/>
    </row>
    <row r="385" spans="1:9" x14ac:dyDescent="0.25">
      <c r="A385" s="14" t="s">
        <v>467</v>
      </c>
      <c r="B385" s="15"/>
      <c r="C385" s="15"/>
      <c r="D385" s="15"/>
      <c r="E385" s="3">
        <v>6023.58</v>
      </c>
      <c r="F385" s="4" t="s">
        <v>468</v>
      </c>
      <c r="G385" s="3">
        <v>154.38999999999999</v>
      </c>
      <c r="H385" s="20" t="s">
        <v>469</v>
      </c>
      <c r="I385" s="21"/>
    </row>
    <row r="386" spans="1:9" x14ac:dyDescent="0.25">
      <c r="A386" s="14" t="s">
        <v>470</v>
      </c>
      <c r="B386" s="15"/>
      <c r="C386" s="15"/>
      <c r="D386" s="15"/>
      <c r="E386" s="3">
        <v>6015.54</v>
      </c>
      <c r="F386" s="5"/>
      <c r="G386" s="5"/>
      <c r="H386" s="18">
        <v>6015.54</v>
      </c>
      <c r="I386" s="19"/>
    </row>
    <row r="387" spans="1:9" x14ac:dyDescent="0.25">
      <c r="A387" s="14" t="s">
        <v>471</v>
      </c>
      <c r="B387" s="15"/>
      <c r="C387" s="15"/>
      <c r="D387" s="15"/>
      <c r="E387" s="3">
        <v>6015.54</v>
      </c>
      <c r="F387" s="5"/>
      <c r="G387" s="5"/>
      <c r="H387" s="18">
        <v>6015.54</v>
      </c>
      <c r="I387" s="19"/>
    </row>
    <row r="388" spans="1:9" x14ac:dyDescent="0.25">
      <c r="A388" s="14" t="s">
        <v>472</v>
      </c>
      <c r="B388" s="15"/>
      <c r="C388" s="15"/>
      <c r="D388" s="15"/>
      <c r="E388" s="3">
        <v>6015.54</v>
      </c>
      <c r="F388" s="5"/>
      <c r="G388" s="5"/>
      <c r="H388" s="18">
        <v>6015.54</v>
      </c>
      <c r="I388" s="19"/>
    </row>
    <row r="389" spans="1:9" x14ac:dyDescent="0.25">
      <c r="A389" s="14" t="s">
        <v>473</v>
      </c>
      <c r="B389" s="15"/>
      <c r="C389" s="15"/>
      <c r="D389" s="15"/>
      <c r="E389" s="3">
        <v>6015.54</v>
      </c>
      <c r="F389" s="5"/>
      <c r="G389" s="5"/>
      <c r="H389" s="18">
        <v>6015.54</v>
      </c>
      <c r="I389" s="19"/>
    </row>
    <row r="390" spans="1:9" x14ac:dyDescent="0.25">
      <c r="A390" s="14" t="s">
        <v>474</v>
      </c>
      <c r="B390" s="15"/>
      <c r="C390" s="15"/>
      <c r="D390" s="15"/>
      <c r="E390" s="5"/>
      <c r="F390" s="4" t="s">
        <v>475</v>
      </c>
      <c r="G390" s="5"/>
      <c r="H390" s="20" t="s">
        <v>475</v>
      </c>
      <c r="I390" s="21"/>
    </row>
    <row r="391" spans="1:9" x14ac:dyDescent="0.25">
      <c r="A391" s="14" t="s">
        <v>476</v>
      </c>
      <c r="B391" s="15"/>
      <c r="C391" s="15"/>
      <c r="D391" s="15"/>
      <c r="E391" s="5"/>
      <c r="F391" s="5"/>
      <c r="G391" s="3">
        <v>6987.75</v>
      </c>
      <c r="H391" s="18">
        <v>6987.75</v>
      </c>
      <c r="I391" s="19"/>
    </row>
    <row r="392" spans="1:9" x14ac:dyDescent="0.25">
      <c r="A392" s="14" t="s">
        <v>477</v>
      </c>
      <c r="B392" s="15"/>
      <c r="C392" s="15"/>
      <c r="D392" s="15"/>
      <c r="E392" s="5"/>
      <c r="F392" s="3">
        <v>211191.48</v>
      </c>
      <c r="G392" s="5"/>
      <c r="H392" s="18">
        <v>211191.48</v>
      </c>
      <c r="I392" s="19"/>
    </row>
    <row r="393" spans="1:9" x14ac:dyDescent="0.25">
      <c r="A393" s="14" t="s">
        <v>478</v>
      </c>
      <c r="B393" s="15"/>
      <c r="C393" s="15"/>
      <c r="D393" s="15"/>
      <c r="E393" s="3">
        <v>0.86</v>
      </c>
      <c r="F393" s="5"/>
      <c r="G393" s="3">
        <v>924.98</v>
      </c>
      <c r="H393" s="18">
        <v>925.84</v>
      </c>
      <c r="I393" s="19"/>
    </row>
    <row r="394" spans="1:9" x14ac:dyDescent="0.25">
      <c r="A394" s="14" t="s">
        <v>479</v>
      </c>
      <c r="B394" s="15"/>
      <c r="C394" s="15"/>
      <c r="D394" s="15"/>
      <c r="E394" s="5"/>
      <c r="F394" s="4" t="s">
        <v>480</v>
      </c>
      <c r="G394" s="5"/>
      <c r="H394" s="20" t="s">
        <v>480</v>
      </c>
      <c r="I394" s="21"/>
    </row>
    <row r="395" spans="1:9" x14ac:dyDescent="0.25">
      <c r="A395" s="14" t="s">
        <v>481</v>
      </c>
      <c r="B395" s="15"/>
      <c r="C395" s="15"/>
      <c r="D395" s="15"/>
      <c r="E395" s="5"/>
      <c r="F395" s="3">
        <v>1515.96</v>
      </c>
      <c r="G395" s="5"/>
      <c r="H395" s="18">
        <v>1515.96</v>
      </c>
      <c r="I395" s="19"/>
    </row>
    <row r="396" spans="1:9" x14ac:dyDescent="0.25">
      <c r="A396" s="14" t="s">
        <v>482</v>
      </c>
      <c r="B396" s="15"/>
      <c r="C396" s="15"/>
      <c r="D396" s="15"/>
      <c r="E396" s="5"/>
      <c r="F396" s="5"/>
      <c r="G396" s="3">
        <v>30343.39</v>
      </c>
      <c r="H396" s="18">
        <v>30343.39</v>
      </c>
      <c r="I396" s="19"/>
    </row>
    <row r="397" spans="1:9" x14ac:dyDescent="0.25">
      <c r="A397" s="14" t="s">
        <v>483</v>
      </c>
      <c r="B397" s="15"/>
      <c r="C397" s="15"/>
      <c r="D397" s="15"/>
      <c r="E397" s="5"/>
      <c r="F397" s="3">
        <v>1638.47</v>
      </c>
      <c r="G397" s="3">
        <v>6719.7</v>
      </c>
      <c r="H397" s="18">
        <v>8358.17</v>
      </c>
      <c r="I397" s="19"/>
    </row>
    <row r="398" spans="1:9" x14ac:dyDescent="0.25">
      <c r="A398" s="14" t="s">
        <v>484</v>
      </c>
      <c r="B398" s="15"/>
      <c r="C398" s="15"/>
      <c r="D398" s="15"/>
      <c r="E398" s="5"/>
      <c r="F398" s="5"/>
      <c r="G398" s="3">
        <v>2845.38</v>
      </c>
      <c r="H398" s="18">
        <v>2845.38</v>
      </c>
      <c r="I398" s="19"/>
    </row>
    <row r="399" spans="1:9" x14ac:dyDescent="0.25">
      <c r="A399" s="14" t="s">
        <v>485</v>
      </c>
      <c r="B399" s="15"/>
      <c r="C399" s="15"/>
      <c r="D399" s="15"/>
      <c r="E399" s="3">
        <v>150632.78</v>
      </c>
      <c r="F399" s="5"/>
      <c r="G399" s="3">
        <v>11760.54</v>
      </c>
      <c r="H399" s="18">
        <v>162393.32</v>
      </c>
      <c r="I399" s="19"/>
    </row>
    <row r="400" spans="1:9" x14ac:dyDescent="0.25">
      <c r="A400" s="14" t="s">
        <v>486</v>
      </c>
      <c r="B400" s="15"/>
      <c r="C400" s="15"/>
      <c r="D400" s="15"/>
      <c r="E400" s="5"/>
      <c r="F400" s="5"/>
      <c r="G400" s="3">
        <v>4082.59</v>
      </c>
      <c r="H400" s="18">
        <v>4082.59</v>
      </c>
      <c r="I400" s="19"/>
    </row>
    <row r="401" spans="1:9" x14ac:dyDescent="0.25">
      <c r="A401" s="14" t="s">
        <v>487</v>
      </c>
      <c r="B401" s="15"/>
      <c r="C401" s="15"/>
      <c r="D401" s="15"/>
      <c r="E401" s="5"/>
      <c r="F401" s="5"/>
      <c r="G401" s="3">
        <v>7218.27</v>
      </c>
      <c r="H401" s="18">
        <v>7218.27</v>
      </c>
      <c r="I401" s="19"/>
    </row>
    <row r="402" spans="1:9" x14ac:dyDescent="0.25">
      <c r="A402" s="14" t="s">
        <v>488</v>
      </c>
      <c r="B402" s="15"/>
      <c r="C402" s="15"/>
      <c r="D402" s="15"/>
      <c r="E402" s="3">
        <v>21982.25</v>
      </c>
      <c r="F402" s="5"/>
      <c r="G402" s="3">
        <v>12773.33</v>
      </c>
      <c r="H402" s="18">
        <v>34755.58</v>
      </c>
      <c r="I402" s="19"/>
    </row>
    <row r="403" spans="1:9" x14ac:dyDescent="0.25">
      <c r="A403" s="14" t="s">
        <v>489</v>
      </c>
      <c r="B403" s="15"/>
      <c r="C403" s="15"/>
      <c r="D403" s="15"/>
      <c r="E403" s="5"/>
      <c r="F403" s="5"/>
      <c r="G403" s="3">
        <v>15767.12</v>
      </c>
      <c r="H403" s="18">
        <v>15767.12</v>
      </c>
      <c r="I403" s="19"/>
    </row>
    <row r="404" spans="1:9" x14ac:dyDescent="0.25">
      <c r="A404" s="14" t="s">
        <v>490</v>
      </c>
      <c r="B404" s="15"/>
      <c r="C404" s="15"/>
      <c r="D404" s="15"/>
      <c r="E404" s="5"/>
      <c r="F404" s="5"/>
      <c r="G404" s="3">
        <v>2864.64</v>
      </c>
      <c r="H404" s="18">
        <v>2864.64</v>
      </c>
      <c r="I404" s="19"/>
    </row>
    <row r="405" spans="1:9" x14ac:dyDescent="0.25">
      <c r="A405" s="14" t="s">
        <v>491</v>
      </c>
      <c r="B405" s="15"/>
      <c r="C405" s="15"/>
      <c r="D405" s="15"/>
      <c r="E405" s="3">
        <v>4342</v>
      </c>
      <c r="F405" s="5"/>
      <c r="G405" s="3">
        <v>29562.799999999999</v>
      </c>
      <c r="H405" s="18">
        <v>33904.800000000003</v>
      </c>
      <c r="I405" s="19"/>
    </row>
    <row r="406" spans="1:9" x14ac:dyDescent="0.25">
      <c r="A406" s="14" t="s">
        <v>492</v>
      </c>
      <c r="B406" s="15"/>
      <c r="C406" s="15"/>
      <c r="D406" s="15"/>
      <c r="E406" s="5"/>
      <c r="F406" s="5"/>
      <c r="G406" s="3">
        <v>397.45</v>
      </c>
      <c r="H406" s="18">
        <v>397.45</v>
      </c>
      <c r="I406" s="19"/>
    </row>
    <row r="407" spans="1:9" x14ac:dyDescent="0.25">
      <c r="A407" s="14" t="s">
        <v>493</v>
      </c>
      <c r="B407" s="15"/>
      <c r="C407" s="15"/>
      <c r="D407" s="15"/>
      <c r="E407" s="5"/>
      <c r="F407" s="5"/>
      <c r="G407" s="3">
        <v>2106.12</v>
      </c>
      <c r="H407" s="18">
        <v>2106.12</v>
      </c>
      <c r="I407" s="19"/>
    </row>
    <row r="408" spans="1:9" x14ac:dyDescent="0.25">
      <c r="A408" s="14" t="s">
        <v>494</v>
      </c>
      <c r="B408" s="15"/>
      <c r="C408" s="15"/>
      <c r="D408" s="15"/>
      <c r="E408" s="3">
        <v>18816.89</v>
      </c>
      <c r="F408" s="5"/>
      <c r="G408" s="3">
        <v>5635.76</v>
      </c>
      <c r="H408" s="18">
        <v>24452.65</v>
      </c>
      <c r="I408" s="19"/>
    </row>
    <row r="409" spans="1:9" x14ac:dyDescent="0.25">
      <c r="A409" s="14" t="s">
        <v>495</v>
      </c>
      <c r="B409" s="15"/>
      <c r="C409" s="15"/>
      <c r="D409" s="15"/>
      <c r="E409" s="5"/>
      <c r="F409" s="5"/>
      <c r="G409" s="3">
        <v>13593.24</v>
      </c>
      <c r="H409" s="18">
        <v>13593.24</v>
      </c>
      <c r="I409" s="19"/>
    </row>
    <row r="410" spans="1:9" x14ac:dyDescent="0.25">
      <c r="A410" s="14" t="s">
        <v>496</v>
      </c>
      <c r="B410" s="15"/>
      <c r="C410" s="15"/>
      <c r="D410" s="15"/>
      <c r="E410" s="3">
        <v>2494.66</v>
      </c>
      <c r="F410" s="5"/>
      <c r="G410" s="3">
        <v>23089.97</v>
      </c>
      <c r="H410" s="18">
        <v>25584.63</v>
      </c>
      <c r="I410" s="19"/>
    </row>
    <row r="411" spans="1:9" x14ac:dyDescent="0.25">
      <c r="A411" s="14" t="s">
        <v>497</v>
      </c>
      <c r="B411" s="15"/>
      <c r="C411" s="15"/>
      <c r="D411" s="15"/>
      <c r="E411" s="5"/>
      <c r="F411" s="5"/>
      <c r="G411" s="3">
        <v>40274.230000000003</v>
      </c>
      <c r="H411" s="18">
        <v>40274.230000000003</v>
      </c>
      <c r="I411" s="19"/>
    </row>
    <row r="412" spans="1:9" x14ac:dyDescent="0.25">
      <c r="A412" s="14" t="s">
        <v>498</v>
      </c>
      <c r="B412" s="15"/>
      <c r="C412" s="15"/>
      <c r="D412" s="15"/>
      <c r="E412" s="3">
        <v>9665.57</v>
      </c>
      <c r="F412" s="3">
        <v>177898.96</v>
      </c>
      <c r="G412" s="3">
        <v>35139.21</v>
      </c>
      <c r="H412" s="18">
        <v>222703.74</v>
      </c>
      <c r="I412" s="19"/>
    </row>
    <row r="413" spans="1:9" x14ac:dyDescent="0.25">
      <c r="A413" s="14" t="s">
        <v>499</v>
      </c>
      <c r="B413" s="15"/>
      <c r="C413" s="15"/>
      <c r="D413" s="15"/>
      <c r="E413" s="5"/>
      <c r="F413" s="5"/>
      <c r="G413" s="3">
        <v>5238.1000000000004</v>
      </c>
      <c r="H413" s="18">
        <v>5238.1000000000004</v>
      </c>
      <c r="I413" s="19"/>
    </row>
    <row r="414" spans="1:9" x14ac:dyDescent="0.25">
      <c r="A414" s="14" t="s">
        <v>500</v>
      </c>
      <c r="B414" s="15"/>
      <c r="C414" s="15"/>
      <c r="D414" s="15"/>
      <c r="E414" s="3">
        <v>9665.56</v>
      </c>
      <c r="F414" s="5"/>
      <c r="G414" s="3">
        <v>1477.86</v>
      </c>
      <c r="H414" s="18">
        <v>11143.42</v>
      </c>
      <c r="I414" s="19"/>
    </row>
    <row r="415" spans="1:9" x14ac:dyDescent="0.25">
      <c r="A415" s="14" t="s">
        <v>501</v>
      </c>
      <c r="B415" s="15"/>
      <c r="C415" s="15"/>
      <c r="D415" s="15"/>
      <c r="E415" s="5"/>
      <c r="F415" s="5"/>
      <c r="G415" s="3">
        <v>2963.45</v>
      </c>
      <c r="H415" s="18">
        <v>2963.45</v>
      </c>
      <c r="I415" s="19"/>
    </row>
    <row r="416" spans="1:9" x14ac:dyDescent="0.25">
      <c r="A416" s="14" t="s">
        <v>502</v>
      </c>
      <c r="B416" s="15"/>
      <c r="C416" s="15"/>
      <c r="D416" s="15"/>
      <c r="E416" s="5"/>
      <c r="F416" s="5"/>
      <c r="G416" s="3">
        <v>2878.39</v>
      </c>
      <c r="H416" s="18">
        <v>2878.39</v>
      </c>
      <c r="I416" s="19"/>
    </row>
    <row r="417" spans="1:9" x14ac:dyDescent="0.25">
      <c r="A417" s="14" t="s">
        <v>503</v>
      </c>
      <c r="B417" s="15"/>
      <c r="C417" s="15"/>
      <c r="D417" s="15"/>
      <c r="E417" s="3">
        <v>2479.11</v>
      </c>
      <c r="F417" s="5"/>
      <c r="G417" s="3">
        <v>9214.6200000000008</v>
      </c>
      <c r="H417" s="18">
        <v>11693.73</v>
      </c>
      <c r="I417" s="19"/>
    </row>
    <row r="418" spans="1:9" x14ac:dyDescent="0.25">
      <c r="A418" s="14" t="s">
        <v>504</v>
      </c>
      <c r="B418" s="15"/>
      <c r="C418" s="15"/>
      <c r="D418" s="15"/>
      <c r="E418" s="5"/>
      <c r="F418" s="5"/>
      <c r="G418" s="3">
        <v>5309.16</v>
      </c>
      <c r="H418" s="18">
        <v>5309.16</v>
      </c>
      <c r="I418" s="19"/>
    </row>
    <row r="419" spans="1:9" x14ac:dyDescent="0.25">
      <c r="A419" s="14" t="s">
        <v>505</v>
      </c>
      <c r="B419" s="15"/>
      <c r="C419" s="15"/>
      <c r="D419" s="15"/>
      <c r="E419" s="3">
        <v>10614.9</v>
      </c>
      <c r="F419" s="5"/>
      <c r="G419" s="3">
        <v>3252.68</v>
      </c>
      <c r="H419" s="18">
        <v>13867.58</v>
      </c>
      <c r="I419" s="19"/>
    </row>
    <row r="420" spans="1:9" x14ac:dyDescent="0.25">
      <c r="A420" s="14" t="s">
        <v>506</v>
      </c>
      <c r="B420" s="15"/>
      <c r="C420" s="15"/>
      <c r="D420" s="15"/>
      <c r="E420" s="5"/>
      <c r="F420" s="5"/>
      <c r="G420" s="3">
        <v>1505.24</v>
      </c>
      <c r="H420" s="18">
        <v>1505.24</v>
      </c>
      <c r="I420" s="19"/>
    </row>
    <row r="421" spans="1:9" x14ac:dyDescent="0.25">
      <c r="A421" s="14" t="s">
        <v>507</v>
      </c>
      <c r="B421" s="15"/>
      <c r="C421" s="15"/>
      <c r="D421" s="15"/>
      <c r="E421" s="5"/>
      <c r="F421" s="5"/>
      <c r="G421" s="3">
        <v>1511.88</v>
      </c>
      <c r="H421" s="18">
        <v>1511.88</v>
      </c>
      <c r="I421" s="19"/>
    </row>
    <row r="422" spans="1:9" x14ac:dyDescent="0.25">
      <c r="A422" s="14" t="s">
        <v>508</v>
      </c>
      <c r="B422" s="15"/>
      <c r="C422" s="15"/>
      <c r="D422" s="15"/>
      <c r="E422" s="5"/>
      <c r="F422" s="5"/>
      <c r="G422" s="3">
        <v>5504.69</v>
      </c>
      <c r="H422" s="18">
        <v>5504.69</v>
      </c>
      <c r="I422" s="19"/>
    </row>
    <row r="423" spans="1:9" x14ac:dyDescent="0.25">
      <c r="A423" s="14" t="s">
        <v>509</v>
      </c>
      <c r="B423" s="15"/>
      <c r="C423" s="15"/>
      <c r="D423" s="15"/>
      <c r="E423" s="3">
        <v>2270.64</v>
      </c>
      <c r="F423" s="5"/>
      <c r="G423" s="3">
        <v>2314.9499999999998</v>
      </c>
      <c r="H423" s="18">
        <v>4585.59</v>
      </c>
      <c r="I423" s="19"/>
    </row>
    <row r="424" spans="1:9" x14ac:dyDescent="0.25">
      <c r="A424" s="14" t="s">
        <v>510</v>
      </c>
      <c r="B424" s="15"/>
      <c r="C424" s="15"/>
      <c r="D424" s="15"/>
      <c r="E424" s="3">
        <v>1694730.53</v>
      </c>
      <c r="F424" s="4" t="s">
        <v>511</v>
      </c>
      <c r="G424" s="3">
        <v>2670997.94</v>
      </c>
      <c r="H424" s="18">
        <v>4171500.8</v>
      </c>
      <c r="I424" s="19"/>
    </row>
    <row r="425" spans="1:9" x14ac:dyDescent="0.25">
      <c r="A425" s="14" t="s">
        <v>512</v>
      </c>
      <c r="B425" s="15"/>
      <c r="C425" s="15"/>
      <c r="D425" s="15"/>
      <c r="E425" s="5"/>
      <c r="F425" s="5"/>
      <c r="G425" s="3">
        <v>461.56</v>
      </c>
      <c r="H425" s="18">
        <v>461.56</v>
      </c>
      <c r="I425" s="19"/>
    </row>
    <row r="426" spans="1:9" x14ac:dyDescent="0.25">
      <c r="A426" s="14" t="s">
        <v>513</v>
      </c>
      <c r="B426" s="15"/>
      <c r="C426" s="15"/>
      <c r="D426" s="15"/>
      <c r="E426" s="3">
        <v>1050.0899999999999</v>
      </c>
      <c r="F426" s="3">
        <v>10058.379999999999</v>
      </c>
      <c r="G426" s="3">
        <v>9178.4500000000007</v>
      </c>
      <c r="H426" s="18">
        <v>20286.919999999998</v>
      </c>
      <c r="I426" s="19"/>
    </row>
    <row r="427" spans="1:9" x14ac:dyDescent="0.25">
      <c r="A427" s="14" t="s">
        <v>514</v>
      </c>
      <c r="B427" s="15"/>
      <c r="C427" s="15"/>
      <c r="D427" s="15"/>
      <c r="E427" s="5"/>
      <c r="F427" s="5"/>
      <c r="G427" s="4" t="s">
        <v>515</v>
      </c>
      <c r="H427" s="20" t="s">
        <v>515</v>
      </c>
      <c r="I427" s="21"/>
    </row>
    <row r="428" spans="1:9" x14ac:dyDescent="0.25">
      <c r="A428" s="14" t="s">
        <v>516</v>
      </c>
      <c r="B428" s="15"/>
      <c r="C428" s="15"/>
      <c r="D428" s="15"/>
      <c r="E428" s="5"/>
      <c r="F428" s="4" t="s">
        <v>517</v>
      </c>
      <c r="G428" s="3">
        <v>1197.3399999999999</v>
      </c>
      <c r="H428" s="20" t="s">
        <v>518</v>
      </c>
      <c r="I428" s="21"/>
    </row>
    <row r="429" spans="1:9" x14ac:dyDescent="0.25">
      <c r="A429" s="14" t="s">
        <v>519</v>
      </c>
      <c r="B429" s="15"/>
      <c r="C429" s="15"/>
      <c r="D429" s="15"/>
      <c r="E429" s="5"/>
      <c r="F429" s="5"/>
      <c r="G429" s="3">
        <v>2579.5100000000002</v>
      </c>
      <c r="H429" s="18">
        <v>2579.5100000000002</v>
      </c>
      <c r="I429" s="19"/>
    </row>
    <row r="430" spans="1:9" x14ac:dyDescent="0.25">
      <c r="A430" s="14" t="s">
        <v>520</v>
      </c>
      <c r="B430" s="15"/>
      <c r="C430" s="15"/>
      <c r="D430" s="15"/>
      <c r="E430" s="3">
        <v>6349492.0099999998</v>
      </c>
      <c r="F430" s="3">
        <v>3665367.49</v>
      </c>
      <c r="G430" s="3">
        <v>8941016.7100000009</v>
      </c>
      <c r="H430" s="18">
        <v>18955876.210000001</v>
      </c>
      <c r="I430" s="19"/>
    </row>
    <row r="431" spans="1:9" x14ac:dyDescent="0.25">
      <c r="A431" s="14" t="s">
        <v>521</v>
      </c>
      <c r="B431" s="15"/>
      <c r="C431" s="15"/>
      <c r="D431" s="15"/>
      <c r="E431" s="3">
        <v>35554.160000000003</v>
      </c>
      <c r="F431" s="4" t="s">
        <v>522</v>
      </c>
      <c r="G431" s="3">
        <v>50421.89</v>
      </c>
      <c r="H431" s="20" t="s">
        <v>523</v>
      </c>
      <c r="I431" s="21"/>
    </row>
    <row r="432" spans="1:9" x14ac:dyDescent="0.25">
      <c r="A432" s="14" t="s">
        <v>524</v>
      </c>
      <c r="B432" s="15"/>
      <c r="C432" s="15"/>
      <c r="D432" s="15"/>
      <c r="E432" s="3">
        <v>392826.14</v>
      </c>
      <c r="F432" s="3">
        <v>215926.04</v>
      </c>
      <c r="G432" s="3">
        <v>198115.01</v>
      </c>
      <c r="H432" s="18">
        <v>806867.19</v>
      </c>
      <c r="I432" s="19"/>
    </row>
    <row r="433" spans="1:9" x14ac:dyDescent="0.25">
      <c r="A433" s="14" t="s">
        <v>525</v>
      </c>
      <c r="B433" s="15"/>
      <c r="C433" s="15"/>
      <c r="D433" s="15"/>
      <c r="E433" s="3">
        <v>251665.06</v>
      </c>
      <c r="F433" s="3">
        <v>143837.10999999999</v>
      </c>
      <c r="G433" s="3">
        <v>231148.52</v>
      </c>
      <c r="H433" s="18">
        <v>626650.68999999994</v>
      </c>
      <c r="I433" s="19"/>
    </row>
    <row r="434" spans="1:9" x14ac:dyDescent="0.25">
      <c r="A434" s="14" t="s">
        <v>526</v>
      </c>
      <c r="B434" s="15"/>
      <c r="C434" s="15"/>
      <c r="D434" s="15"/>
      <c r="E434" s="3">
        <v>250889.75</v>
      </c>
      <c r="F434" s="3">
        <v>263679.86</v>
      </c>
      <c r="G434" s="3">
        <v>295405.26</v>
      </c>
      <c r="H434" s="18">
        <v>809974.87</v>
      </c>
      <c r="I434" s="19"/>
    </row>
    <row r="435" spans="1:9" x14ac:dyDescent="0.25">
      <c r="A435" s="14" t="s">
        <v>527</v>
      </c>
      <c r="B435" s="15"/>
      <c r="C435" s="15"/>
      <c r="D435" s="15"/>
      <c r="E435" s="3">
        <v>235572.57</v>
      </c>
      <c r="F435" s="3">
        <v>250642.22</v>
      </c>
      <c r="G435" s="3">
        <v>275387.52000000002</v>
      </c>
      <c r="H435" s="18">
        <v>761602.31</v>
      </c>
      <c r="I435" s="19"/>
    </row>
    <row r="436" spans="1:9" x14ac:dyDescent="0.25">
      <c r="A436" s="14" t="s">
        <v>528</v>
      </c>
      <c r="B436" s="15"/>
      <c r="C436" s="15"/>
      <c r="D436" s="15"/>
      <c r="E436" s="3">
        <v>918182.88</v>
      </c>
      <c r="F436" s="3">
        <v>870656.96</v>
      </c>
      <c r="G436" s="3">
        <v>656086.71</v>
      </c>
      <c r="H436" s="18">
        <v>2444926.5499999998</v>
      </c>
      <c r="I436" s="19"/>
    </row>
    <row r="437" spans="1:9" x14ac:dyDescent="0.25">
      <c r="A437" s="14" t="s">
        <v>529</v>
      </c>
      <c r="B437" s="15"/>
      <c r="C437" s="15"/>
      <c r="D437" s="15"/>
      <c r="E437" s="3">
        <v>680346.49</v>
      </c>
      <c r="F437" s="3">
        <v>763496.14</v>
      </c>
      <c r="G437" s="3">
        <v>684777.7</v>
      </c>
      <c r="H437" s="18">
        <v>2128620.33</v>
      </c>
      <c r="I437" s="19"/>
    </row>
    <row r="438" spans="1:9" x14ac:dyDescent="0.25">
      <c r="A438" s="14" t="s">
        <v>530</v>
      </c>
      <c r="B438" s="15"/>
      <c r="C438" s="15"/>
      <c r="D438" s="15"/>
      <c r="E438" s="3">
        <v>819063.88</v>
      </c>
      <c r="F438" s="3">
        <v>864918.88</v>
      </c>
      <c r="G438" s="3">
        <v>785586.12</v>
      </c>
      <c r="H438" s="18">
        <v>2469568.88</v>
      </c>
      <c r="I438" s="19"/>
    </row>
    <row r="439" spans="1:9" x14ac:dyDescent="0.25">
      <c r="A439" s="14" t="s">
        <v>531</v>
      </c>
      <c r="B439" s="15"/>
      <c r="C439" s="15"/>
      <c r="D439" s="15"/>
      <c r="E439" s="3">
        <v>69850.22</v>
      </c>
      <c r="F439" s="3">
        <v>111689.02</v>
      </c>
      <c r="G439" s="3">
        <v>167369.28</v>
      </c>
      <c r="H439" s="18">
        <v>348908.52</v>
      </c>
      <c r="I439" s="19"/>
    </row>
    <row r="440" spans="1:9" x14ac:dyDescent="0.25">
      <c r="A440" s="14" t="s">
        <v>532</v>
      </c>
      <c r="B440" s="15"/>
      <c r="C440" s="15"/>
      <c r="D440" s="15"/>
      <c r="E440" s="3">
        <v>545267.32999999996</v>
      </c>
      <c r="F440" s="3">
        <v>569874</v>
      </c>
      <c r="G440" s="3">
        <v>446515.37</v>
      </c>
      <c r="H440" s="18">
        <v>1561656.7</v>
      </c>
      <c r="I440" s="19"/>
    </row>
    <row r="441" spans="1:9" x14ac:dyDescent="0.25">
      <c r="A441" s="14" t="s">
        <v>533</v>
      </c>
      <c r="B441" s="15"/>
      <c r="C441" s="15"/>
      <c r="D441" s="15"/>
      <c r="E441" s="3">
        <v>39963.660000000003</v>
      </c>
      <c r="F441" s="3">
        <v>373191.73</v>
      </c>
      <c r="G441" s="3">
        <v>111654.11</v>
      </c>
      <c r="H441" s="18">
        <v>524809.5</v>
      </c>
      <c r="I441" s="19"/>
    </row>
    <row r="442" spans="1:9" x14ac:dyDescent="0.25">
      <c r="A442" s="14" t="s">
        <v>534</v>
      </c>
      <c r="B442" s="15"/>
      <c r="C442" s="15"/>
      <c r="D442" s="15"/>
      <c r="E442" s="3">
        <v>249658.85</v>
      </c>
      <c r="F442" s="3">
        <v>326420.61</v>
      </c>
      <c r="G442" s="3">
        <v>339225.36</v>
      </c>
      <c r="H442" s="18">
        <v>915304.82</v>
      </c>
      <c r="I442" s="19"/>
    </row>
    <row r="443" spans="1:9" x14ac:dyDescent="0.25">
      <c r="A443" s="14" t="s">
        <v>535</v>
      </c>
      <c r="B443" s="15"/>
      <c r="C443" s="15"/>
      <c r="D443" s="15"/>
      <c r="E443" s="3">
        <v>426570.18</v>
      </c>
      <c r="F443" s="3">
        <v>376595.01</v>
      </c>
      <c r="G443" s="3">
        <v>900348.49</v>
      </c>
      <c r="H443" s="18">
        <v>1703513.68</v>
      </c>
      <c r="I443" s="19"/>
    </row>
    <row r="444" spans="1:9" x14ac:dyDescent="0.25">
      <c r="A444" s="14" t="s">
        <v>536</v>
      </c>
      <c r="B444" s="15"/>
      <c r="C444" s="15"/>
      <c r="D444" s="15"/>
      <c r="E444" s="3">
        <v>134378.28</v>
      </c>
      <c r="F444" s="3">
        <v>121796.32</v>
      </c>
      <c r="G444" s="3">
        <v>133858.57999999999</v>
      </c>
      <c r="H444" s="18">
        <v>390033.18</v>
      </c>
      <c r="I444" s="19"/>
    </row>
    <row r="445" spans="1:9" x14ac:dyDescent="0.25">
      <c r="A445" s="14" t="s">
        <v>537</v>
      </c>
      <c r="B445" s="15"/>
      <c r="C445" s="15"/>
      <c r="D445" s="15"/>
      <c r="E445" s="3">
        <v>94769.53</v>
      </c>
      <c r="F445" s="3">
        <v>140968.73000000001</v>
      </c>
      <c r="G445" s="3">
        <v>59050.18</v>
      </c>
      <c r="H445" s="18">
        <v>294788.44</v>
      </c>
      <c r="I445" s="19"/>
    </row>
    <row r="446" spans="1:9" x14ac:dyDescent="0.25">
      <c r="A446" s="14" t="s">
        <v>538</v>
      </c>
      <c r="B446" s="15"/>
      <c r="C446" s="15"/>
      <c r="D446" s="15"/>
      <c r="E446" s="3">
        <v>131037.11</v>
      </c>
      <c r="F446" s="3">
        <v>126797.77</v>
      </c>
      <c r="G446" s="3">
        <v>211444.98</v>
      </c>
      <c r="H446" s="18">
        <v>469279.86</v>
      </c>
      <c r="I446" s="19"/>
    </row>
    <row r="447" spans="1:9" x14ac:dyDescent="0.25">
      <c r="A447" s="14" t="s">
        <v>539</v>
      </c>
      <c r="B447" s="15"/>
      <c r="C447" s="15"/>
      <c r="D447" s="15"/>
      <c r="E447" s="3">
        <v>494557.1</v>
      </c>
      <c r="F447" s="3">
        <v>354114.16</v>
      </c>
      <c r="G447" s="3">
        <v>357164.7</v>
      </c>
      <c r="H447" s="18">
        <v>1205835.96</v>
      </c>
      <c r="I447" s="19"/>
    </row>
    <row r="448" spans="1:9" x14ac:dyDescent="0.25">
      <c r="A448" s="14" t="s">
        <v>540</v>
      </c>
      <c r="B448" s="15"/>
      <c r="C448" s="15"/>
      <c r="D448" s="15"/>
      <c r="E448" s="3">
        <v>178289.26</v>
      </c>
      <c r="F448" s="3">
        <v>156446.89000000001</v>
      </c>
      <c r="G448" s="3">
        <v>159530.10999999999</v>
      </c>
      <c r="H448" s="18">
        <v>494266.26</v>
      </c>
      <c r="I448" s="19"/>
    </row>
    <row r="449" spans="1:9" x14ac:dyDescent="0.25">
      <c r="A449" s="14" t="s">
        <v>541</v>
      </c>
      <c r="B449" s="15"/>
      <c r="C449" s="15"/>
      <c r="D449" s="15"/>
      <c r="E449" s="3">
        <v>131435.37</v>
      </c>
      <c r="F449" s="3">
        <v>262547.83</v>
      </c>
      <c r="G449" s="3">
        <v>81624.320000000007</v>
      </c>
      <c r="H449" s="18">
        <v>475607.52</v>
      </c>
      <c r="I449" s="19"/>
    </row>
    <row r="450" spans="1:9" x14ac:dyDescent="0.25">
      <c r="A450" s="14" t="s">
        <v>542</v>
      </c>
      <c r="B450" s="15"/>
      <c r="C450" s="15"/>
      <c r="D450" s="15"/>
      <c r="E450" s="3">
        <v>194922.85</v>
      </c>
      <c r="F450" s="3">
        <v>342040.82</v>
      </c>
      <c r="G450" s="3">
        <v>206633.81</v>
      </c>
      <c r="H450" s="18">
        <v>743597.48</v>
      </c>
      <c r="I450" s="19"/>
    </row>
    <row r="451" spans="1:9" x14ac:dyDescent="0.25">
      <c r="A451" s="14" t="s">
        <v>543</v>
      </c>
      <c r="B451" s="15"/>
      <c r="C451" s="15"/>
      <c r="D451" s="15"/>
      <c r="E451" s="3">
        <v>563326.18000000005</v>
      </c>
      <c r="F451" s="3">
        <v>538087.81999999995</v>
      </c>
      <c r="G451" s="3">
        <v>484612.51</v>
      </c>
      <c r="H451" s="18">
        <v>1586026.51</v>
      </c>
      <c r="I451" s="19"/>
    </row>
    <row r="452" spans="1:9" x14ac:dyDescent="0.25">
      <c r="A452" s="14" t="s">
        <v>544</v>
      </c>
      <c r="B452" s="15"/>
      <c r="C452" s="15"/>
      <c r="D452" s="15"/>
      <c r="E452" s="3">
        <v>246355.88</v>
      </c>
      <c r="F452" s="3">
        <v>74301.16</v>
      </c>
      <c r="G452" s="3">
        <v>282611.07</v>
      </c>
      <c r="H452" s="18">
        <v>603268.11</v>
      </c>
      <c r="I452" s="19"/>
    </row>
    <row r="453" spans="1:9" x14ac:dyDescent="0.25">
      <c r="A453" s="14" t="s">
        <v>545</v>
      </c>
      <c r="B453" s="15"/>
      <c r="C453" s="15"/>
      <c r="D453" s="15"/>
      <c r="E453" s="3">
        <v>290830.56</v>
      </c>
      <c r="F453" s="3">
        <v>233065.13</v>
      </c>
      <c r="G453" s="3">
        <v>319980.36</v>
      </c>
      <c r="H453" s="18">
        <v>843876.05</v>
      </c>
      <c r="I453" s="19"/>
    </row>
    <row r="454" spans="1:9" x14ac:dyDescent="0.25">
      <c r="A454" s="14" t="s">
        <v>546</v>
      </c>
      <c r="B454" s="15"/>
      <c r="C454" s="15"/>
      <c r="D454" s="15"/>
      <c r="E454" s="3">
        <v>451379.91</v>
      </c>
      <c r="F454" s="3">
        <v>227097.3</v>
      </c>
      <c r="G454" s="3">
        <v>470376.1</v>
      </c>
      <c r="H454" s="18">
        <v>1148853.31</v>
      </c>
      <c r="I454" s="19"/>
    </row>
    <row r="455" spans="1:9" x14ac:dyDescent="0.25">
      <c r="A455" s="14" t="s">
        <v>547</v>
      </c>
      <c r="B455" s="15"/>
      <c r="C455" s="15"/>
      <c r="D455" s="15"/>
      <c r="E455" s="3">
        <v>326010.13</v>
      </c>
      <c r="F455" s="3">
        <v>303269.26</v>
      </c>
      <c r="G455" s="3">
        <v>320938.46000000002</v>
      </c>
      <c r="H455" s="18">
        <v>950217.85</v>
      </c>
      <c r="I455" s="19"/>
    </row>
    <row r="456" spans="1:9" x14ac:dyDescent="0.25">
      <c r="A456" s="14" t="s">
        <v>548</v>
      </c>
      <c r="B456" s="15"/>
      <c r="C456" s="15"/>
      <c r="D456" s="15"/>
      <c r="E456" s="3">
        <v>152156.28</v>
      </c>
      <c r="F456" s="3">
        <v>12383.17</v>
      </c>
      <c r="G456" s="3">
        <v>233944.05</v>
      </c>
      <c r="H456" s="18">
        <v>398483.5</v>
      </c>
      <c r="I456" s="19"/>
    </row>
    <row r="457" spans="1:9" x14ac:dyDescent="0.25">
      <c r="A457" s="14" t="s">
        <v>549</v>
      </c>
      <c r="B457" s="15"/>
      <c r="C457" s="15"/>
      <c r="D457" s="15"/>
      <c r="E457" s="3">
        <v>87866.86</v>
      </c>
      <c r="F457" s="3">
        <v>241031.55</v>
      </c>
      <c r="G457" s="3">
        <v>127208.12</v>
      </c>
      <c r="H457" s="18">
        <v>456106.53</v>
      </c>
      <c r="I457" s="19"/>
    </row>
    <row r="458" spans="1:9" x14ac:dyDescent="0.25">
      <c r="A458" s="14" t="s">
        <v>550</v>
      </c>
      <c r="B458" s="15"/>
      <c r="C458" s="15"/>
      <c r="D458" s="15"/>
      <c r="E458" s="3">
        <v>493603.16</v>
      </c>
      <c r="F458" s="3">
        <v>472570.24</v>
      </c>
      <c r="G458" s="3">
        <v>689759.64</v>
      </c>
      <c r="H458" s="18">
        <v>1655933.04</v>
      </c>
      <c r="I458" s="19"/>
    </row>
    <row r="459" spans="1:9" x14ac:dyDescent="0.25">
      <c r="A459" s="14" t="s">
        <v>551</v>
      </c>
      <c r="B459" s="15"/>
      <c r="C459" s="15"/>
      <c r="D459" s="15"/>
      <c r="E459" s="3">
        <v>268185.34000000003</v>
      </c>
      <c r="F459" s="3">
        <v>251777.2</v>
      </c>
      <c r="G459" s="3">
        <v>363861.7</v>
      </c>
      <c r="H459" s="18">
        <v>883824.24</v>
      </c>
      <c r="I459" s="19"/>
    </row>
    <row r="460" spans="1:9" x14ac:dyDescent="0.25">
      <c r="A460" s="14" t="s">
        <v>552</v>
      </c>
      <c r="B460" s="15"/>
      <c r="C460" s="15"/>
      <c r="D460" s="15"/>
      <c r="E460" s="3">
        <v>142127.94</v>
      </c>
      <c r="F460" s="3">
        <v>85164.83</v>
      </c>
      <c r="G460" s="3">
        <v>106795.67</v>
      </c>
      <c r="H460" s="18">
        <v>334088.44</v>
      </c>
      <c r="I460" s="19"/>
    </row>
    <row r="461" spans="1:9" x14ac:dyDescent="0.25">
      <c r="A461" s="14" t="s">
        <v>553</v>
      </c>
      <c r="B461" s="15"/>
      <c r="C461" s="15"/>
      <c r="D461" s="15"/>
      <c r="E461" s="3">
        <v>638463.96</v>
      </c>
      <c r="F461" s="3">
        <v>536527.65</v>
      </c>
      <c r="G461" s="3">
        <v>761020.59</v>
      </c>
      <c r="H461" s="18">
        <v>1936012.2</v>
      </c>
      <c r="I461" s="19"/>
    </row>
    <row r="462" spans="1:9" x14ac:dyDescent="0.25">
      <c r="A462" s="14" t="s">
        <v>554</v>
      </c>
      <c r="B462" s="15"/>
      <c r="C462" s="15"/>
      <c r="D462" s="15"/>
      <c r="E462" s="3">
        <v>125357.99</v>
      </c>
      <c r="F462" s="3">
        <v>110672.89</v>
      </c>
      <c r="G462" s="3">
        <v>163105.98000000001</v>
      </c>
      <c r="H462" s="18">
        <v>399136.86</v>
      </c>
      <c r="I462" s="19"/>
    </row>
    <row r="463" spans="1:9" x14ac:dyDescent="0.25">
      <c r="A463" s="14" t="s">
        <v>555</v>
      </c>
      <c r="B463" s="15"/>
      <c r="C463" s="15"/>
      <c r="D463" s="15"/>
      <c r="E463" s="5"/>
      <c r="F463" s="3">
        <v>2539.42</v>
      </c>
      <c r="G463" s="5"/>
      <c r="H463" s="18">
        <v>2539.42</v>
      </c>
      <c r="I463" s="19"/>
    </row>
    <row r="464" spans="1:9" x14ac:dyDescent="0.25">
      <c r="A464" s="14" t="s">
        <v>556</v>
      </c>
      <c r="B464" s="15"/>
      <c r="C464" s="15"/>
      <c r="D464" s="15"/>
      <c r="E464" s="3">
        <v>109390.63</v>
      </c>
      <c r="F464" s="3">
        <v>68217.72</v>
      </c>
      <c r="G464" s="3">
        <v>144061.14000000001</v>
      </c>
      <c r="H464" s="18">
        <v>321669.49</v>
      </c>
      <c r="I464" s="19"/>
    </row>
    <row r="465" spans="1:9" x14ac:dyDescent="0.25">
      <c r="A465" s="14" t="s">
        <v>557</v>
      </c>
      <c r="B465" s="15"/>
      <c r="C465" s="15"/>
      <c r="D465" s="15"/>
      <c r="E465" s="3">
        <v>165436.42000000001</v>
      </c>
      <c r="F465" s="3">
        <v>238132.49</v>
      </c>
      <c r="G465" s="3">
        <v>216287.53</v>
      </c>
      <c r="H465" s="18">
        <v>619856.43999999994</v>
      </c>
      <c r="I465" s="19"/>
    </row>
    <row r="466" spans="1:9" x14ac:dyDescent="0.25">
      <c r="A466" s="14" t="s">
        <v>558</v>
      </c>
      <c r="B466" s="15"/>
      <c r="C466" s="15"/>
      <c r="D466" s="15"/>
      <c r="E466" s="3">
        <v>57859.01</v>
      </c>
      <c r="F466" s="3">
        <v>55653.57</v>
      </c>
      <c r="G466" s="3">
        <v>79752.429999999993</v>
      </c>
      <c r="H466" s="18">
        <v>193265.01</v>
      </c>
      <c r="I466" s="19"/>
    </row>
    <row r="467" spans="1:9" x14ac:dyDescent="0.25">
      <c r="A467" s="14" t="s">
        <v>559</v>
      </c>
      <c r="B467" s="15"/>
      <c r="C467" s="15"/>
      <c r="D467" s="15"/>
      <c r="E467" s="3">
        <v>118390.06</v>
      </c>
      <c r="F467" s="3">
        <v>76351.53</v>
      </c>
      <c r="G467" s="3">
        <v>108916.32</v>
      </c>
      <c r="H467" s="18">
        <v>303657.90999999997</v>
      </c>
      <c r="I467" s="19"/>
    </row>
    <row r="468" spans="1:9" x14ac:dyDescent="0.25">
      <c r="A468" s="14" t="s">
        <v>560</v>
      </c>
      <c r="B468" s="15"/>
      <c r="C468" s="15"/>
      <c r="D468" s="15"/>
      <c r="E468" s="3">
        <v>135778.78</v>
      </c>
      <c r="F468" s="3">
        <v>131756.10999999999</v>
      </c>
      <c r="G468" s="3">
        <v>164102.06</v>
      </c>
      <c r="H468" s="18">
        <v>431636.95</v>
      </c>
      <c r="I468" s="19"/>
    </row>
    <row r="469" spans="1:9" x14ac:dyDescent="0.25">
      <c r="A469" s="14" t="s">
        <v>561</v>
      </c>
      <c r="B469" s="15"/>
      <c r="C469" s="15"/>
      <c r="D469" s="15"/>
      <c r="E469" s="3">
        <v>55173.69</v>
      </c>
      <c r="F469" s="3">
        <v>35630.61</v>
      </c>
      <c r="G469" s="3">
        <v>35687.440000000002</v>
      </c>
      <c r="H469" s="18">
        <v>126491.74</v>
      </c>
      <c r="I469" s="19"/>
    </row>
    <row r="470" spans="1:9" x14ac:dyDescent="0.25">
      <c r="A470" s="14" t="s">
        <v>562</v>
      </c>
      <c r="B470" s="15"/>
      <c r="C470" s="15"/>
      <c r="D470" s="15"/>
      <c r="E470" s="3">
        <v>404335.12</v>
      </c>
      <c r="F470" s="3">
        <v>289893.03000000003</v>
      </c>
      <c r="G470" s="3">
        <v>228347.77</v>
      </c>
      <c r="H470" s="18">
        <v>922575.92</v>
      </c>
      <c r="I470" s="19"/>
    </row>
    <row r="471" spans="1:9" x14ac:dyDescent="0.25">
      <c r="A471" s="14" t="s">
        <v>563</v>
      </c>
      <c r="B471" s="15"/>
      <c r="C471" s="15"/>
      <c r="D471" s="15"/>
      <c r="E471" s="3">
        <v>254727.7</v>
      </c>
      <c r="F471" s="3">
        <v>167865.5</v>
      </c>
      <c r="G471" s="3">
        <v>200628.84</v>
      </c>
      <c r="H471" s="18">
        <v>623222.04</v>
      </c>
      <c r="I471" s="19"/>
    </row>
    <row r="472" spans="1:9" x14ac:dyDescent="0.25">
      <c r="A472" s="14" t="s">
        <v>564</v>
      </c>
      <c r="B472" s="15"/>
      <c r="C472" s="15"/>
      <c r="D472" s="15"/>
      <c r="E472" s="3">
        <v>52106.54</v>
      </c>
      <c r="F472" s="3">
        <v>594.95000000000005</v>
      </c>
      <c r="G472" s="3">
        <v>29401.38</v>
      </c>
      <c r="H472" s="18">
        <v>82102.87</v>
      </c>
      <c r="I472" s="19"/>
    </row>
    <row r="473" spans="1:9" x14ac:dyDescent="0.25">
      <c r="A473" s="14" t="s">
        <v>565</v>
      </c>
      <c r="B473" s="15"/>
      <c r="C473" s="15"/>
      <c r="D473" s="15"/>
      <c r="E473" s="3">
        <v>50705.74</v>
      </c>
      <c r="F473" s="3">
        <v>1586.53</v>
      </c>
      <c r="G473" s="3">
        <v>32658.39</v>
      </c>
      <c r="H473" s="18">
        <v>84950.66</v>
      </c>
      <c r="I473" s="19"/>
    </row>
    <row r="474" spans="1:9" x14ac:dyDescent="0.25">
      <c r="A474" s="14" t="s">
        <v>566</v>
      </c>
      <c r="B474" s="15"/>
      <c r="C474" s="15"/>
      <c r="D474" s="15"/>
      <c r="E474" s="3">
        <v>1188838.99</v>
      </c>
      <c r="F474" s="3">
        <v>1455358.18</v>
      </c>
      <c r="G474" s="3">
        <v>1228749.8</v>
      </c>
      <c r="H474" s="18">
        <v>3872946.97</v>
      </c>
      <c r="I474" s="19"/>
    </row>
    <row r="475" spans="1:9" x14ac:dyDescent="0.25">
      <c r="A475" s="14" t="s">
        <v>567</v>
      </c>
      <c r="B475" s="15"/>
      <c r="C475" s="15"/>
      <c r="D475" s="15"/>
      <c r="E475" s="3">
        <v>102918.98</v>
      </c>
      <c r="F475" s="3">
        <v>61443.94</v>
      </c>
      <c r="G475" s="3">
        <v>111023.93</v>
      </c>
      <c r="H475" s="18">
        <v>275386.84999999998</v>
      </c>
      <c r="I475" s="19"/>
    </row>
    <row r="476" spans="1:9" x14ac:dyDescent="0.25">
      <c r="A476" s="14" t="s">
        <v>568</v>
      </c>
      <c r="B476" s="15"/>
      <c r="C476" s="15"/>
      <c r="D476" s="15"/>
      <c r="E476" s="3">
        <v>51817.94</v>
      </c>
      <c r="F476" s="3">
        <v>56736.24</v>
      </c>
      <c r="G476" s="3">
        <v>75454.31</v>
      </c>
      <c r="H476" s="18">
        <v>184008.49</v>
      </c>
      <c r="I476" s="19"/>
    </row>
    <row r="477" spans="1:9" x14ac:dyDescent="0.25">
      <c r="A477" s="14" t="s">
        <v>569</v>
      </c>
      <c r="B477" s="15"/>
      <c r="C477" s="15"/>
      <c r="D477" s="15"/>
      <c r="E477" s="3">
        <v>242051.89</v>
      </c>
      <c r="F477" s="3">
        <v>129577.31</v>
      </c>
      <c r="G477" s="3">
        <v>170240.11</v>
      </c>
      <c r="H477" s="18">
        <v>541869.31000000006</v>
      </c>
      <c r="I477" s="19"/>
    </row>
    <row r="478" spans="1:9" x14ac:dyDescent="0.25">
      <c r="A478" s="14" t="s">
        <v>570</v>
      </c>
      <c r="B478" s="15"/>
      <c r="C478" s="15"/>
      <c r="D478" s="15"/>
      <c r="E478" s="3">
        <v>1318826.19</v>
      </c>
      <c r="F478" s="3">
        <v>1542986.26</v>
      </c>
      <c r="G478" s="3">
        <v>1684280.82</v>
      </c>
      <c r="H478" s="18">
        <v>4546093.2699999996</v>
      </c>
      <c r="I478" s="19"/>
    </row>
    <row r="479" spans="1:9" x14ac:dyDescent="0.25">
      <c r="A479" s="14" t="s">
        <v>571</v>
      </c>
      <c r="B479" s="15"/>
      <c r="C479" s="15"/>
      <c r="D479" s="15"/>
      <c r="E479" s="3">
        <v>102966.56</v>
      </c>
      <c r="F479" s="3">
        <v>70627.44</v>
      </c>
      <c r="G479" s="3">
        <v>84820.34</v>
      </c>
      <c r="H479" s="18">
        <v>258414.34</v>
      </c>
      <c r="I479" s="19"/>
    </row>
    <row r="480" spans="1:9" x14ac:dyDescent="0.25">
      <c r="A480" s="14" t="s">
        <v>572</v>
      </c>
      <c r="B480" s="15"/>
      <c r="C480" s="15"/>
      <c r="D480" s="15"/>
      <c r="E480" s="3">
        <v>166903.85999999999</v>
      </c>
      <c r="F480" s="3">
        <v>44556.45</v>
      </c>
      <c r="G480" s="3">
        <v>143917.21</v>
      </c>
      <c r="H480" s="18">
        <v>355377.52</v>
      </c>
      <c r="I480" s="19"/>
    </row>
    <row r="481" spans="1:9" x14ac:dyDescent="0.25">
      <c r="A481" s="14" t="s">
        <v>573</v>
      </c>
      <c r="B481" s="15"/>
      <c r="C481" s="15"/>
      <c r="D481" s="15"/>
      <c r="E481" s="3">
        <v>189713.61</v>
      </c>
      <c r="F481" s="3">
        <v>105798.91</v>
      </c>
      <c r="G481" s="3">
        <v>172892.78</v>
      </c>
      <c r="H481" s="18">
        <v>468405.3</v>
      </c>
      <c r="I481" s="19"/>
    </row>
    <row r="482" spans="1:9" x14ac:dyDescent="0.25">
      <c r="A482" s="14" t="s">
        <v>574</v>
      </c>
      <c r="B482" s="15"/>
      <c r="C482" s="15"/>
      <c r="D482" s="15"/>
      <c r="E482" s="3">
        <v>74683.03</v>
      </c>
      <c r="F482" s="3">
        <v>130754.87</v>
      </c>
      <c r="G482" s="3">
        <v>50431.34</v>
      </c>
      <c r="H482" s="18">
        <v>255869.24</v>
      </c>
      <c r="I482" s="19"/>
    </row>
    <row r="483" spans="1:9" x14ac:dyDescent="0.25">
      <c r="A483" s="14" t="s">
        <v>575</v>
      </c>
      <c r="B483" s="15"/>
      <c r="C483" s="15"/>
      <c r="D483" s="15"/>
      <c r="E483" s="3">
        <v>2048.1999999999998</v>
      </c>
      <c r="F483" s="3">
        <v>1727.56</v>
      </c>
      <c r="G483" s="3">
        <v>1755.71</v>
      </c>
      <c r="H483" s="18">
        <v>5531.47</v>
      </c>
      <c r="I483" s="19"/>
    </row>
    <row r="484" spans="1:9" x14ac:dyDescent="0.25">
      <c r="A484" s="14" t="s">
        <v>576</v>
      </c>
      <c r="B484" s="15"/>
      <c r="C484" s="15"/>
      <c r="D484" s="15"/>
      <c r="E484" s="3">
        <v>34179.03</v>
      </c>
      <c r="F484" s="3">
        <v>63909.36</v>
      </c>
      <c r="G484" s="3">
        <v>28522.38</v>
      </c>
      <c r="H484" s="18">
        <v>126610.77</v>
      </c>
      <c r="I484" s="19"/>
    </row>
    <row r="485" spans="1:9" x14ac:dyDescent="0.25">
      <c r="A485" s="14" t="s">
        <v>577</v>
      </c>
      <c r="B485" s="15"/>
      <c r="C485" s="15"/>
      <c r="D485" s="15"/>
      <c r="E485" s="3">
        <v>33537.97</v>
      </c>
      <c r="F485" s="3">
        <v>17991.099999999999</v>
      </c>
      <c r="G485" s="3">
        <v>10623.08</v>
      </c>
      <c r="H485" s="18">
        <v>62152.15</v>
      </c>
      <c r="I485" s="19"/>
    </row>
    <row r="486" spans="1:9" x14ac:dyDescent="0.25">
      <c r="A486" s="14" t="s">
        <v>578</v>
      </c>
      <c r="B486" s="15"/>
      <c r="C486" s="15"/>
      <c r="D486" s="15"/>
      <c r="E486" s="3">
        <v>107569.29</v>
      </c>
      <c r="F486" s="3">
        <v>56010.07</v>
      </c>
      <c r="G486" s="3">
        <v>167330.76999999999</v>
      </c>
      <c r="H486" s="18">
        <v>330910.13</v>
      </c>
      <c r="I486" s="19"/>
    </row>
    <row r="487" spans="1:9" x14ac:dyDescent="0.25">
      <c r="A487" s="14" t="s">
        <v>579</v>
      </c>
      <c r="B487" s="15"/>
      <c r="C487" s="15"/>
      <c r="D487" s="15"/>
      <c r="E487" s="3">
        <v>25168.799999999999</v>
      </c>
      <c r="F487" s="3">
        <v>18522.55</v>
      </c>
      <c r="G487" s="3">
        <v>35690.230000000003</v>
      </c>
      <c r="H487" s="18">
        <v>79381.58</v>
      </c>
      <c r="I487" s="19"/>
    </row>
    <row r="488" spans="1:9" x14ac:dyDescent="0.25">
      <c r="A488" s="14" t="s">
        <v>580</v>
      </c>
      <c r="B488" s="15"/>
      <c r="C488" s="15"/>
      <c r="D488" s="15"/>
      <c r="E488" s="3">
        <v>1677671.98</v>
      </c>
      <c r="F488" s="3">
        <v>3317342.69</v>
      </c>
      <c r="G488" s="3">
        <v>1402425.36</v>
      </c>
      <c r="H488" s="18">
        <v>6397440.0300000003</v>
      </c>
      <c r="I488" s="19"/>
    </row>
    <row r="489" spans="1:9" x14ac:dyDescent="0.25">
      <c r="A489" s="14" t="s">
        <v>581</v>
      </c>
      <c r="B489" s="15"/>
      <c r="C489" s="15"/>
      <c r="D489" s="15"/>
      <c r="E489" s="3">
        <v>30246.36</v>
      </c>
      <c r="F489" s="5"/>
      <c r="G489" s="3">
        <v>22822.2</v>
      </c>
      <c r="H489" s="18">
        <v>53068.56</v>
      </c>
      <c r="I489" s="19"/>
    </row>
    <row r="490" spans="1:9" x14ac:dyDescent="0.25">
      <c r="A490" s="14" t="s">
        <v>582</v>
      </c>
      <c r="B490" s="15"/>
      <c r="C490" s="15"/>
      <c r="D490" s="15"/>
      <c r="E490" s="3">
        <v>184522.32</v>
      </c>
      <c r="F490" s="3">
        <v>64253.81</v>
      </c>
      <c r="G490" s="3">
        <v>228327.4</v>
      </c>
      <c r="H490" s="18">
        <v>477103.53</v>
      </c>
      <c r="I490" s="19"/>
    </row>
    <row r="491" spans="1:9" x14ac:dyDescent="0.25">
      <c r="A491" s="14" t="s">
        <v>583</v>
      </c>
      <c r="B491" s="15"/>
      <c r="C491" s="15"/>
      <c r="D491" s="15"/>
      <c r="E491" s="3">
        <v>208315.75</v>
      </c>
      <c r="F491" s="3">
        <v>87516.4</v>
      </c>
      <c r="G491" s="3">
        <v>245592.86</v>
      </c>
      <c r="H491" s="18">
        <v>541425.01</v>
      </c>
      <c r="I491" s="19"/>
    </row>
    <row r="492" spans="1:9" x14ac:dyDescent="0.25">
      <c r="A492" s="14" t="s">
        <v>584</v>
      </c>
      <c r="B492" s="15"/>
      <c r="C492" s="15"/>
      <c r="D492" s="15"/>
      <c r="E492" s="3">
        <v>144567.45000000001</v>
      </c>
      <c r="F492" s="3">
        <v>82396.210000000006</v>
      </c>
      <c r="G492" s="3">
        <v>223139.94</v>
      </c>
      <c r="H492" s="18">
        <v>450103.6</v>
      </c>
      <c r="I492" s="19"/>
    </row>
    <row r="493" spans="1:9" x14ac:dyDescent="0.25">
      <c r="A493" s="14" t="s">
        <v>585</v>
      </c>
      <c r="B493" s="15"/>
      <c r="C493" s="15"/>
      <c r="D493" s="15"/>
      <c r="E493" s="3">
        <v>686230.86</v>
      </c>
      <c r="F493" s="3">
        <v>244169.17</v>
      </c>
      <c r="G493" s="3">
        <v>701754.18</v>
      </c>
      <c r="H493" s="18">
        <v>1632154.21</v>
      </c>
      <c r="I493" s="19"/>
    </row>
    <row r="494" spans="1:9" x14ac:dyDescent="0.25">
      <c r="A494" s="14" t="s">
        <v>586</v>
      </c>
      <c r="B494" s="15"/>
      <c r="C494" s="15"/>
      <c r="D494" s="15"/>
      <c r="E494" s="3">
        <v>273246.02</v>
      </c>
      <c r="F494" s="3">
        <v>52884.59</v>
      </c>
      <c r="G494" s="3">
        <v>264598.12</v>
      </c>
      <c r="H494" s="18">
        <v>590728.73</v>
      </c>
      <c r="I494" s="19"/>
    </row>
    <row r="495" spans="1:9" x14ac:dyDescent="0.25">
      <c r="A495" s="14" t="s">
        <v>587</v>
      </c>
      <c r="B495" s="15"/>
      <c r="C495" s="15"/>
      <c r="D495" s="15"/>
      <c r="E495" s="3">
        <v>438356.95</v>
      </c>
      <c r="F495" s="3">
        <v>1237.0700000000199</v>
      </c>
      <c r="G495" s="3">
        <v>550097.27</v>
      </c>
      <c r="H495" s="18">
        <v>989691.29</v>
      </c>
      <c r="I495" s="19"/>
    </row>
    <row r="496" spans="1:9" x14ac:dyDescent="0.25">
      <c r="A496" s="14" t="s">
        <v>588</v>
      </c>
      <c r="B496" s="15"/>
      <c r="C496" s="15"/>
      <c r="D496" s="15"/>
      <c r="E496" s="3">
        <v>432565.64</v>
      </c>
      <c r="F496" s="3">
        <v>181685.14</v>
      </c>
      <c r="G496" s="3">
        <v>370616.42</v>
      </c>
      <c r="H496" s="18">
        <v>984867.2</v>
      </c>
      <c r="I496" s="19"/>
    </row>
    <row r="497" spans="1:9" x14ac:dyDescent="0.25">
      <c r="A497" s="14" t="s">
        <v>589</v>
      </c>
      <c r="B497" s="15"/>
      <c r="C497" s="15"/>
      <c r="D497" s="15"/>
      <c r="E497" s="3">
        <v>25430.89</v>
      </c>
      <c r="F497" s="3">
        <v>13815.99</v>
      </c>
      <c r="G497" s="3">
        <v>21177.32</v>
      </c>
      <c r="H497" s="18">
        <v>60424.2</v>
      </c>
      <c r="I497" s="19"/>
    </row>
    <row r="498" spans="1:9" x14ac:dyDescent="0.25">
      <c r="A498" s="14" t="s">
        <v>590</v>
      </c>
      <c r="B498" s="15"/>
      <c r="C498" s="15"/>
      <c r="D498" s="15"/>
      <c r="E498" s="4" t="s">
        <v>591</v>
      </c>
      <c r="F498" s="4" t="s">
        <v>592</v>
      </c>
      <c r="G498" s="3">
        <v>8403.58</v>
      </c>
      <c r="H498" s="20" t="s">
        <v>593</v>
      </c>
      <c r="I498" s="21"/>
    </row>
    <row r="499" spans="1:9" x14ac:dyDescent="0.25">
      <c r="A499" s="14" t="s">
        <v>594</v>
      </c>
      <c r="B499" s="15"/>
      <c r="C499" s="15"/>
      <c r="D499" s="15"/>
      <c r="E499" s="5"/>
      <c r="F499" s="3">
        <v>2189.6799999999998</v>
      </c>
      <c r="G499" s="3">
        <v>1422.67</v>
      </c>
      <c r="H499" s="18">
        <v>3612.35</v>
      </c>
      <c r="I499" s="19"/>
    </row>
    <row r="500" spans="1:9" x14ac:dyDescent="0.25">
      <c r="A500" s="14" t="s">
        <v>595</v>
      </c>
      <c r="B500" s="15"/>
      <c r="C500" s="15"/>
      <c r="D500" s="15"/>
      <c r="E500" s="3">
        <v>37002.239999999998</v>
      </c>
      <c r="F500" s="3">
        <v>6959.69</v>
      </c>
      <c r="G500" s="3">
        <v>4987.78</v>
      </c>
      <c r="H500" s="18">
        <v>48949.71</v>
      </c>
      <c r="I500" s="19"/>
    </row>
    <row r="501" spans="1:9" x14ac:dyDescent="0.25">
      <c r="A501" s="14" t="s">
        <v>596</v>
      </c>
      <c r="B501" s="15"/>
      <c r="C501" s="15"/>
      <c r="D501" s="15"/>
      <c r="E501" s="3">
        <v>492872.41</v>
      </c>
      <c r="F501" s="3">
        <v>183653.97</v>
      </c>
      <c r="G501" s="3">
        <v>687027.17</v>
      </c>
      <c r="H501" s="18">
        <v>1363553.55</v>
      </c>
      <c r="I501" s="19"/>
    </row>
    <row r="502" spans="1:9" x14ac:dyDescent="0.25">
      <c r="A502" s="14" t="s">
        <v>597</v>
      </c>
      <c r="B502" s="15"/>
      <c r="C502" s="15"/>
      <c r="D502" s="15"/>
      <c r="E502" s="3">
        <v>1056354.8899999999</v>
      </c>
      <c r="F502" s="3">
        <v>391428.48</v>
      </c>
      <c r="G502" s="3">
        <v>773895.52</v>
      </c>
      <c r="H502" s="18">
        <v>2221678.89</v>
      </c>
      <c r="I502" s="19"/>
    </row>
    <row r="503" spans="1:9" x14ac:dyDescent="0.25">
      <c r="A503" s="14" t="s">
        <v>598</v>
      </c>
      <c r="B503" s="15"/>
      <c r="C503" s="15"/>
      <c r="D503" s="15"/>
      <c r="E503" s="3">
        <v>72082.47</v>
      </c>
      <c r="F503" s="3">
        <v>40374.11</v>
      </c>
      <c r="G503" s="3">
        <v>42318.63</v>
      </c>
      <c r="H503" s="18">
        <v>154775.21</v>
      </c>
      <c r="I503" s="19"/>
    </row>
    <row r="504" spans="1:9" x14ac:dyDescent="0.25">
      <c r="A504" s="14" t="s">
        <v>599</v>
      </c>
      <c r="B504" s="15"/>
      <c r="C504" s="15"/>
      <c r="D504" s="15"/>
      <c r="E504" s="3">
        <v>133718.70000000001</v>
      </c>
      <c r="F504" s="3">
        <v>53347.58</v>
      </c>
      <c r="G504" s="3">
        <v>86364.54</v>
      </c>
      <c r="H504" s="18">
        <v>273430.82</v>
      </c>
      <c r="I504" s="19"/>
    </row>
    <row r="505" spans="1:9" x14ac:dyDescent="0.25">
      <c r="A505" s="14" t="s">
        <v>600</v>
      </c>
      <c r="B505" s="15"/>
      <c r="C505" s="15"/>
      <c r="D505" s="15"/>
      <c r="E505" s="3">
        <v>182529.49</v>
      </c>
      <c r="F505" s="3">
        <v>76073.070000000007</v>
      </c>
      <c r="G505" s="3">
        <v>235665.4</v>
      </c>
      <c r="H505" s="18">
        <v>494267.96</v>
      </c>
      <c r="I505" s="19"/>
    </row>
    <row r="506" spans="1:9" x14ac:dyDescent="0.25">
      <c r="A506" s="14" t="s">
        <v>601</v>
      </c>
      <c r="B506" s="15"/>
      <c r="C506" s="15"/>
      <c r="D506" s="15"/>
      <c r="E506" s="3">
        <v>295160.7</v>
      </c>
      <c r="F506" s="3">
        <v>156521.06</v>
      </c>
      <c r="G506" s="3">
        <v>287414.37</v>
      </c>
      <c r="H506" s="18">
        <v>739096.13</v>
      </c>
      <c r="I506" s="19"/>
    </row>
    <row r="507" spans="1:9" x14ac:dyDescent="0.25">
      <c r="A507" s="14" t="s">
        <v>602</v>
      </c>
      <c r="B507" s="15"/>
      <c r="C507" s="15"/>
      <c r="D507" s="15"/>
      <c r="E507" s="3">
        <v>66664.009999999995</v>
      </c>
      <c r="F507" s="3">
        <v>27769.84</v>
      </c>
      <c r="G507" s="3">
        <v>51146.95</v>
      </c>
      <c r="H507" s="18">
        <v>145580.79999999999</v>
      </c>
      <c r="I507" s="19"/>
    </row>
    <row r="508" spans="1:9" x14ac:dyDescent="0.25">
      <c r="A508" s="14" t="s">
        <v>603</v>
      </c>
      <c r="B508" s="15"/>
      <c r="C508" s="15"/>
      <c r="D508" s="15"/>
      <c r="E508" s="3">
        <v>2386175.12</v>
      </c>
      <c r="F508" s="3">
        <v>2049471.43</v>
      </c>
      <c r="G508" s="3">
        <v>2727313.74</v>
      </c>
      <c r="H508" s="18">
        <v>7162960.29</v>
      </c>
      <c r="I508" s="19"/>
    </row>
    <row r="509" spans="1:9" x14ac:dyDescent="0.25">
      <c r="A509" s="14" t="s">
        <v>604</v>
      </c>
      <c r="B509" s="15"/>
      <c r="C509" s="15"/>
      <c r="D509" s="15"/>
      <c r="E509" s="3">
        <v>69463.929999999993</v>
      </c>
      <c r="F509" s="3">
        <v>26941.73</v>
      </c>
      <c r="G509" s="3">
        <v>44510.65</v>
      </c>
      <c r="H509" s="18">
        <v>140916.31</v>
      </c>
      <c r="I509" s="19"/>
    </row>
    <row r="510" spans="1:9" x14ac:dyDescent="0.25">
      <c r="A510" s="14" t="s">
        <v>605</v>
      </c>
      <c r="B510" s="15"/>
      <c r="C510" s="15"/>
      <c r="D510" s="15"/>
      <c r="E510" s="3">
        <v>195481.02</v>
      </c>
      <c r="F510" s="3">
        <v>86455.4</v>
      </c>
      <c r="G510" s="3">
        <v>261385.3</v>
      </c>
      <c r="H510" s="18">
        <v>543321.72</v>
      </c>
      <c r="I510" s="19"/>
    </row>
    <row r="511" spans="1:9" x14ac:dyDescent="0.25">
      <c r="A511" s="14" t="s">
        <v>606</v>
      </c>
      <c r="B511" s="15"/>
      <c r="C511" s="15"/>
      <c r="D511" s="15"/>
      <c r="E511" s="3">
        <v>32710</v>
      </c>
      <c r="F511" s="3">
        <v>5773.02</v>
      </c>
      <c r="G511" s="3">
        <v>16014.82</v>
      </c>
      <c r="H511" s="18">
        <v>54497.84</v>
      </c>
      <c r="I511" s="19"/>
    </row>
    <row r="512" spans="1:9" x14ac:dyDescent="0.25">
      <c r="A512" s="14" t="s">
        <v>607</v>
      </c>
      <c r="B512" s="15"/>
      <c r="C512" s="15"/>
      <c r="D512" s="15"/>
      <c r="E512" s="3">
        <v>72956.66</v>
      </c>
      <c r="F512" s="3">
        <v>39744.93</v>
      </c>
      <c r="G512" s="3">
        <v>49387.49</v>
      </c>
      <c r="H512" s="18">
        <v>162089.07999999999</v>
      </c>
      <c r="I512" s="19"/>
    </row>
    <row r="513" spans="1:9" x14ac:dyDescent="0.25">
      <c r="A513" s="14" t="s">
        <v>608</v>
      </c>
      <c r="B513" s="15"/>
      <c r="C513" s="15"/>
      <c r="D513" s="15"/>
      <c r="E513" s="3">
        <v>59973.25</v>
      </c>
      <c r="F513" s="3">
        <v>16527.490000000002</v>
      </c>
      <c r="G513" s="3">
        <v>26748.44</v>
      </c>
      <c r="H513" s="18">
        <v>103249.18</v>
      </c>
      <c r="I513" s="19"/>
    </row>
    <row r="514" spans="1:9" x14ac:dyDescent="0.25">
      <c r="A514" s="14" t="s">
        <v>609</v>
      </c>
      <c r="B514" s="15"/>
      <c r="C514" s="15"/>
      <c r="D514" s="15"/>
      <c r="E514" s="3">
        <v>252239.19</v>
      </c>
      <c r="F514" s="3">
        <v>23914.22</v>
      </c>
      <c r="G514" s="3">
        <v>119037.56</v>
      </c>
      <c r="H514" s="18">
        <v>395190.97</v>
      </c>
      <c r="I514" s="19"/>
    </row>
    <row r="515" spans="1:9" x14ac:dyDescent="0.25">
      <c r="A515" s="14" t="s">
        <v>610</v>
      </c>
      <c r="B515" s="15"/>
      <c r="C515" s="15"/>
      <c r="D515" s="15"/>
      <c r="E515" s="3">
        <v>122197.84</v>
      </c>
      <c r="F515" s="3">
        <v>417660.37</v>
      </c>
      <c r="G515" s="3">
        <v>62650.84</v>
      </c>
      <c r="H515" s="18">
        <v>602509.05000000005</v>
      </c>
      <c r="I515" s="19"/>
    </row>
    <row r="516" spans="1:9" x14ac:dyDescent="0.25">
      <c r="A516" s="14" t="s">
        <v>611</v>
      </c>
      <c r="B516" s="15"/>
      <c r="C516" s="15"/>
      <c r="D516" s="15"/>
      <c r="E516" s="3">
        <v>2064222.09</v>
      </c>
      <c r="F516" s="3">
        <v>1753826.64</v>
      </c>
      <c r="G516" s="3">
        <v>2423231.94</v>
      </c>
      <c r="H516" s="18">
        <v>6241280.6699999999</v>
      </c>
      <c r="I516" s="19"/>
    </row>
    <row r="517" spans="1:9" x14ac:dyDescent="0.25">
      <c r="A517" s="14" t="s">
        <v>612</v>
      </c>
      <c r="B517" s="15"/>
      <c r="C517" s="15"/>
      <c r="D517" s="15"/>
      <c r="E517" s="3">
        <v>78386.64</v>
      </c>
      <c r="F517" s="3">
        <v>12213.37</v>
      </c>
      <c r="G517" s="3">
        <v>51520.34</v>
      </c>
      <c r="H517" s="18">
        <v>142120.35</v>
      </c>
      <c r="I517" s="19"/>
    </row>
    <row r="518" spans="1:9" x14ac:dyDescent="0.25">
      <c r="A518" s="14" t="s">
        <v>613</v>
      </c>
      <c r="B518" s="15"/>
      <c r="C518" s="15"/>
      <c r="D518" s="15"/>
      <c r="E518" s="3">
        <v>8700.7099999999991</v>
      </c>
      <c r="F518" s="3">
        <v>3792.33</v>
      </c>
      <c r="G518" s="3">
        <v>8150.97</v>
      </c>
      <c r="H518" s="18">
        <v>20644.009999999998</v>
      </c>
      <c r="I518" s="19"/>
    </row>
    <row r="519" spans="1:9" x14ac:dyDescent="0.25">
      <c r="A519" s="14" t="s">
        <v>614</v>
      </c>
      <c r="B519" s="15"/>
      <c r="C519" s="15"/>
      <c r="D519" s="15"/>
      <c r="E519" s="3">
        <v>149776.71</v>
      </c>
      <c r="F519" s="3">
        <v>51176.67</v>
      </c>
      <c r="G519" s="3">
        <v>98853.67</v>
      </c>
      <c r="H519" s="18">
        <v>299807.05</v>
      </c>
      <c r="I519" s="19"/>
    </row>
    <row r="520" spans="1:9" x14ac:dyDescent="0.25">
      <c r="A520" s="14" t="s">
        <v>615</v>
      </c>
      <c r="B520" s="15"/>
      <c r="C520" s="15"/>
      <c r="D520" s="15"/>
      <c r="E520" s="3">
        <v>151159.93</v>
      </c>
      <c r="F520" s="3">
        <v>65087.43</v>
      </c>
      <c r="G520" s="3">
        <v>97455.1</v>
      </c>
      <c r="H520" s="18">
        <v>313702.46000000002</v>
      </c>
      <c r="I520" s="19"/>
    </row>
    <row r="521" spans="1:9" x14ac:dyDescent="0.25">
      <c r="A521" s="14" t="s">
        <v>616</v>
      </c>
      <c r="B521" s="15"/>
      <c r="C521" s="15"/>
      <c r="D521" s="15"/>
      <c r="E521" s="3">
        <v>1321154.74</v>
      </c>
      <c r="F521" s="3">
        <v>781272.02</v>
      </c>
      <c r="G521" s="3">
        <v>1390169.84</v>
      </c>
      <c r="H521" s="18">
        <v>3492596.6</v>
      </c>
      <c r="I521" s="19"/>
    </row>
    <row r="522" spans="1:9" x14ac:dyDescent="0.25">
      <c r="A522" s="14" t="s">
        <v>617</v>
      </c>
      <c r="B522" s="15"/>
      <c r="C522" s="15"/>
      <c r="D522" s="15"/>
      <c r="E522" s="3">
        <v>653857.31999999995</v>
      </c>
      <c r="F522" s="3">
        <v>240008.24</v>
      </c>
      <c r="G522" s="3">
        <v>585590.85</v>
      </c>
      <c r="H522" s="18">
        <v>1479456.41</v>
      </c>
      <c r="I522" s="19"/>
    </row>
    <row r="523" spans="1:9" x14ac:dyDescent="0.25">
      <c r="A523" s="14" t="s">
        <v>618</v>
      </c>
      <c r="B523" s="15"/>
      <c r="C523" s="15"/>
      <c r="D523" s="15"/>
      <c r="E523" s="3">
        <v>751.11</v>
      </c>
      <c r="F523" s="5"/>
      <c r="G523" s="3">
        <v>2097.3200000000002</v>
      </c>
      <c r="H523" s="18">
        <v>2848.43</v>
      </c>
      <c r="I523" s="19"/>
    </row>
    <row r="524" spans="1:9" x14ac:dyDescent="0.25">
      <c r="A524" s="14" t="s">
        <v>619</v>
      </c>
      <c r="B524" s="15"/>
      <c r="C524" s="15"/>
      <c r="D524" s="15"/>
      <c r="E524" s="3">
        <v>751.12</v>
      </c>
      <c r="F524" s="5"/>
      <c r="G524" s="3">
        <v>1748</v>
      </c>
      <c r="H524" s="18">
        <v>2499.12</v>
      </c>
      <c r="I524" s="19"/>
    </row>
    <row r="525" spans="1:9" x14ac:dyDescent="0.25">
      <c r="A525" s="14" t="s">
        <v>620</v>
      </c>
      <c r="B525" s="15"/>
      <c r="C525" s="15"/>
      <c r="D525" s="15"/>
      <c r="E525" s="3">
        <v>7024.8</v>
      </c>
      <c r="F525" s="3">
        <v>158877.20000000001</v>
      </c>
      <c r="G525" s="3">
        <v>72881.759999999995</v>
      </c>
      <c r="H525" s="18">
        <v>238783.76</v>
      </c>
      <c r="I525" s="19"/>
    </row>
    <row r="526" spans="1:9" x14ac:dyDescent="0.25">
      <c r="A526" s="14" t="s">
        <v>621</v>
      </c>
      <c r="B526" s="15"/>
      <c r="C526" s="15"/>
      <c r="D526" s="15"/>
      <c r="E526" s="5"/>
      <c r="F526" s="5"/>
      <c r="G526" s="3">
        <v>1738.72</v>
      </c>
      <c r="H526" s="18">
        <v>1738.72</v>
      </c>
      <c r="I526" s="19"/>
    </row>
    <row r="527" spans="1:9" x14ac:dyDescent="0.25">
      <c r="A527" s="14" t="s">
        <v>622</v>
      </c>
      <c r="B527" s="15"/>
      <c r="C527" s="15"/>
      <c r="D527" s="15"/>
      <c r="E527" s="3">
        <v>13207.01</v>
      </c>
      <c r="F527" s="3">
        <v>32026.65</v>
      </c>
      <c r="G527" s="3">
        <v>3381.64</v>
      </c>
      <c r="H527" s="18">
        <v>48615.3</v>
      </c>
      <c r="I527" s="19"/>
    </row>
    <row r="528" spans="1:9" x14ac:dyDescent="0.25">
      <c r="A528" s="14" t="s">
        <v>623</v>
      </c>
      <c r="B528" s="15"/>
      <c r="C528" s="15"/>
      <c r="D528" s="15"/>
      <c r="E528" s="3">
        <v>751.11</v>
      </c>
      <c r="F528" s="3">
        <v>2514.16</v>
      </c>
      <c r="G528" s="3">
        <v>1887.88</v>
      </c>
      <c r="H528" s="18">
        <v>5153.1499999999996</v>
      </c>
      <c r="I528" s="19"/>
    </row>
    <row r="529" spans="1:9" x14ac:dyDescent="0.25">
      <c r="A529" s="14" t="s">
        <v>624</v>
      </c>
      <c r="B529" s="15"/>
      <c r="C529" s="15"/>
      <c r="D529" s="15"/>
      <c r="E529" s="3">
        <v>216796.15</v>
      </c>
      <c r="F529" s="3">
        <v>93775.25</v>
      </c>
      <c r="G529" s="3">
        <v>420190.55</v>
      </c>
      <c r="H529" s="18">
        <v>730761.95</v>
      </c>
      <c r="I529" s="19"/>
    </row>
    <row r="530" spans="1:9" x14ac:dyDescent="0.25">
      <c r="A530" s="14" t="s">
        <v>625</v>
      </c>
      <c r="B530" s="15"/>
      <c r="C530" s="15"/>
      <c r="D530" s="15"/>
      <c r="E530" s="3">
        <v>213756.1</v>
      </c>
      <c r="F530" s="3">
        <v>91234.99</v>
      </c>
      <c r="G530" s="3">
        <v>162341.93</v>
      </c>
      <c r="H530" s="18">
        <v>467333.02</v>
      </c>
      <c r="I530" s="19"/>
    </row>
    <row r="531" spans="1:9" x14ac:dyDescent="0.25">
      <c r="A531" s="14" t="s">
        <v>626</v>
      </c>
      <c r="B531" s="15"/>
      <c r="C531" s="15"/>
      <c r="D531" s="15"/>
      <c r="E531" s="3">
        <v>902257.84</v>
      </c>
      <c r="F531" s="3">
        <v>475392.56</v>
      </c>
      <c r="G531" s="3">
        <v>473170.89</v>
      </c>
      <c r="H531" s="18">
        <v>1850821.29</v>
      </c>
      <c r="I531" s="19"/>
    </row>
    <row r="532" spans="1:9" x14ac:dyDescent="0.25">
      <c r="A532" s="14" t="s">
        <v>627</v>
      </c>
      <c r="B532" s="15"/>
      <c r="C532" s="15"/>
      <c r="D532" s="15"/>
      <c r="E532" s="3">
        <v>76631.5</v>
      </c>
      <c r="F532" s="3">
        <v>48459.65</v>
      </c>
      <c r="G532" s="3">
        <v>97471.6</v>
      </c>
      <c r="H532" s="18">
        <v>222562.75</v>
      </c>
      <c r="I532" s="19"/>
    </row>
    <row r="533" spans="1:9" x14ac:dyDescent="0.25">
      <c r="A533" s="14" t="s">
        <v>628</v>
      </c>
      <c r="B533" s="15"/>
      <c r="C533" s="15"/>
      <c r="D533" s="15"/>
      <c r="E533" s="3">
        <v>174990.97</v>
      </c>
      <c r="F533" s="3">
        <v>93998.77</v>
      </c>
      <c r="G533" s="3">
        <v>177879.67999999999</v>
      </c>
      <c r="H533" s="18">
        <v>446869.42</v>
      </c>
      <c r="I533" s="19"/>
    </row>
    <row r="534" spans="1:9" x14ac:dyDescent="0.25">
      <c r="A534" s="14" t="s">
        <v>629</v>
      </c>
      <c r="B534" s="15"/>
      <c r="C534" s="15"/>
      <c r="D534" s="15"/>
      <c r="E534" s="3">
        <v>101835.85</v>
      </c>
      <c r="F534" s="3">
        <v>42197.49</v>
      </c>
      <c r="G534" s="3">
        <v>115217.05</v>
      </c>
      <c r="H534" s="18">
        <v>259250.39</v>
      </c>
      <c r="I534" s="19"/>
    </row>
    <row r="535" spans="1:9" x14ac:dyDescent="0.25">
      <c r="A535" s="14" t="s">
        <v>630</v>
      </c>
      <c r="B535" s="15"/>
      <c r="C535" s="15"/>
      <c r="D535" s="15"/>
      <c r="E535" s="3">
        <v>934285.66</v>
      </c>
      <c r="F535" s="3">
        <v>453075.05</v>
      </c>
      <c r="G535" s="3">
        <v>732524.63</v>
      </c>
      <c r="H535" s="18">
        <v>2119885.34</v>
      </c>
      <c r="I535" s="19"/>
    </row>
    <row r="536" spans="1:9" x14ac:dyDescent="0.25">
      <c r="A536" s="14" t="s">
        <v>631</v>
      </c>
      <c r="B536" s="15"/>
      <c r="C536" s="15"/>
      <c r="D536" s="15"/>
      <c r="E536" s="3">
        <v>679037.42</v>
      </c>
      <c r="F536" s="3">
        <v>331611.90999999997</v>
      </c>
      <c r="G536" s="3">
        <v>522135.06</v>
      </c>
      <c r="H536" s="18">
        <v>1532784.39</v>
      </c>
      <c r="I536" s="19"/>
    </row>
    <row r="537" spans="1:9" x14ac:dyDescent="0.25">
      <c r="A537" s="14" t="s">
        <v>632</v>
      </c>
      <c r="B537" s="15"/>
      <c r="C537" s="15"/>
      <c r="D537" s="15"/>
      <c r="E537" s="3">
        <v>4400</v>
      </c>
      <c r="F537" s="5"/>
      <c r="G537" s="3">
        <v>3325.32</v>
      </c>
      <c r="H537" s="18">
        <v>7725.32</v>
      </c>
      <c r="I537" s="19"/>
    </row>
    <row r="538" spans="1:9" x14ac:dyDescent="0.25">
      <c r="A538" s="14" t="s">
        <v>633</v>
      </c>
      <c r="B538" s="15"/>
      <c r="C538" s="15"/>
      <c r="D538" s="15"/>
      <c r="E538" s="3">
        <v>3241698.38</v>
      </c>
      <c r="F538" s="3">
        <v>988039.06</v>
      </c>
      <c r="G538" s="3">
        <v>1073242.3799999999</v>
      </c>
      <c r="H538" s="18">
        <v>5302979.82</v>
      </c>
      <c r="I538" s="19"/>
    </row>
    <row r="539" spans="1:9" x14ac:dyDescent="0.25">
      <c r="A539" s="14" t="s">
        <v>634</v>
      </c>
      <c r="B539" s="15"/>
      <c r="C539" s="15"/>
      <c r="D539" s="15"/>
      <c r="E539" s="3">
        <v>271450.73</v>
      </c>
      <c r="F539" s="3">
        <v>192952.99</v>
      </c>
      <c r="G539" s="3">
        <v>310106.89</v>
      </c>
      <c r="H539" s="18">
        <v>774510.61</v>
      </c>
      <c r="I539" s="19"/>
    </row>
    <row r="540" spans="1:9" x14ac:dyDescent="0.25">
      <c r="A540" s="14" t="s">
        <v>635</v>
      </c>
      <c r="B540" s="15"/>
      <c r="C540" s="15"/>
      <c r="D540" s="15"/>
      <c r="E540" s="3">
        <v>34043.33</v>
      </c>
      <c r="F540" s="3">
        <v>31361.360000000001</v>
      </c>
      <c r="G540" s="3">
        <v>22508.05</v>
      </c>
      <c r="H540" s="18">
        <v>87912.74</v>
      </c>
      <c r="I540" s="19"/>
    </row>
    <row r="541" spans="1:9" x14ac:dyDescent="0.25">
      <c r="A541" s="14" t="s">
        <v>636</v>
      </c>
      <c r="B541" s="15"/>
      <c r="C541" s="15"/>
      <c r="D541" s="15"/>
      <c r="E541" s="3">
        <v>4963.9799999999996</v>
      </c>
      <c r="F541" s="3">
        <v>3717.28</v>
      </c>
      <c r="G541" s="3">
        <v>13495.23</v>
      </c>
      <c r="H541" s="18">
        <v>22176.49</v>
      </c>
      <c r="I541" s="19"/>
    </row>
    <row r="542" spans="1:9" x14ac:dyDescent="0.25">
      <c r="A542" s="14" t="s">
        <v>637</v>
      </c>
      <c r="B542" s="15"/>
      <c r="C542" s="15"/>
      <c r="D542" s="15"/>
      <c r="E542" s="3">
        <v>350738.22</v>
      </c>
      <c r="F542" s="3">
        <v>301217.2</v>
      </c>
      <c r="G542" s="3">
        <v>329297.55</v>
      </c>
      <c r="H542" s="18">
        <v>981252.97</v>
      </c>
      <c r="I542" s="19"/>
    </row>
    <row r="543" spans="1:9" x14ac:dyDescent="0.25">
      <c r="A543" s="14" t="s">
        <v>638</v>
      </c>
      <c r="B543" s="15"/>
      <c r="C543" s="15"/>
      <c r="D543" s="15"/>
      <c r="E543" s="3">
        <v>428377.96</v>
      </c>
      <c r="F543" s="3">
        <v>489650.22</v>
      </c>
      <c r="G543" s="3">
        <v>481667.08</v>
      </c>
      <c r="H543" s="18">
        <v>1399695.26</v>
      </c>
      <c r="I543" s="19"/>
    </row>
    <row r="544" spans="1:9" x14ac:dyDescent="0.25">
      <c r="A544" s="14" t="s">
        <v>639</v>
      </c>
      <c r="B544" s="15"/>
      <c r="C544" s="15"/>
      <c r="D544" s="15"/>
      <c r="E544" s="3">
        <v>56210.02</v>
      </c>
      <c r="F544" s="3">
        <v>43021.5</v>
      </c>
      <c r="G544" s="3">
        <v>95693.43</v>
      </c>
      <c r="H544" s="18">
        <v>194924.95</v>
      </c>
      <c r="I544" s="19"/>
    </row>
    <row r="545" spans="1:9" x14ac:dyDescent="0.25">
      <c r="A545" s="14" t="s">
        <v>640</v>
      </c>
      <c r="B545" s="15"/>
      <c r="C545" s="15"/>
      <c r="D545" s="15"/>
      <c r="E545" s="3">
        <v>148483.22</v>
      </c>
      <c r="F545" s="3">
        <v>142762.84</v>
      </c>
      <c r="G545" s="3">
        <v>115617.95</v>
      </c>
      <c r="H545" s="18">
        <v>406864.01</v>
      </c>
      <c r="I545" s="19"/>
    </row>
    <row r="546" spans="1:9" x14ac:dyDescent="0.25">
      <c r="A546" s="14" t="s">
        <v>641</v>
      </c>
      <c r="B546" s="15"/>
      <c r="C546" s="15"/>
      <c r="D546" s="15"/>
      <c r="E546" s="3">
        <v>194163.16</v>
      </c>
      <c r="F546" s="3">
        <v>119005.99</v>
      </c>
      <c r="G546" s="3">
        <v>190947.99</v>
      </c>
      <c r="H546" s="18">
        <v>504117.14</v>
      </c>
      <c r="I546" s="19"/>
    </row>
    <row r="547" spans="1:9" x14ac:dyDescent="0.25">
      <c r="A547" s="14" t="s">
        <v>642</v>
      </c>
      <c r="B547" s="15"/>
      <c r="C547" s="15"/>
      <c r="D547" s="15"/>
      <c r="E547" s="3">
        <v>192467.12</v>
      </c>
      <c r="F547" s="3">
        <v>125721</v>
      </c>
      <c r="G547" s="3">
        <v>138114.17000000001</v>
      </c>
      <c r="H547" s="18">
        <v>456302.29</v>
      </c>
      <c r="I547" s="19"/>
    </row>
    <row r="548" spans="1:9" x14ac:dyDescent="0.25">
      <c r="A548" s="14" t="s">
        <v>643</v>
      </c>
      <c r="B548" s="15"/>
      <c r="C548" s="15"/>
      <c r="D548" s="15"/>
      <c r="E548" s="3">
        <v>53549.53</v>
      </c>
      <c r="F548" s="3">
        <v>10689.88</v>
      </c>
      <c r="G548" s="3">
        <v>51485.31</v>
      </c>
      <c r="H548" s="18">
        <v>115724.72</v>
      </c>
      <c r="I548" s="19"/>
    </row>
    <row r="549" spans="1:9" x14ac:dyDescent="0.25">
      <c r="A549" s="14" t="s">
        <v>644</v>
      </c>
      <c r="B549" s="15"/>
      <c r="C549" s="15"/>
      <c r="D549" s="15"/>
      <c r="E549" s="3">
        <v>710922.28</v>
      </c>
      <c r="F549" s="3">
        <v>342659.11</v>
      </c>
      <c r="G549" s="3">
        <v>327413.73</v>
      </c>
      <c r="H549" s="18">
        <v>1380995.12</v>
      </c>
      <c r="I549" s="19"/>
    </row>
    <row r="550" spans="1:9" x14ac:dyDescent="0.25">
      <c r="A550" s="14" t="s">
        <v>645</v>
      </c>
      <c r="B550" s="15"/>
      <c r="C550" s="15"/>
      <c r="D550" s="15"/>
      <c r="E550" s="3">
        <v>131358.49</v>
      </c>
      <c r="F550" s="3">
        <v>49294.97</v>
      </c>
      <c r="G550" s="3">
        <v>100797.73</v>
      </c>
      <c r="H550" s="18">
        <v>281451.19</v>
      </c>
      <c r="I550" s="19"/>
    </row>
    <row r="551" spans="1:9" x14ac:dyDescent="0.25">
      <c r="A551" s="14" t="s">
        <v>646</v>
      </c>
      <c r="B551" s="15"/>
      <c r="C551" s="15"/>
      <c r="D551" s="15"/>
      <c r="E551" s="3">
        <v>81729.759999999995</v>
      </c>
      <c r="F551" s="3">
        <v>78247.789999999994</v>
      </c>
      <c r="G551" s="3">
        <v>111905.84</v>
      </c>
      <c r="H551" s="18">
        <v>271883.39</v>
      </c>
      <c r="I551" s="19"/>
    </row>
    <row r="552" spans="1:9" x14ac:dyDescent="0.25">
      <c r="A552" s="14" t="s">
        <v>647</v>
      </c>
      <c r="B552" s="15"/>
      <c r="C552" s="15"/>
      <c r="D552" s="15"/>
      <c r="E552" s="3">
        <v>58165.69</v>
      </c>
      <c r="F552" s="3">
        <v>36950.019999999997</v>
      </c>
      <c r="G552" s="3">
        <v>102785.73</v>
      </c>
      <c r="H552" s="18">
        <v>197901.44</v>
      </c>
      <c r="I552" s="19"/>
    </row>
    <row r="553" spans="1:9" x14ac:dyDescent="0.25">
      <c r="A553" s="14" t="s">
        <v>648</v>
      </c>
      <c r="B553" s="15"/>
      <c r="C553" s="15"/>
      <c r="D553" s="15"/>
      <c r="E553" s="3">
        <v>813049.92</v>
      </c>
      <c r="F553" s="3">
        <v>638113.06999999995</v>
      </c>
      <c r="G553" s="3">
        <v>528374.06999999995</v>
      </c>
      <c r="H553" s="18">
        <v>1979537.06</v>
      </c>
      <c r="I553" s="19"/>
    </row>
    <row r="554" spans="1:9" x14ac:dyDescent="0.25">
      <c r="A554" s="14" t="s">
        <v>649</v>
      </c>
      <c r="B554" s="15"/>
      <c r="C554" s="15"/>
      <c r="D554" s="15"/>
      <c r="E554" s="3">
        <v>84655.29</v>
      </c>
      <c r="F554" s="3">
        <v>66027.97</v>
      </c>
      <c r="G554" s="3">
        <v>125226.02</v>
      </c>
      <c r="H554" s="18">
        <v>275909.28000000003</v>
      </c>
      <c r="I554" s="19"/>
    </row>
    <row r="555" spans="1:9" x14ac:dyDescent="0.25">
      <c r="A555" s="14" t="s">
        <v>650</v>
      </c>
      <c r="B555" s="15"/>
      <c r="C555" s="15"/>
      <c r="D555" s="15"/>
      <c r="E555" s="3">
        <v>161283.97</v>
      </c>
      <c r="F555" s="3">
        <v>76838.679999999993</v>
      </c>
      <c r="G555" s="3">
        <v>81541.399999999994</v>
      </c>
      <c r="H555" s="18">
        <v>319664.05</v>
      </c>
      <c r="I555" s="19"/>
    </row>
    <row r="556" spans="1:9" x14ac:dyDescent="0.25">
      <c r="A556" s="14" t="s">
        <v>651</v>
      </c>
      <c r="B556" s="15"/>
      <c r="C556" s="15"/>
      <c r="D556" s="15"/>
      <c r="E556" s="3">
        <v>65772.759999999995</v>
      </c>
      <c r="F556" s="3">
        <v>38190.980000000003</v>
      </c>
      <c r="G556" s="3">
        <v>209825.52</v>
      </c>
      <c r="H556" s="18">
        <v>313789.26</v>
      </c>
      <c r="I556" s="19"/>
    </row>
    <row r="557" spans="1:9" x14ac:dyDescent="0.25">
      <c r="A557" s="14" t="s">
        <v>652</v>
      </c>
      <c r="B557" s="15"/>
      <c r="C557" s="15"/>
      <c r="D557" s="15"/>
      <c r="E557" s="3">
        <v>103944.48</v>
      </c>
      <c r="F557" s="3">
        <v>98135.17</v>
      </c>
      <c r="G557" s="3">
        <v>201951.04</v>
      </c>
      <c r="H557" s="18">
        <v>404030.69</v>
      </c>
      <c r="I557" s="19"/>
    </row>
    <row r="558" spans="1:9" x14ac:dyDescent="0.25">
      <c r="A558" s="14" t="s">
        <v>653</v>
      </c>
      <c r="B558" s="15"/>
      <c r="C558" s="15"/>
      <c r="D558" s="15"/>
      <c r="E558" s="3">
        <v>60221.91</v>
      </c>
      <c r="F558" s="3">
        <v>44765.82</v>
      </c>
      <c r="G558" s="3">
        <v>97584.44</v>
      </c>
      <c r="H558" s="18">
        <v>202572.17</v>
      </c>
      <c r="I558" s="19"/>
    </row>
    <row r="559" spans="1:9" x14ac:dyDescent="0.25">
      <c r="A559" s="14" t="s">
        <v>654</v>
      </c>
      <c r="B559" s="15"/>
      <c r="C559" s="15"/>
      <c r="D559" s="15"/>
      <c r="E559" s="3">
        <v>352210.58</v>
      </c>
      <c r="F559" s="3">
        <v>209461.36</v>
      </c>
      <c r="G559" s="3">
        <v>507234.66</v>
      </c>
      <c r="H559" s="18">
        <v>1068906.6000000001</v>
      </c>
      <c r="I559" s="19"/>
    </row>
    <row r="560" spans="1:9" x14ac:dyDescent="0.25">
      <c r="A560" s="14" t="s">
        <v>655</v>
      </c>
      <c r="B560" s="15"/>
      <c r="C560" s="15"/>
      <c r="D560" s="15"/>
      <c r="E560" s="3">
        <v>328108.96999999997</v>
      </c>
      <c r="F560" s="3">
        <v>356048.11</v>
      </c>
      <c r="G560" s="3">
        <v>404305.14</v>
      </c>
      <c r="H560" s="18">
        <v>1088462.22</v>
      </c>
      <c r="I560" s="19"/>
    </row>
    <row r="561" spans="1:9" x14ac:dyDescent="0.25">
      <c r="A561" s="14" t="s">
        <v>656</v>
      </c>
      <c r="B561" s="15"/>
      <c r="C561" s="15"/>
      <c r="D561" s="15"/>
      <c r="E561" s="3">
        <v>288173.03000000003</v>
      </c>
      <c r="F561" s="3">
        <v>241674.41</v>
      </c>
      <c r="G561" s="3">
        <v>314685.53000000003</v>
      </c>
      <c r="H561" s="18">
        <v>844532.97</v>
      </c>
      <c r="I561" s="19"/>
    </row>
    <row r="562" spans="1:9" x14ac:dyDescent="0.25">
      <c r="A562" s="14" t="s">
        <v>657</v>
      </c>
      <c r="B562" s="15"/>
      <c r="C562" s="15"/>
      <c r="D562" s="15"/>
      <c r="E562" s="3">
        <v>49909.49</v>
      </c>
      <c r="F562" s="3">
        <v>2376.1799999999998</v>
      </c>
      <c r="G562" s="3">
        <v>12363.53</v>
      </c>
      <c r="H562" s="18">
        <v>64649.2</v>
      </c>
      <c r="I562" s="19"/>
    </row>
    <row r="563" spans="1:9" x14ac:dyDescent="0.25">
      <c r="A563" s="14" t="s">
        <v>658</v>
      </c>
      <c r="B563" s="15"/>
      <c r="C563" s="15"/>
      <c r="D563" s="15"/>
      <c r="E563" s="3">
        <v>133361.57</v>
      </c>
      <c r="F563" s="3">
        <v>35364.129999999997</v>
      </c>
      <c r="G563" s="3">
        <v>176063.35999999999</v>
      </c>
      <c r="H563" s="18">
        <v>344789.06</v>
      </c>
      <c r="I563" s="19"/>
    </row>
    <row r="564" spans="1:9" x14ac:dyDescent="0.25">
      <c r="A564" s="14" t="s">
        <v>659</v>
      </c>
      <c r="B564" s="15"/>
      <c r="C564" s="15"/>
      <c r="D564" s="15"/>
      <c r="E564" s="3">
        <v>2049.44</v>
      </c>
      <c r="F564" s="3">
        <v>491.56</v>
      </c>
      <c r="G564" s="3">
        <v>13025.16</v>
      </c>
      <c r="H564" s="18">
        <v>15566.16</v>
      </c>
      <c r="I564" s="19"/>
    </row>
    <row r="565" spans="1:9" x14ac:dyDescent="0.25">
      <c r="A565" s="14" t="s">
        <v>660</v>
      </c>
      <c r="B565" s="15"/>
      <c r="C565" s="15"/>
      <c r="D565" s="15"/>
      <c r="E565" s="3">
        <v>910803.44</v>
      </c>
      <c r="F565" s="3">
        <v>708890.28</v>
      </c>
      <c r="G565" s="3">
        <v>957676.12</v>
      </c>
      <c r="H565" s="18">
        <v>2577369.84</v>
      </c>
      <c r="I565" s="19"/>
    </row>
    <row r="566" spans="1:9" x14ac:dyDescent="0.25">
      <c r="A566" s="14" t="s">
        <v>661</v>
      </c>
      <c r="B566" s="15"/>
      <c r="C566" s="15"/>
      <c r="D566" s="15"/>
      <c r="E566" s="3">
        <v>295845.7</v>
      </c>
      <c r="F566" s="3">
        <v>222960.28</v>
      </c>
      <c r="G566" s="3">
        <v>482824</v>
      </c>
      <c r="H566" s="18">
        <v>1001629.98</v>
      </c>
      <c r="I566" s="19"/>
    </row>
    <row r="567" spans="1:9" x14ac:dyDescent="0.25">
      <c r="A567" s="14" t="s">
        <v>662</v>
      </c>
      <c r="B567" s="15"/>
      <c r="C567" s="15"/>
      <c r="D567" s="15"/>
      <c r="E567" s="3">
        <v>297379.36</v>
      </c>
      <c r="F567" s="3">
        <v>268118.3</v>
      </c>
      <c r="G567" s="3">
        <v>402934.89</v>
      </c>
      <c r="H567" s="18">
        <v>968432.55</v>
      </c>
      <c r="I567" s="19"/>
    </row>
    <row r="568" spans="1:9" x14ac:dyDescent="0.25">
      <c r="A568" s="14" t="s">
        <v>663</v>
      </c>
      <c r="B568" s="15"/>
      <c r="C568" s="15"/>
      <c r="D568" s="15"/>
      <c r="E568" s="3">
        <v>367379.52</v>
      </c>
      <c r="F568" s="3">
        <v>203039.29</v>
      </c>
      <c r="G568" s="3">
        <v>516232.29</v>
      </c>
      <c r="H568" s="18">
        <v>1086651.1000000001</v>
      </c>
      <c r="I568" s="19"/>
    </row>
    <row r="569" spans="1:9" x14ac:dyDescent="0.25">
      <c r="A569" s="14" t="s">
        <v>664</v>
      </c>
      <c r="B569" s="15"/>
      <c r="C569" s="15"/>
      <c r="D569" s="15"/>
      <c r="E569" s="3">
        <v>47763.91</v>
      </c>
      <c r="F569" s="3">
        <v>32531.5</v>
      </c>
      <c r="G569" s="3">
        <v>283784.11</v>
      </c>
      <c r="H569" s="18">
        <v>364079.52</v>
      </c>
      <c r="I569" s="19"/>
    </row>
    <row r="570" spans="1:9" x14ac:dyDescent="0.25">
      <c r="A570" s="14" t="s">
        <v>665</v>
      </c>
      <c r="B570" s="15"/>
      <c r="C570" s="15"/>
      <c r="D570" s="15"/>
      <c r="E570" s="3">
        <v>18884.73</v>
      </c>
      <c r="F570" s="3">
        <v>1154.25</v>
      </c>
      <c r="G570" s="3">
        <v>6789.45</v>
      </c>
      <c r="H570" s="18">
        <v>26828.43</v>
      </c>
      <c r="I570" s="19"/>
    </row>
    <row r="571" spans="1:9" x14ac:dyDescent="0.25">
      <c r="A571" s="14" t="s">
        <v>666</v>
      </c>
      <c r="B571" s="15"/>
      <c r="C571" s="15"/>
      <c r="D571" s="15"/>
      <c r="E571" s="3">
        <v>7992.48</v>
      </c>
      <c r="F571" s="5"/>
      <c r="G571" s="5"/>
      <c r="H571" s="18">
        <v>7992.48</v>
      </c>
      <c r="I571" s="19"/>
    </row>
    <row r="572" spans="1:9" x14ac:dyDescent="0.25">
      <c r="A572" s="14" t="s">
        <v>667</v>
      </c>
      <c r="B572" s="15"/>
      <c r="C572" s="15"/>
      <c r="D572" s="15"/>
      <c r="E572" s="3">
        <v>16136.95</v>
      </c>
      <c r="F572" s="3">
        <v>2196.2399999999998</v>
      </c>
      <c r="G572" s="3">
        <v>67082.86</v>
      </c>
      <c r="H572" s="18">
        <v>85416.05</v>
      </c>
      <c r="I572" s="19"/>
    </row>
    <row r="573" spans="1:9" x14ac:dyDescent="0.25">
      <c r="A573" s="14" t="s">
        <v>668</v>
      </c>
      <c r="B573" s="15"/>
      <c r="C573" s="15"/>
      <c r="D573" s="15"/>
      <c r="E573" s="3">
        <v>17901.22</v>
      </c>
      <c r="F573" s="3">
        <v>33389.599999999999</v>
      </c>
      <c r="G573" s="3">
        <v>19702.080000000002</v>
      </c>
      <c r="H573" s="18">
        <v>70992.899999999994</v>
      </c>
      <c r="I573" s="19"/>
    </row>
    <row r="574" spans="1:9" x14ac:dyDescent="0.25">
      <c r="A574" s="14" t="s">
        <v>669</v>
      </c>
      <c r="B574" s="15"/>
      <c r="C574" s="15"/>
      <c r="D574" s="15"/>
      <c r="E574" s="3">
        <v>5395.59</v>
      </c>
      <c r="F574" s="5"/>
      <c r="G574" s="3">
        <v>3712.92</v>
      </c>
      <c r="H574" s="18">
        <v>9108.51</v>
      </c>
      <c r="I574" s="19"/>
    </row>
    <row r="575" spans="1:9" x14ac:dyDescent="0.25">
      <c r="A575" s="14" t="s">
        <v>670</v>
      </c>
      <c r="B575" s="15"/>
      <c r="C575" s="15"/>
      <c r="D575" s="15"/>
      <c r="E575" s="3">
        <v>3857.02</v>
      </c>
      <c r="F575" s="5"/>
      <c r="G575" s="3">
        <v>2251.06</v>
      </c>
      <c r="H575" s="18">
        <v>6108.08</v>
      </c>
      <c r="I575" s="19"/>
    </row>
    <row r="576" spans="1:9" x14ac:dyDescent="0.25">
      <c r="A576" s="14" t="s">
        <v>671</v>
      </c>
      <c r="B576" s="15"/>
      <c r="C576" s="15"/>
      <c r="D576" s="15"/>
      <c r="E576" s="3">
        <v>5395.59</v>
      </c>
      <c r="F576" s="3">
        <v>3340.72</v>
      </c>
      <c r="G576" s="3">
        <v>1283.52</v>
      </c>
      <c r="H576" s="18">
        <v>10019.83</v>
      </c>
      <c r="I576" s="19"/>
    </row>
    <row r="577" spans="1:9" x14ac:dyDescent="0.25">
      <c r="A577" s="14" t="s">
        <v>672</v>
      </c>
      <c r="B577" s="15"/>
      <c r="C577" s="15"/>
      <c r="D577" s="15"/>
      <c r="E577" s="3">
        <v>2697.85</v>
      </c>
      <c r="F577" s="5"/>
      <c r="G577" s="3">
        <v>1746.84</v>
      </c>
      <c r="H577" s="18">
        <v>4444.6899999999996</v>
      </c>
      <c r="I577" s="19"/>
    </row>
    <row r="578" spans="1:9" x14ac:dyDescent="0.25">
      <c r="A578" s="14" t="s">
        <v>673</v>
      </c>
      <c r="B578" s="15"/>
      <c r="C578" s="15"/>
      <c r="D578" s="15"/>
      <c r="E578" s="3">
        <v>226797.67</v>
      </c>
      <c r="F578" s="3">
        <v>267448.69</v>
      </c>
      <c r="G578" s="3">
        <v>279859.71999999997</v>
      </c>
      <c r="H578" s="18">
        <v>774106.08</v>
      </c>
      <c r="I578" s="19"/>
    </row>
    <row r="579" spans="1:9" x14ac:dyDescent="0.25">
      <c r="A579" s="14" t="s">
        <v>674</v>
      </c>
      <c r="B579" s="15"/>
      <c r="C579" s="15"/>
      <c r="D579" s="15"/>
      <c r="E579" s="3">
        <v>914321.89</v>
      </c>
      <c r="F579" s="3">
        <v>1199818.45</v>
      </c>
      <c r="G579" s="3">
        <v>1319455.6200000001</v>
      </c>
      <c r="H579" s="18">
        <v>3433595.96</v>
      </c>
      <c r="I579" s="19"/>
    </row>
    <row r="580" spans="1:9" x14ac:dyDescent="0.25">
      <c r="A580" s="14" t="s">
        <v>675</v>
      </c>
      <c r="B580" s="15"/>
      <c r="C580" s="15"/>
      <c r="D580" s="15"/>
      <c r="E580" s="3">
        <v>1529969.39</v>
      </c>
      <c r="F580" s="3">
        <v>2269101.79</v>
      </c>
      <c r="G580" s="3">
        <v>1926630.87</v>
      </c>
      <c r="H580" s="18">
        <v>5725702.0499999998</v>
      </c>
      <c r="I580" s="19"/>
    </row>
    <row r="581" spans="1:9" x14ac:dyDescent="0.25">
      <c r="A581" s="14" t="s">
        <v>676</v>
      </c>
      <c r="B581" s="15"/>
      <c r="C581" s="15"/>
      <c r="D581" s="15"/>
      <c r="E581" s="3">
        <v>243518.84</v>
      </c>
      <c r="F581" s="3">
        <v>235780.99</v>
      </c>
      <c r="G581" s="3">
        <v>254212.15</v>
      </c>
      <c r="H581" s="18">
        <v>733511.98</v>
      </c>
      <c r="I581" s="19"/>
    </row>
    <row r="582" spans="1:9" x14ac:dyDescent="0.25">
      <c r="A582" s="14" t="s">
        <v>677</v>
      </c>
      <c r="B582" s="15"/>
      <c r="C582" s="15"/>
      <c r="D582" s="15"/>
      <c r="E582" s="3">
        <v>17204.89</v>
      </c>
      <c r="F582" s="3">
        <v>5505.74</v>
      </c>
      <c r="G582" s="3">
        <v>10790.1</v>
      </c>
      <c r="H582" s="18">
        <v>33500.730000000003</v>
      </c>
      <c r="I582" s="19"/>
    </row>
    <row r="583" spans="1:9" x14ac:dyDescent="0.25">
      <c r="A583" s="14" t="s">
        <v>678</v>
      </c>
      <c r="B583" s="15"/>
      <c r="C583" s="15"/>
      <c r="D583" s="15"/>
      <c r="E583" s="3">
        <v>217691.46</v>
      </c>
      <c r="F583" s="3">
        <v>188446.87</v>
      </c>
      <c r="G583" s="3">
        <v>215209.18</v>
      </c>
      <c r="H583" s="18">
        <v>621347.51</v>
      </c>
      <c r="I583" s="19"/>
    </row>
    <row r="584" spans="1:9" x14ac:dyDescent="0.25">
      <c r="A584" s="14" t="s">
        <v>679</v>
      </c>
      <c r="B584" s="15"/>
      <c r="C584" s="15"/>
      <c r="D584" s="15"/>
      <c r="E584" s="3">
        <v>185919.23</v>
      </c>
      <c r="F584" s="3">
        <v>193559.45</v>
      </c>
      <c r="G584" s="3">
        <v>164986.42000000001</v>
      </c>
      <c r="H584" s="18">
        <v>544465.1</v>
      </c>
      <c r="I584" s="19"/>
    </row>
    <row r="585" spans="1:9" x14ac:dyDescent="0.25">
      <c r="A585" s="14" t="s">
        <v>680</v>
      </c>
      <c r="B585" s="15"/>
      <c r="C585" s="15"/>
      <c r="D585" s="15"/>
      <c r="E585" s="3">
        <v>1511670.77</v>
      </c>
      <c r="F585" s="3">
        <v>2594253.8199999998</v>
      </c>
      <c r="G585" s="3">
        <v>1814740.4</v>
      </c>
      <c r="H585" s="18">
        <v>5920664.9900000002</v>
      </c>
      <c r="I585" s="19"/>
    </row>
    <row r="586" spans="1:9" x14ac:dyDescent="0.25">
      <c r="A586" s="14" t="s">
        <v>681</v>
      </c>
      <c r="B586" s="15"/>
      <c r="C586" s="15"/>
      <c r="D586" s="15"/>
      <c r="E586" s="3">
        <v>38975</v>
      </c>
      <c r="F586" s="3">
        <v>25999.75</v>
      </c>
      <c r="G586" s="3">
        <v>12612</v>
      </c>
      <c r="H586" s="18">
        <v>77586.75</v>
      </c>
      <c r="I586" s="19"/>
    </row>
    <row r="587" spans="1:9" x14ac:dyDescent="0.25">
      <c r="A587" s="14" t="s">
        <v>682</v>
      </c>
      <c r="B587" s="15"/>
      <c r="C587" s="15"/>
      <c r="D587" s="15"/>
      <c r="E587" s="3">
        <v>133120.95000000001</v>
      </c>
      <c r="F587" s="3">
        <v>158144.29</v>
      </c>
      <c r="G587" s="3">
        <v>151001.74</v>
      </c>
      <c r="H587" s="18">
        <v>442266.98</v>
      </c>
      <c r="I587" s="19"/>
    </row>
    <row r="588" spans="1:9" x14ac:dyDescent="0.25">
      <c r="A588" s="14" t="s">
        <v>683</v>
      </c>
      <c r="B588" s="15"/>
      <c r="C588" s="15"/>
      <c r="D588" s="15"/>
      <c r="E588" s="3">
        <v>38131.86</v>
      </c>
      <c r="F588" s="3">
        <v>15733.89</v>
      </c>
      <c r="G588" s="3">
        <v>9387.8700000000008</v>
      </c>
      <c r="H588" s="18">
        <v>63253.62</v>
      </c>
      <c r="I588" s="19"/>
    </row>
    <row r="589" spans="1:9" x14ac:dyDescent="0.25">
      <c r="A589" s="14" t="s">
        <v>684</v>
      </c>
      <c r="B589" s="15"/>
      <c r="C589" s="15"/>
      <c r="D589" s="15"/>
      <c r="E589" s="3">
        <v>1305124.43</v>
      </c>
      <c r="F589" s="3">
        <v>621054.80000000005</v>
      </c>
      <c r="G589" s="3">
        <v>1277659.8899999999</v>
      </c>
      <c r="H589" s="18">
        <v>3203839.12</v>
      </c>
      <c r="I589" s="19"/>
    </row>
    <row r="590" spans="1:9" x14ac:dyDescent="0.25">
      <c r="A590" s="14" t="s">
        <v>685</v>
      </c>
      <c r="B590" s="15"/>
      <c r="C590" s="15"/>
      <c r="D590" s="15"/>
      <c r="E590" s="3">
        <v>73129.58</v>
      </c>
      <c r="F590" s="3">
        <v>107317.31</v>
      </c>
      <c r="G590" s="3">
        <v>74005.649999999994</v>
      </c>
      <c r="H590" s="18">
        <v>254452.54</v>
      </c>
      <c r="I590" s="19"/>
    </row>
    <row r="591" spans="1:9" x14ac:dyDescent="0.25">
      <c r="A591" s="14" t="s">
        <v>686</v>
      </c>
      <c r="B591" s="15"/>
      <c r="C591" s="15"/>
      <c r="D591" s="15"/>
      <c r="E591" s="3">
        <v>78984.55</v>
      </c>
      <c r="F591" s="3">
        <v>58678.59</v>
      </c>
      <c r="G591" s="3">
        <v>115818.04</v>
      </c>
      <c r="H591" s="18">
        <v>253481.18</v>
      </c>
      <c r="I591" s="19"/>
    </row>
    <row r="592" spans="1:9" x14ac:dyDescent="0.25">
      <c r="A592" s="14" t="s">
        <v>687</v>
      </c>
      <c r="B592" s="15"/>
      <c r="C592" s="15"/>
      <c r="D592" s="15"/>
      <c r="E592" s="3">
        <v>50017.54</v>
      </c>
      <c r="F592" s="3">
        <v>274956.71999999997</v>
      </c>
      <c r="G592" s="3">
        <v>233284.79</v>
      </c>
      <c r="H592" s="18">
        <v>558259.05000000005</v>
      </c>
      <c r="I592" s="19"/>
    </row>
    <row r="593" spans="1:9" x14ac:dyDescent="0.25">
      <c r="A593" s="14" t="s">
        <v>688</v>
      </c>
      <c r="B593" s="15"/>
      <c r="C593" s="15"/>
      <c r="D593" s="15"/>
      <c r="E593" s="3">
        <v>332319</v>
      </c>
      <c r="F593" s="3">
        <v>326228.36</v>
      </c>
      <c r="G593" s="3">
        <v>264059.24</v>
      </c>
      <c r="H593" s="18">
        <v>922606.6</v>
      </c>
      <c r="I593" s="19"/>
    </row>
    <row r="594" spans="1:9" x14ac:dyDescent="0.25">
      <c r="A594" s="14" t="s">
        <v>689</v>
      </c>
      <c r="B594" s="15"/>
      <c r="C594" s="15"/>
      <c r="D594" s="15"/>
      <c r="E594" s="3">
        <v>171572.5</v>
      </c>
      <c r="F594" s="5"/>
      <c r="G594" s="3">
        <v>9897</v>
      </c>
      <c r="H594" s="18">
        <v>181469.5</v>
      </c>
      <c r="I594" s="19"/>
    </row>
    <row r="595" spans="1:9" x14ac:dyDescent="0.25">
      <c r="A595" s="14" t="s">
        <v>690</v>
      </c>
      <c r="B595" s="15"/>
      <c r="C595" s="15"/>
      <c r="D595" s="15"/>
      <c r="E595" s="3">
        <v>30497.08</v>
      </c>
      <c r="F595" s="3">
        <v>31293.72</v>
      </c>
      <c r="G595" s="3">
        <v>24831.02</v>
      </c>
      <c r="H595" s="18">
        <v>86621.82</v>
      </c>
      <c r="I595" s="19"/>
    </row>
    <row r="596" spans="1:9" x14ac:dyDescent="0.25">
      <c r="A596" s="14" t="s">
        <v>691</v>
      </c>
      <c r="B596" s="15"/>
      <c r="C596" s="15"/>
      <c r="D596" s="15"/>
      <c r="E596" s="5"/>
      <c r="F596" s="3">
        <v>20510.02</v>
      </c>
      <c r="G596" s="5"/>
      <c r="H596" s="18">
        <v>20510.02</v>
      </c>
      <c r="I596" s="19"/>
    </row>
    <row r="597" spans="1:9" x14ac:dyDescent="0.25">
      <c r="A597" s="14" t="s">
        <v>692</v>
      </c>
      <c r="B597" s="15"/>
      <c r="C597" s="15"/>
      <c r="D597" s="15"/>
      <c r="E597" s="3">
        <v>1269456.71</v>
      </c>
      <c r="F597" s="3">
        <v>1490385.05</v>
      </c>
      <c r="G597" s="3">
        <v>1074688.03</v>
      </c>
      <c r="H597" s="18">
        <v>3834529.79</v>
      </c>
      <c r="I597" s="19"/>
    </row>
    <row r="598" spans="1:9" x14ac:dyDescent="0.25">
      <c r="A598" s="14" t="s">
        <v>693</v>
      </c>
      <c r="B598" s="15"/>
      <c r="C598" s="15"/>
      <c r="D598" s="15"/>
      <c r="E598" s="3">
        <v>597471.85</v>
      </c>
      <c r="F598" s="3">
        <v>1512295.23</v>
      </c>
      <c r="G598" s="3">
        <v>1394387.45</v>
      </c>
      <c r="H598" s="18">
        <v>3504154.53</v>
      </c>
      <c r="I598" s="19"/>
    </row>
    <row r="599" spans="1:9" x14ac:dyDescent="0.25">
      <c r="A599" s="14" t="s">
        <v>694</v>
      </c>
      <c r="B599" s="15"/>
      <c r="C599" s="15"/>
      <c r="D599" s="15"/>
      <c r="E599" s="3">
        <v>74938.320000000007</v>
      </c>
      <c r="F599" s="3">
        <v>465372.52</v>
      </c>
      <c r="G599" s="3">
        <v>728966.79</v>
      </c>
      <c r="H599" s="18">
        <v>1269277.6299999999</v>
      </c>
      <c r="I599" s="19"/>
    </row>
    <row r="600" spans="1:9" x14ac:dyDescent="0.25">
      <c r="A600" s="14" t="s">
        <v>695</v>
      </c>
      <c r="B600" s="15"/>
      <c r="C600" s="15"/>
      <c r="D600" s="15"/>
      <c r="E600" s="3">
        <v>21543.54</v>
      </c>
      <c r="F600" s="3">
        <v>1387.86</v>
      </c>
      <c r="G600" s="3">
        <v>18224.2</v>
      </c>
      <c r="H600" s="18">
        <v>41155.599999999999</v>
      </c>
      <c r="I600" s="19"/>
    </row>
    <row r="601" spans="1:9" x14ac:dyDescent="0.25">
      <c r="A601" s="14" t="s">
        <v>696</v>
      </c>
      <c r="B601" s="15"/>
      <c r="C601" s="15"/>
      <c r="D601" s="15"/>
      <c r="E601" s="3">
        <v>412148.79</v>
      </c>
      <c r="F601" s="3">
        <v>551666.64</v>
      </c>
      <c r="G601" s="3">
        <v>540431.72</v>
      </c>
      <c r="H601" s="18">
        <v>1504247.15</v>
      </c>
      <c r="I601" s="19"/>
    </row>
    <row r="602" spans="1:9" x14ac:dyDescent="0.25">
      <c r="A602" s="14" t="s">
        <v>697</v>
      </c>
      <c r="B602" s="15"/>
      <c r="C602" s="15"/>
      <c r="D602" s="15"/>
      <c r="E602" s="3">
        <v>753205.61</v>
      </c>
      <c r="F602" s="3">
        <v>529324.14</v>
      </c>
      <c r="G602" s="3">
        <v>1135290.54</v>
      </c>
      <c r="H602" s="18">
        <v>2417820.29</v>
      </c>
      <c r="I602" s="19"/>
    </row>
    <row r="603" spans="1:9" x14ac:dyDescent="0.25">
      <c r="A603" s="14" t="s">
        <v>698</v>
      </c>
      <c r="B603" s="15"/>
      <c r="C603" s="15"/>
      <c r="D603" s="15"/>
      <c r="E603" s="5"/>
      <c r="F603" s="5"/>
      <c r="G603" s="3">
        <v>5746.98</v>
      </c>
      <c r="H603" s="18">
        <v>5746.98</v>
      </c>
      <c r="I603" s="19"/>
    </row>
    <row r="604" spans="1:9" x14ac:dyDescent="0.25">
      <c r="A604" s="14" t="s">
        <v>699</v>
      </c>
      <c r="B604" s="15"/>
      <c r="C604" s="15"/>
      <c r="D604" s="15"/>
      <c r="E604" s="3">
        <v>2287437.92</v>
      </c>
      <c r="F604" s="3">
        <v>2520262.0099999998</v>
      </c>
      <c r="G604" s="3">
        <v>1806508.95</v>
      </c>
      <c r="H604" s="18">
        <v>6614208.8799999999</v>
      </c>
      <c r="I604" s="19"/>
    </row>
    <row r="605" spans="1:9" x14ac:dyDescent="0.25">
      <c r="A605" s="14" t="s">
        <v>700</v>
      </c>
      <c r="B605" s="15"/>
      <c r="C605" s="15"/>
      <c r="D605" s="15"/>
      <c r="E605" s="3">
        <v>203020.85</v>
      </c>
      <c r="F605" s="4" t="s">
        <v>701</v>
      </c>
      <c r="G605" s="3">
        <v>436346.52</v>
      </c>
      <c r="H605" s="18">
        <v>545063.23</v>
      </c>
      <c r="I605" s="19"/>
    </row>
    <row r="606" spans="1:9" x14ac:dyDescent="0.25">
      <c r="A606" s="14" t="s">
        <v>702</v>
      </c>
      <c r="B606" s="15"/>
      <c r="C606" s="15"/>
      <c r="D606" s="15"/>
      <c r="E606" s="3">
        <v>482538.78</v>
      </c>
      <c r="F606" s="5"/>
      <c r="G606" s="3">
        <v>61666.91</v>
      </c>
      <c r="H606" s="18">
        <v>544205.68999999994</v>
      </c>
      <c r="I606" s="19"/>
    </row>
    <row r="607" spans="1:9" x14ac:dyDescent="0.25">
      <c r="A607" s="14" t="s">
        <v>703</v>
      </c>
      <c r="B607" s="15"/>
      <c r="C607" s="15"/>
      <c r="D607" s="15"/>
      <c r="E607" s="3">
        <v>292204.17</v>
      </c>
      <c r="F607" s="3">
        <v>930534.3</v>
      </c>
      <c r="G607" s="3">
        <v>44421.279999999999</v>
      </c>
      <c r="H607" s="18">
        <v>1267159.75</v>
      </c>
      <c r="I607" s="19"/>
    </row>
    <row r="608" spans="1:9" x14ac:dyDescent="0.25">
      <c r="A608" s="14" t="s">
        <v>704</v>
      </c>
      <c r="B608" s="15"/>
      <c r="C608" s="15"/>
      <c r="D608" s="15"/>
      <c r="E608" s="5"/>
      <c r="F608" s="5"/>
      <c r="G608" s="3">
        <v>5292.83</v>
      </c>
      <c r="H608" s="18">
        <v>5292.83</v>
      </c>
      <c r="I608" s="19"/>
    </row>
    <row r="609" spans="1:9" x14ac:dyDescent="0.25">
      <c r="A609" s="14" t="s">
        <v>705</v>
      </c>
      <c r="B609" s="15"/>
      <c r="C609" s="15"/>
      <c r="D609" s="15"/>
      <c r="E609" s="3">
        <v>934738.38</v>
      </c>
      <c r="F609" s="3">
        <v>1602275.82</v>
      </c>
      <c r="G609" s="3">
        <v>513555.02</v>
      </c>
      <c r="H609" s="18">
        <v>3050569.22</v>
      </c>
      <c r="I609" s="19"/>
    </row>
    <row r="610" spans="1:9" x14ac:dyDescent="0.25">
      <c r="A610" s="14" t="s">
        <v>706</v>
      </c>
      <c r="B610" s="15"/>
      <c r="C610" s="15"/>
      <c r="D610" s="15"/>
      <c r="E610" s="3">
        <v>589788.74</v>
      </c>
      <c r="F610" s="4" t="s">
        <v>707</v>
      </c>
      <c r="G610" s="3">
        <v>303095.57</v>
      </c>
      <c r="H610" s="20" t="s">
        <v>708</v>
      </c>
      <c r="I610" s="21"/>
    </row>
    <row r="611" spans="1:9" x14ac:dyDescent="0.25">
      <c r="A611" s="14" t="s">
        <v>709</v>
      </c>
      <c r="B611" s="15"/>
      <c r="C611" s="15"/>
      <c r="D611" s="15"/>
      <c r="E611" s="3">
        <v>229142.86</v>
      </c>
      <c r="F611" s="3">
        <v>75242.23</v>
      </c>
      <c r="G611" s="3">
        <v>123075.92</v>
      </c>
      <c r="H611" s="18">
        <v>427461.01</v>
      </c>
      <c r="I611" s="19"/>
    </row>
    <row r="612" spans="1:9" x14ac:dyDescent="0.25">
      <c r="A612" s="14" t="s">
        <v>710</v>
      </c>
      <c r="B612" s="15"/>
      <c r="C612" s="15"/>
      <c r="D612" s="15"/>
      <c r="E612" s="3">
        <v>606569.76</v>
      </c>
      <c r="F612" s="3">
        <v>64076.32</v>
      </c>
      <c r="G612" s="3">
        <v>295755.90000000002</v>
      </c>
      <c r="H612" s="18">
        <v>966401.98</v>
      </c>
      <c r="I612" s="19"/>
    </row>
    <row r="613" spans="1:9" x14ac:dyDescent="0.25">
      <c r="A613" s="14" t="s">
        <v>711</v>
      </c>
      <c r="B613" s="15"/>
      <c r="C613" s="15"/>
      <c r="D613" s="15"/>
      <c r="E613" s="3">
        <v>6015.98</v>
      </c>
      <c r="F613" s="5"/>
      <c r="G613" s="3">
        <v>63788.71</v>
      </c>
      <c r="H613" s="18">
        <v>69804.69</v>
      </c>
      <c r="I613" s="19"/>
    </row>
    <row r="614" spans="1:9" x14ac:dyDescent="0.25">
      <c r="A614" s="14" t="s">
        <v>712</v>
      </c>
      <c r="B614" s="15"/>
      <c r="C614" s="15"/>
      <c r="D614" s="15"/>
      <c r="E614" s="5"/>
      <c r="F614" s="5"/>
      <c r="G614" s="3">
        <v>5263.48</v>
      </c>
      <c r="H614" s="18">
        <v>5263.48</v>
      </c>
      <c r="I614" s="19"/>
    </row>
    <row r="615" spans="1:9" x14ac:dyDescent="0.25">
      <c r="A615" s="14" t="s">
        <v>713</v>
      </c>
      <c r="B615" s="15"/>
      <c r="C615" s="15"/>
      <c r="D615" s="15"/>
      <c r="E615" s="5"/>
      <c r="F615" s="5"/>
      <c r="G615" s="3">
        <v>1488.06</v>
      </c>
      <c r="H615" s="18">
        <v>1488.06</v>
      </c>
      <c r="I615" s="19"/>
    </row>
    <row r="616" spans="1:9" x14ac:dyDescent="0.25">
      <c r="A616" s="14" t="s">
        <v>714</v>
      </c>
      <c r="B616" s="15"/>
      <c r="C616" s="15"/>
      <c r="D616" s="15"/>
      <c r="E616" s="5"/>
      <c r="F616" s="5"/>
      <c r="G616" s="3">
        <v>1389.27</v>
      </c>
      <c r="H616" s="18">
        <v>1389.27</v>
      </c>
      <c r="I616" s="19"/>
    </row>
    <row r="617" spans="1:9" x14ac:dyDescent="0.25">
      <c r="A617" s="14" t="s">
        <v>715</v>
      </c>
      <c r="B617" s="15"/>
      <c r="C617" s="15"/>
      <c r="D617" s="15"/>
      <c r="E617" s="5"/>
      <c r="F617" s="5"/>
      <c r="G617" s="3">
        <v>2117.83</v>
      </c>
      <c r="H617" s="18">
        <v>2117.83</v>
      </c>
      <c r="I617" s="19"/>
    </row>
    <row r="618" spans="1:9" x14ac:dyDescent="0.25">
      <c r="A618" s="14" t="s">
        <v>716</v>
      </c>
      <c r="B618" s="15"/>
      <c r="C618" s="15"/>
      <c r="D618" s="15"/>
      <c r="E618" s="5"/>
      <c r="F618" s="5"/>
      <c r="G618" s="3">
        <v>2321.4299999999998</v>
      </c>
      <c r="H618" s="18">
        <v>2321.4299999999998</v>
      </c>
      <c r="I618" s="19"/>
    </row>
    <row r="619" spans="1:9" x14ac:dyDescent="0.25">
      <c r="A619" s="14" t="s">
        <v>717</v>
      </c>
      <c r="B619" s="15"/>
      <c r="C619" s="15"/>
      <c r="D619" s="15"/>
      <c r="E619" s="3">
        <v>2280</v>
      </c>
      <c r="F619" s="5"/>
      <c r="G619" s="3">
        <v>8370</v>
      </c>
      <c r="H619" s="18">
        <v>10650</v>
      </c>
      <c r="I619" s="19"/>
    </row>
    <row r="620" spans="1:9" x14ac:dyDescent="0.25">
      <c r="A620" s="14" t="s">
        <v>718</v>
      </c>
      <c r="B620" s="15"/>
      <c r="C620" s="15"/>
      <c r="D620" s="15"/>
      <c r="E620" s="4" t="s">
        <v>719</v>
      </c>
      <c r="F620" s="4" t="s">
        <v>720</v>
      </c>
      <c r="G620" s="4" t="s">
        <v>721</v>
      </c>
      <c r="H620" s="20" t="s">
        <v>722</v>
      </c>
      <c r="I620" s="21"/>
    </row>
    <row r="621" spans="1:9" x14ac:dyDescent="0.25">
      <c r="A621" s="14" t="s">
        <v>723</v>
      </c>
      <c r="B621" s="15"/>
      <c r="C621" s="15"/>
      <c r="D621" s="15"/>
      <c r="E621" s="3">
        <v>947093.73</v>
      </c>
      <c r="F621" s="5"/>
      <c r="G621" s="3">
        <v>307854.96000000002</v>
      </c>
      <c r="H621" s="18">
        <v>1254948.69</v>
      </c>
      <c r="I621" s="19"/>
    </row>
    <row r="622" spans="1:9" x14ac:dyDescent="0.25">
      <c r="A622" s="14" t="s">
        <v>724</v>
      </c>
      <c r="B622" s="15"/>
      <c r="C622" s="15"/>
      <c r="D622" s="15"/>
      <c r="E622" s="5"/>
      <c r="F622" s="5"/>
      <c r="G622" s="3">
        <v>4382.24</v>
      </c>
      <c r="H622" s="18">
        <v>4382.24</v>
      </c>
      <c r="I622" s="19"/>
    </row>
    <row r="623" spans="1:9" x14ac:dyDescent="0.25">
      <c r="A623" s="14" t="s">
        <v>725</v>
      </c>
      <c r="B623" s="15"/>
      <c r="C623" s="15"/>
      <c r="D623" s="15"/>
      <c r="E623" s="3">
        <v>94883.63</v>
      </c>
      <c r="F623" s="5"/>
      <c r="G623" s="3">
        <v>18063.29</v>
      </c>
      <c r="H623" s="18">
        <v>112946.92</v>
      </c>
      <c r="I623" s="19"/>
    </row>
    <row r="624" spans="1:9" x14ac:dyDescent="0.25">
      <c r="A624" s="14" t="s">
        <v>726</v>
      </c>
      <c r="B624" s="15"/>
      <c r="C624" s="15"/>
      <c r="D624" s="15"/>
      <c r="E624" s="3">
        <v>3361.78</v>
      </c>
      <c r="F624" s="5"/>
      <c r="G624" s="5"/>
      <c r="H624" s="18">
        <v>3361.78</v>
      </c>
      <c r="I624" s="19"/>
    </row>
    <row r="625" spans="1:9" x14ac:dyDescent="0.25">
      <c r="A625" s="14" t="s">
        <v>727</v>
      </c>
      <c r="B625" s="15"/>
      <c r="C625" s="15"/>
      <c r="D625" s="15"/>
      <c r="E625" s="5"/>
      <c r="F625" s="3">
        <v>17700.09</v>
      </c>
      <c r="G625" s="3">
        <v>76.89</v>
      </c>
      <c r="H625" s="18">
        <v>17776.98</v>
      </c>
      <c r="I625" s="19"/>
    </row>
    <row r="626" spans="1:9" x14ac:dyDescent="0.25">
      <c r="A626" s="14" t="s">
        <v>728</v>
      </c>
      <c r="B626" s="15"/>
      <c r="C626" s="15"/>
      <c r="D626" s="15"/>
      <c r="E626" s="5"/>
      <c r="F626" s="5"/>
      <c r="G626" s="3">
        <v>25.69</v>
      </c>
      <c r="H626" s="18">
        <v>25.69</v>
      </c>
      <c r="I626" s="19"/>
    </row>
    <row r="627" spans="1:9" x14ac:dyDescent="0.25">
      <c r="A627" s="14" t="s">
        <v>729</v>
      </c>
      <c r="B627" s="15"/>
      <c r="C627" s="15"/>
      <c r="D627" s="15"/>
      <c r="E627" s="3">
        <v>385221.32</v>
      </c>
      <c r="F627" s="5"/>
      <c r="G627" s="3">
        <v>55359.95</v>
      </c>
      <c r="H627" s="18">
        <v>440581.27</v>
      </c>
      <c r="I627" s="19"/>
    </row>
    <row r="628" spans="1:9" x14ac:dyDescent="0.25">
      <c r="A628" s="14" t="s">
        <v>730</v>
      </c>
      <c r="B628" s="15"/>
      <c r="C628" s="15"/>
      <c r="D628" s="15"/>
      <c r="E628" s="3">
        <v>570144.75</v>
      </c>
      <c r="F628" s="3">
        <v>127755.23</v>
      </c>
      <c r="G628" s="3">
        <v>927785.71</v>
      </c>
      <c r="H628" s="18">
        <v>1625685.69</v>
      </c>
      <c r="I628" s="19"/>
    </row>
    <row r="629" spans="1:9" x14ac:dyDescent="0.25">
      <c r="A629" s="14" t="s">
        <v>731</v>
      </c>
      <c r="B629" s="15"/>
      <c r="C629" s="15"/>
      <c r="D629" s="15"/>
      <c r="E629" s="3">
        <v>3626616.21</v>
      </c>
      <c r="F629" s="3">
        <v>2439613.37</v>
      </c>
      <c r="G629" s="3">
        <v>3444038.85</v>
      </c>
      <c r="H629" s="18">
        <v>9510268.4299999997</v>
      </c>
      <c r="I629" s="19"/>
    </row>
    <row r="630" spans="1:9" x14ac:dyDescent="0.25">
      <c r="A630" s="14" t="s">
        <v>732</v>
      </c>
      <c r="B630" s="15"/>
      <c r="C630" s="15"/>
      <c r="D630" s="15"/>
      <c r="E630" s="3">
        <v>103904.65</v>
      </c>
      <c r="F630" s="5"/>
      <c r="G630" s="3">
        <v>55083.03</v>
      </c>
      <c r="H630" s="18">
        <v>158987.68</v>
      </c>
      <c r="I630" s="19"/>
    </row>
    <row r="631" spans="1:9" x14ac:dyDescent="0.25">
      <c r="A631" s="14" t="s">
        <v>733</v>
      </c>
      <c r="B631" s="15"/>
      <c r="C631" s="15"/>
      <c r="D631" s="15"/>
      <c r="E631" s="3">
        <v>84154.76</v>
      </c>
      <c r="F631" s="3">
        <v>2024.07</v>
      </c>
      <c r="G631" s="3">
        <v>25289.96</v>
      </c>
      <c r="H631" s="18">
        <v>111468.79</v>
      </c>
      <c r="I631" s="19"/>
    </row>
    <row r="632" spans="1:9" x14ac:dyDescent="0.25">
      <c r="A632" s="14" t="s">
        <v>734</v>
      </c>
      <c r="B632" s="15"/>
      <c r="C632" s="15"/>
      <c r="D632" s="15"/>
      <c r="E632" s="3">
        <v>2121642.92</v>
      </c>
      <c r="F632" s="5"/>
      <c r="G632" s="3">
        <v>145865.13</v>
      </c>
      <c r="H632" s="18">
        <v>2267508.0499999998</v>
      </c>
      <c r="I632" s="19"/>
    </row>
    <row r="633" spans="1:9" x14ac:dyDescent="0.25">
      <c r="A633" s="14" t="s">
        <v>735</v>
      </c>
      <c r="B633" s="15"/>
      <c r="C633" s="15"/>
      <c r="D633" s="15"/>
      <c r="E633" s="5"/>
      <c r="F633" s="3">
        <v>26783895.719999999</v>
      </c>
      <c r="G633" s="3">
        <v>28781611.52</v>
      </c>
      <c r="H633" s="18">
        <v>55565507.240000002</v>
      </c>
      <c r="I633" s="19"/>
    </row>
    <row r="634" spans="1:9" x14ac:dyDescent="0.25">
      <c r="A634" s="14" t="s">
        <v>736</v>
      </c>
      <c r="B634" s="15"/>
      <c r="C634" s="15"/>
      <c r="D634" s="15"/>
      <c r="E634" s="3">
        <v>205403.54</v>
      </c>
      <c r="F634" s="5"/>
      <c r="G634" s="3">
        <v>83943.22</v>
      </c>
      <c r="H634" s="18">
        <v>289346.76</v>
      </c>
      <c r="I634" s="19"/>
    </row>
    <row r="635" spans="1:9" x14ac:dyDescent="0.25">
      <c r="A635" s="14" t="s">
        <v>737</v>
      </c>
      <c r="B635" s="15"/>
      <c r="C635" s="15"/>
      <c r="D635" s="15"/>
      <c r="E635" s="3">
        <v>323860.14</v>
      </c>
      <c r="F635" s="5"/>
      <c r="G635" s="3">
        <v>49855.5</v>
      </c>
      <c r="H635" s="18">
        <v>373715.64</v>
      </c>
      <c r="I635" s="19"/>
    </row>
    <row r="636" spans="1:9" x14ac:dyDescent="0.25">
      <c r="A636" s="14" t="s">
        <v>738</v>
      </c>
      <c r="B636" s="15"/>
      <c r="C636" s="15"/>
      <c r="D636" s="15"/>
      <c r="E636" s="3">
        <v>596537.68999999994</v>
      </c>
      <c r="F636" s="5"/>
      <c r="G636" s="3">
        <v>94743.16</v>
      </c>
      <c r="H636" s="18">
        <v>691280.85</v>
      </c>
      <c r="I636" s="19"/>
    </row>
    <row r="637" spans="1:9" x14ac:dyDescent="0.25">
      <c r="A637" s="14" t="s">
        <v>739</v>
      </c>
      <c r="B637" s="15"/>
      <c r="C637" s="15"/>
      <c r="D637" s="15"/>
      <c r="E637" s="3">
        <v>154196.76</v>
      </c>
      <c r="F637" s="5"/>
      <c r="G637" s="3">
        <v>4170.8599999999997</v>
      </c>
      <c r="H637" s="18">
        <v>158367.62</v>
      </c>
      <c r="I637" s="19"/>
    </row>
    <row r="638" spans="1:9" x14ac:dyDescent="0.25">
      <c r="A638" s="14" t="s">
        <v>740</v>
      </c>
      <c r="B638" s="15"/>
      <c r="C638" s="15"/>
      <c r="D638" s="15"/>
      <c r="E638" s="3">
        <v>948070.25</v>
      </c>
      <c r="F638" s="4" t="s">
        <v>741</v>
      </c>
      <c r="G638" s="4" t="s">
        <v>742</v>
      </c>
      <c r="H638" s="20" t="s">
        <v>743</v>
      </c>
      <c r="I638" s="21"/>
    </row>
    <row r="639" spans="1:9" x14ac:dyDescent="0.25">
      <c r="A639" s="14" t="s">
        <v>744</v>
      </c>
      <c r="B639" s="15"/>
      <c r="C639" s="15"/>
      <c r="D639" s="15"/>
      <c r="E639" s="3">
        <v>506836.43</v>
      </c>
      <c r="F639" s="5"/>
      <c r="G639" s="3">
        <v>110084.91</v>
      </c>
      <c r="H639" s="18">
        <v>616921.34</v>
      </c>
      <c r="I639" s="19"/>
    </row>
    <row r="640" spans="1:9" x14ac:dyDescent="0.25">
      <c r="A640" s="14" t="s">
        <v>745</v>
      </c>
      <c r="B640" s="15"/>
      <c r="C640" s="15"/>
      <c r="D640" s="15"/>
      <c r="E640" s="3">
        <v>442388.06</v>
      </c>
      <c r="F640" s="5"/>
      <c r="G640" s="3">
        <v>28257.02</v>
      </c>
      <c r="H640" s="18">
        <v>470645.08</v>
      </c>
      <c r="I640" s="19"/>
    </row>
    <row r="641" spans="1:9" x14ac:dyDescent="0.25">
      <c r="A641" s="14" t="s">
        <v>746</v>
      </c>
      <c r="B641" s="15"/>
      <c r="C641" s="15"/>
      <c r="D641" s="15"/>
      <c r="E641" s="3">
        <v>169117.53</v>
      </c>
      <c r="F641" s="5"/>
      <c r="G641" s="3">
        <v>67397.899999999994</v>
      </c>
      <c r="H641" s="18">
        <v>236515.43</v>
      </c>
      <c r="I641" s="19"/>
    </row>
    <row r="642" spans="1:9" x14ac:dyDescent="0.25">
      <c r="A642" s="14" t="s">
        <v>747</v>
      </c>
      <c r="B642" s="15"/>
      <c r="C642" s="15"/>
      <c r="D642" s="15"/>
      <c r="E642" s="3">
        <v>613163.74</v>
      </c>
      <c r="F642" s="5"/>
      <c r="G642" s="3">
        <v>19569.330000000002</v>
      </c>
      <c r="H642" s="18">
        <v>632733.06999999995</v>
      </c>
      <c r="I642" s="19"/>
    </row>
    <row r="643" spans="1:9" x14ac:dyDescent="0.25">
      <c r="A643" s="14" t="s">
        <v>748</v>
      </c>
      <c r="B643" s="15"/>
      <c r="C643" s="15"/>
      <c r="D643" s="15"/>
      <c r="E643" s="3">
        <v>676463.73</v>
      </c>
      <c r="F643" s="5"/>
      <c r="G643" s="3">
        <v>24119.54</v>
      </c>
      <c r="H643" s="18">
        <v>700583.27</v>
      </c>
      <c r="I643" s="19"/>
    </row>
    <row r="644" spans="1:9" x14ac:dyDescent="0.25">
      <c r="A644" s="14" t="s">
        <v>749</v>
      </c>
      <c r="B644" s="15"/>
      <c r="C644" s="15"/>
      <c r="D644" s="15"/>
      <c r="E644" s="5"/>
      <c r="F644" s="5"/>
      <c r="G644" s="3">
        <v>17185.919999999998</v>
      </c>
      <c r="H644" s="18">
        <v>17185.919999999998</v>
      </c>
      <c r="I644" s="19"/>
    </row>
    <row r="645" spans="1:9" x14ac:dyDescent="0.25">
      <c r="A645" s="14" t="s">
        <v>750</v>
      </c>
      <c r="B645" s="15"/>
      <c r="C645" s="15"/>
      <c r="D645" s="15"/>
      <c r="E645" s="3">
        <v>749607.25</v>
      </c>
      <c r="F645" s="3">
        <v>990101.69</v>
      </c>
      <c r="G645" s="3">
        <v>546384.34</v>
      </c>
      <c r="H645" s="18">
        <v>2286093.2799999998</v>
      </c>
      <c r="I645" s="19"/>
    </row>
    <row r="646" spans="1:9" x14ac:dyDescent="0.25">
      <c r="A646" s="14" t="s">
        <v>751</v>
      </c>
      <c r="B646" s="15"/>
      <c r="C646" s="15"/>
      <c r="D646" s="15"/>
      <c r="E646" s="3">
        <v>273288.59000000003</v>
      </c>
      <c r="F646" s="5"/>
      <c r="G646" s="3">
        <v>3720.17</v>
      </c>
      <c r="H646" s="18">
        <v>277008.76</v>
      </c>
      <c r="I646" s="19"/>
    </row>
    <row r="647" spans="1:9" x14ac:dyDescent="0.25">
      <c r="A647" s="14" t="s">
        <v>752</v>
      </c>
      <c r="B647" s="15"/>
      <c r="C647" s="15"/>
      <c r="D647" s="15"/>
      <c r="E647" s="3">
        <v>272130.52</v>
      </c>
      <c r="F647" s="5"/>
      <c r="G647" s="3">
        <v>23437.35</v>
      </c>
      <c r="H647" s="18">
        <v>295567.87</v>
      </c>
      <c r="I647" s="19"/>
    </row>
    <row r="648" spans="1:9" x14ac:dyDescent="0.25">
      <c r="A648" s="14" t="s">
        <v>753</v>
      </c>
      <c r="B648" s="15"/>
      <c r="C648" s="15"/>
      <c r="D648" s="15"/>
      <c r="E648" s="5"/>
      <c r="F648" s="5"/>
      <c r="G648" s="3">
        <v>9557.56</v>
      </c>
      <c r="H648" s="18">
        <v>9557.56</v>
      </c>
      <c r="I648" s="19"/>
    </row>
    <row r="649" spans="1:9" x14ac:dyDescent="0.25">
      <c r="A649" s="14" t="s">
        <v>754</v>
      </c>
      <c r="B649" s="15"/>
      <c r="C649" s="15"/>
      <c r="D649" s="15"/>
      <c r="E649" s="5"/>
      <c r="F649" s="5"/>
      <c r="G649" s="3">
        <v>10190.89</v>
      </c>
      <c r="H649" s="18">
        <v>10190.89</v>
      </c>
      <c r="I649" s="19"/>
    </row>
    <row r="650" spans="1:9" x14ac:dyDescent="0.25">
      <c r="A650" s="14" t="s">
        <v>755</v>
      </c>
      <c r="B650" s="15"/>
      <c r="C650" s="15"/>
      <c r="D650" s="15"/>
      <c r="E650" s="3">
        <v>490052.83</v>
      </c>
      <c r="F650" s="5"/>
      <c r="G650" s="3">
        <v>27471.16</v>
      </c>
      <c r="H650" s="18">
        <v>517523.99</v>
      </c>
      <c r="I650" s="19"/>
    </row>
    <row r="651" spans="1:9" x14ac:dyDescent="0.25">
      <c r="A651" s="14" t="s">
        <v>756</v>
      </c>
      <c r="B651" s="15"/>
      <c r="C651" s="15"/>
      <c r="D651" s="15"/>
      <c r="E651" s="3">
        <v>646776.25</v>
      </c>
      <c r="F651" s="5"/>
      <c r="G651" s="3">
        <v>24217.69</v>
      </c>
      <c r="H651" s="18">
        <v>670993.93999999994</v>
      </c>
      <c r="I651" s="19"/>
    </row>
    <row r="652" spans="1:9" x14ac:dyDescent="0.25">
      <c r="A652" s="14" t="s">
        <v>757</v>
      </c>
      <c r="B652" s="15"/>
      <c r="C652" s="15"/>
      <c r="D652" s="15"/>
      <c r="E652" s="5"/>
      <c r="F652" s="5"/>
      <c r="G652" s="3">
        <v>944.14</v>
      </c>
      <c r="H652" s="18">
        <v>944.14</v>
      </c>
      <c r="I652" s="19"/>
    </row>
    <row r="653" spans="1:9" x14ac:dyDescent="0.25">
      <c r="A653" s="14" t="s">
        <v>758</v>
      </c>
      <c r="B653" s="15"/>
      <c r="C653" s="15"/>
      <c r="D653" s="15"/>
      <c r="E653" s="3">
        <v>137294.26</v>
      </c>
      <c r="F653" s="3">
        <v>3318</v>
      </c>
      <c r="G653" s="3">
        <v>137154</v>
      </c>
      <c r="H653" s="18">
        <v>277766.26</v>
      </c>
      <c r="I653" s="19"/>
    </row>
    <row r="654" spans="1:9" x14ac:dyDescent="0.25">
      <c r="A654" s="14" t="s">
        <v>759</v>
      </c>
      <c r="B654" s="15"/>
      <c r="C654" s="15"/>
      <c r="D654" s="15"/>
      <c r="E654" s="5"/>
      <c r="F654" s="3">
        <v>3167179.14</v>
      </c>
      <c r="G654" s="3">
        <v>5234.46</v>
      </c>
      <c r="H654" s="18">
        <v>3172413.6</v>
      </c>
      <c r="I654" s="19"/>
    </row>
    <row r="655" spans="1:9" x14ac:dyDescent="0.25">
      <c r="A655" s="14" t="s">
        <v>760</v>
      </c>
      <c r="B655" s="15"/>
      <c r="C655" s="15"/>
      <c r="D655" s="15"/>
      <c r="E655" s="3">
        <v>531.94999999999902</v>
      </c>
      <c r="F655" s="3">
        <v>2302.38</v>
      </c>
      <c r="G655" s="3">
        <v>4391.0600000000004</v>
      </c>
      <c r="H655" s="18">
        <v>7225.39</v>
      </c>
      <c r="I655" s="19"/>
    </row>
    <row r="656" spans="1:9" x14ac:dyDescent="0.25">
      <c r="A656" s="14" t="s">
        <v>761</v>
      </c>
      <c r="B656" s="15"/>
      <c r="C656" s="15"/>
      <c r="D656" s="15"/>
      <c r="E656" s="3">
        <v>237170.5</v>
      </c>
      <c r="F656" s="3">
        <v>168294.2</v>
      </c>
      <c r="G656" s="3">
        <v>192003.9</v>
      </c>
      <c r="H656" s="18">
        <v>597468.6</v>
      </c>
      <c r="I656" s="19"/>
    </row>
    <row r="657" spans="1:9" x14ac:dyDescent="0.25">
      <c r="A657" s="14" t="s">
        <v>762</v>
      </c>
      <c r="B657" s="15"/>
      <c r="C657" s="15"/>
      <c r="D657" s="15"/>
      <c r="E657" s="3">
        <v>36085.440000000002</v>
      </c>
      <c r="F657" s="3">
        <v>39728.32</v>
      </c>
      <c r="G657" s="3">
        <v>60767.24</v>
      </c>
      <c r="H657" s="18">
        <v>136581</v>
      </c>
      <c r="I657" s="19"/>
    </row>
    <row r="658" spans="1:9" x14ac:dyDescent="0.25">
      <c r="A658" s="14" t="s">
        <v>763</v>
      </c>
      <c r="B658" s="15"/>
      <c r="C658" s="15"/>
      <c r="D658" s="15"/>
      <c r="E658" s="3">
        <v>15964.18</v>
      </c>
      <c r="F658" s="3">
        <v>21453.55</v>
      </c>
      <c r="G658" s="3">
        <v>3196.27</v>
      </c>
      <c r="H658" s="18">
        <v>40614</v>
      </c>
      <c r="I658" s="19"/>
    </row>
    <row r="659" spans="1:9" x14ac:dyDescent="0.25">
      <c r="A659" s="14" t="s">
        <v>764</v>
      </c>
      <c r="B659" s="15"/>
      <c r="C659" s="15"/>
      <c r="D659" s="15"/>
      <c r="E659" s="3">
        <v>264386.02</v>
      </c>
      <c r="F659" s="3">
        <v>348515.81</v>
      </c>
      <c r="G659" s="3">
        <v>212093.34</v>
      </c>
      <c r="H659" s="18">
        <v>824995.17</v>
      </c>
      <c r="I659" s="19"/>
    </row>
    <row r="660" spans="1:9" x14ac:dyDescent="0.25">
      <c r="A660" s="14" t="s">
        <v>765</v>
      </c>
      <c r="B660" s="15"/>
      <c r="C660" s="15"/>
      <c r="D660" s="15"/>
      <c r="E660" s="3">
        <v>211720.54</v>
      </c>
      <c r="F660" s="3">
        <v>192191.91</v>
      </c>
      <c r="G660" s="3">
        <v>192864.17</v>
      </c>
      <c r="H660" s="18">
        <v>596776.62</v>
      </c>
      <c r="I660" s="19"/>
    </row>
    <row r="661" spans="1:9" x14ac:dyDescent="0.25">
      <c r="A661" s="14" t="s">
        <v>766</v>
      </c>
      <c r="B661" s="15"/>
      <c r="C661" s="15"/>
      <c r="D661" s="15"/>
      <c r="E661" s="3">
        <v>59678.6</v>
      </c>
      <c r="F661" s="3">
        <v>38209.620000000003</v>
      </c>
      <c r="G661" s="3">
        <v>61066.080000000002</v>
      </c>
      <c r="H661" s="18">
        <v>158954.29999999999</v>
      </c>
      <c r="I661" s="19"/>
    </row>
    <row r="662" spans="1:9" x14ac:dyDescent="0.25">
      <c r="A662" s="14" t="s">
        <v>767</v>
      </c>
      <c r="B662" s="15"/>
      <c r="C662" s="15"/>
      <c r="D662" s="15"/>
      <c r="E662" s="3">
        <v>21446.33</v>
      </c>
      <c r="F662" s="3">
        <v>19988.310000000001</v>
      </c>
      <c r="G662" s="3">
        <v>15722.63</v>
      </c>
      <c r="H662" s="18">
        <v>57157.27</v>
      </c>
      <c r="I662" s="19"/>
    </row>
    <row r="663" spans="1:9" x14ac:dyDescent="0.25">
      <c r="A663" s="14" t="s">
        <v>768</v>
      </c>
      <c r="B663" s="15"/>
      <c r="C663" s="15"/>
      <c r="D663" s="15"/>
      <c r="E663" s="5"/>
      <c r="F663" s="3">
        <v>787.43</v>
      </c>
      <c r="G663" s="5"/>
      <c r="H663" s="18">
        <v>787.43</v>
      </c>
      <c r="I663" s="19"/>
    </row>
    <row r="664" spans="1:9" x14ac:dyDescent="0.25">
      <c r="A664" s="14" t="s">
        <v>769</v>
      </c>
      <c r="B664" s="15"/>
      <c r="C664" s="15"/>
      <c r="D664" s="15"/>
      <c r="E664" s="3">
        <v>13009.72</v>
      </c>
      <c r="F664" s="3">
        <v>28756.66</v>
      </c>
      <c r="G664" s="3">
        <v>3196.99</v>
      </c>
      <c r="H664" s="18">
        <v>44963.37</v>
      </c>
      <c r="I664" s="19"/>
    </row>
    <row r="665" spans="1:9" x14ac:dyDescent="0.25">
      <c r="A665" s="14" t="s">
        <v>770</v>
      </c>
      <c r="B665" s="15"/>
      <c r="C665" s="15"/>
      <c r="D665" s="15"/>
      <c r="E665" s="4" t="s">
        <v>771</v>
      </c>
      <c r="F665" s="4" t="s">
        <v>772</v>
      </c>
      <c r="G665" s="4" t="s">
        <v>773</v>
      </c>
      <c r="H665" s="20" t="s">
        <v>774</v>
      </c>
      <c r="I665" s="21"/>
    </row>
    <row r="666" spans="1:9" x14ac:dyDescent="0.25">
      <c r="A666" s="14" t="s">
        <v>775</v>
      </c>
      <c r="B666" s="15"/>
      <c r="C666" s="15"/>
      <c r="D666" s="15"/>
      <c r="E666" s="3">
        <v>1317.5</v>
      </c>
      <c r="F666" s="4" t="s">
        <v>776</v>
      </c>
      <c r="G666" s="3">
        <v>475.58</v>
      </c>
      <c r="H666" s="20" t="s">
        <v>777</v>
      </c>
      <c r="I666" s="21"/>
    </row>
    <row r="667" spans="1:9" x14ac:dyDescent="0.25">
      <c r="A667" s="14" t="s">
        <v>778</v>
      </c>
      <c r="B667" s="15"/>
      <c r="C667" s="15"/>
      <c r="D667" s="15"/>
      <c r="E667" s="3">
        <v>23053.33</v>
      </c>
      <c r="F667" s="3">
        <v>18381.73</v>
      </c>
      <c r="G667" s="3">
        <v>8145.62</v>
      </c>
      <c r="H667" s="18">
        <v>49580.68</v>
      </c>
      <c r="I667" s="19"/>
    </row>
    <row r="668" spans="1:9" x14ac:dyDescent="0.25">
      <c r="A668" s="14" t="s">
        <v>779</v>
      </c>
      <c r="B668" s="15"/>
      <c r="C668" s="15"/>
      <c r="D668" s="15"/>
      <c r="E668" s="3">
        <v>357.76</v>
      </c>
      <c r="F668" s="5"/>
      <c r="G668" s="3">
        <v>691.95</v>
      </c>
      <c r="H668" s="18">
        <v>1049.71</v>
      </c>
      <c r="I668" s="19"/>
    </row>
    <row r="669" spans="1:9" x14ac:dyDescent="0.25">
      <c r="A669" s="14" t="s">
        <v>780</v>
      </c>
      <c r="B669" s="15"/>
      <c r="C669" s="15"/>
      <c r="D669" s="15"/>
      <c r="E669" s="3">
        <v>11672.8</v>
      </c>
      <c r="F669" s="4" t="s">
        <v>781</v>
      </c>
      <c r="G669" s="4" t="s">
        <v>782</v>
      </c>
      <c r="H669" s="20" t="s">
        <v>783</v>
      </c>
      <c r="I669" s="21"/>
    </row>
    <row r="670" spans="1:9" x14ac:dyDescent="0.25">
      <c r="A670" s="14" t="s">
        <v>784</v>
      </c>
      <c r="B670" s="15"/>
      <c r="C670" s="15"/>
      <c r="D670" s="15"/>
      <c r="E670" s="5"/>
      <c r="F670" s="3">
        <v>7.06</v>
      </c>
      <c r="G670" s="5"/>
      <c r="H670" s="18">
        <v>7.06</v>
      </c>
      <c r="I670" s="19"/>
    </row>
    <row r="671" spans="1:9" x14ac:dyDescent="0.25">
      <c r="A671" s="14" t="s">
        <v>785</v>
      </c>
      <c r="B671" s="15"/>
      <c r="C671" s="15"/>
      <c r="D671" s="15"/>
      <c r="E671" s="5"/>
      <c r="F671" s="3">
        <v>2103.13</v>
      </c>
      <c r="G671" s="5"/>
      <c r="H671" s="18">
        <v>2103.13</v>
      </c>
      <c r="I671" s="19"/>
    </row>
    <row r="672" spans="1:9" x14ac:dyDescent="0.25">
      <c r="A672" s="14" t="s">
        <v>786</v>
      </c>
      <c r="B672" s="15"/>
      <c r="C672" s="15"/>
      <c r="D672" s="15"/>
      <c r="E672" s="5"/>
      <c r="F672" s="3">
        <v>2088.52</v>
      </c>
      <c r="G672" s="5"/>
      <c r="H672" s="18">
        <v>2088.52</v>
      </c>
      <c r="I672" s="19"/>
    </row>
    <row r="673" spans="1:9" x14ac:dyDescent="0.25">
      <c r="A673" s="14" t="s">
        <v>787</v>
      </c>
      <c r="B673" s="15"/>
      <c r="C673" s="15"/>
      <c r="D673" s="15"/>
      <c r="E673" s="5"/>
      <c r="F673" s="3">
        <v>2273.98</v>
      </c>
      <c r="G673" s="5"/>
      <c r="H673" s="18">
        <v>2273.98</v>
      </c>
      <c r="I673" s="19"/>
    </row>
    <row r="674" spans="1:9" x14ac:dyDescent="0.25">
      <c r="A674" s="14" t="s">
        <v>788</v>
      </c>
      <c r="B674" s="15"/>
      <c r="C674" s="15"/>
      <c r="D674" s="15"/>
      <c r="E674" s="3">
        <v>6373.31</v>
      </c>
      <c r="F674" s="4" t="s">
        <v>789</v>
      </c>
      <c r="G674" s="3">
        <v>9713.51</v>
      </c>
      <c r="H674" s="18">
        <v>11184.02</v>
      </c>
      <c r="I674" s="19"/>
    </row>
    <row r="675" spans="1:9" x14ac:dyDescent="0.25">
      <c r="A675" s="14" t="s">
        <v>790</v>
      </c>
      <c r="B675" s="15"/>
      <c r="C675" s="15"/>
      <c r="D675" s="15"/>
      <c r="E675" s="4" t="s">
        <v>791</v>
      </c>
      <c r="F675" s="4" t="s">
        <v>792</v>
      </c>
      <c r="G675" s="3">
        <v>32187.27</v>
      </c>
      <c r="H675" s="20" t="s">
        <v>793</v>
      </c>
      <c r="I675" s="21"/>
    </row>
    <row r="676" spans="1:9" x14ac:dyDescent="0.25">
      <c r="A676" s="14" t="s">
        <v>794</v>
      </c>
      <c r="B676" s="15"/>
      <c r="C676" s="15"/>
      <c r="D676" s="15"/>
      <c r="E676" s="5"/>
      <c r="F676" s="5"/>
      <c r="G676" s="3">
        <v>52.29</v>
      </c>
      <c r="H676" s="18">
        <v>52.29</v>
      </c>
      <c r="I676" s="19"/>
    </row>
    <row r="677" spans="1:9" x14ac:dyDescent="0.25">
      <c r="A677" s="14" t="s">
        <v>795</v>
      </c>
      <c r="B677" s="15"/>
      <c r="C677" s="15"/>
      <c r="D677" s="15"/>
      <c r="E677" s="5"/>
      <c r="F677" s="5"/>
      <c r="G677" s="3">
        <v>208.52</v>
      </c>
      <c r="H677" s="18">
        <v>208.52</v>
      </c>
      <c r="I677" s="19"/>
    </row>
    <row r="678" spans="1:9" x14ac:dyDescent="0.25">
      <c r="A678" s="14" t="s">
        <v>796</v>
      </c>
      <c r="B678" s="15"/>
      <c r="C678" s="15"/>
      <c r="D678" s="15"/>
      <c r="E678" s="3">
        <v>3757.88</v>
      </c>
      <c r="F678" s="4" t="s">
        <v>797</v>
      </c>
      <c r="G678" s="3">
        <v>3915.93</v>
      </c>
      <c r="H678" s="18">
        <v>5022.83</v>
      </c>
      <c r="I678" s="19"/>
    </row>
    <row r="679" spans="1:9" x14ac:dyDescent="0.25">
      <c r="A679" s="14" t="s">
        <v>798</v>
      </c>
      <c r="B679" s="15"/>
      <c r="C679" s="15"/>
      <c r="D679" s="15"/>
      <c r="E679" s="3">
        <v>2163.0500000000002</v>
      </c>
      <c r="F679" s="3">
        <v>2020.31</v>
      </c>
      <c r="G679" s="3">
        <v>5727.02</v>
      </c>
      <c r="H679" s="18">
        <v>9910.3799999999992</v>
      </c>
      <c r="I679" s="19"/>
    </row>
    <row r="680" spans="1:9" x14ac:dyDescent="0.25">
      <c r="A680" s="14" t="s">
        <v>799</v>
      </c>
      <c r="B680" s="15"/>
      <c r="C680" s="15"/>
      <c r="D680" s="15"/>
      <c r="E680" s="3">
        <v>23098.32</v>
      </c>
      <c r="F680" s="4" t="s">
        <v>800</v>
      </c>
      <c r="G680" s="4" t="s">
        <v>801</v>
      </c>
      <c r="H680" s="20" t="s">
        <v>802</v>
      </c>
      <c r="I680" s="21"/>
    </row>
    <row r="681" spans="1:9" x14ac:dyDescent="0.25">
      <c r="A681" s="14" t="s">
        <v>803</v>
      </c>
      <c r="B681" s="15"/>
      <c r="C681" s="15"/>
      <c r="D681" s="15"/>
      <c r="E681" s="5"/>
      <c r="F681" s="5"/>
      <c r="G681" s="3">
        <v>3510</v>
      </c>
      <c r="H681" s="18">
        <v>3510</v>
      </c>
      <c r="I681" s="19"/>
    </row>
    <row r="682" spans="1:9" x14ac:dyDescent="0.25">
      <c r="A682" s="14" t="s">
        <v>804</v>
      </c>
      <c r="B682" s="15"/>
      <c r="C682" s="15"/>
      <c r="D682" s="15"/>
      <c r="E682" s="3">
        <v>14765.99</v>
      </c>
      <c r="F682" s="3">
        <v>2870.28</v>
      </c>
      <c r="G682" s="3">
        <v>3953.67</v>
      </c>
      <c r="H682" s="18">
        <v>21589.94</v>
      </c>
      <c r="I682" s="19"/>
    </row>
    <row r="683" spans="1:9" x14ac:dyDescent="0.25">
      <c r="A683" s="14" t="s">
        <v>805</v>
      </c>
      <c r="B683" s="15"/>
      <c r="C683" s="15"/>
      <c r="D683" s="15"/>
      <c r="E683" s="5"/>
      <c r="F683" s="3">
        <v>214.99</v>
      </c>
      <c r="G683" s="3">
        <v>2356.9899999999998</v>
      </c>
      <c r="H683" s="18">
        <v>2571.98</v>
      </c>
      <c r="I683" s="19"/>
    </row>
    <row r="684" spans="1:9" x14ac:dyDescent="0.25">
      <c r="A684" s="14" t="s">
        <v>806</v>
      </c>
      <c r="B684" s="15"/>
      <c r="C684" s="15"/>
      <c r="D684" s="15"/>
      <c r="E684" s="3">
        <v>54503.08</v>
      </c>
      <c r="F684" s="3">
        <v>114925.55</v>
      </c>
      <c r="G684" s="3">
        <v>31572.71</v>
      </c>
      <c r="H684" s="18">
        <v>201001.34</v>
      </c>
      <c r="I684" s="19"/>
    </row>
    <row r="685" spans="1:9" x14ac:dyDescent="0.25">
      <c r="A685" s="14" t="s">
        <v>807</v>
      </c>
      <c r="B685" s="15"/>
      <c r="C685" s="15"/>
      <c r="D685" s="15"/>
      <c r="E685" s="5"/>
      <c r="F685" s="5"/>
      <c r="G685" s="3">
        <v>2108.2399999999998</v>
      </c>
      <c r="H685" s="18">
        <v>2108.2399999999998</v>
      </c>
      <c r="I685" s="19"/>
    </row>
    <row r="686" spans="1:9" x14ac:dyDescent="0.25">
      <c r="A686" s="14" t="s">
        <v>808</v>
      </c>
      <c r="B686" s="15"/>
      <c r="C686" s="15"/>
      <c r="D686" s="15"/>
      <c r="E686" s="3">
        <v>86440.61</v>
      </c>
      <c r="F686" s="3">
        <v>21315.68</v>
      </c>
      <c r="G686" s="3">
        <v>29444.48</v>
      </c>
      <c r="H686" s="18">
        <v>137200.76999999999</v>
      </c>
      <c r="I686" s="19"/>
    </row>
    <row r="687" spans="1:9" x14ac:dyDescent="0.25">
      <c r="A687" s="14" t="s">
        <v>809</v>
      </c>
      <c r="B687" s="15"/>
      <c r="C687" s="15"/>
      <c r="D687" s="15"/>
      <c r="E687" s="3">
        <v>1047280.55</v>
      </c>
      <c r="F687" s="3">
        <v>1096272.52</v>
      </c>
      <c r="G687" s="3">
        <v>1120162.75</v>
      </c>
      <c r="H687" s="18">
        <v>3263715.82</v>
      </c>
      <c r="I687" s="19"/>
    </row>
    <row r="688" spans="1:9" x14ac:dyDescent="0.25">
      <c r="A688" s="14" t="s">
        <v>810</v>
      </c>
      <c r="B688" s="15"/>
      <c r="C688" s="15"/>
      <c r="D688" s="15"/>
      <c r="E688" s="3">
        <v>128852.71</v>
      </c>
      <c r="F688" s="3">
        <v>103806.97</v>
      </c>
      <c r="G688" s="3">
        <v>104098.91</v>
      </c>
      <c r="H688" s="18">
        <v>336758.59</v>
      </c>
      <c r="I688" s="19"/>
    </row>
    <row r="689" spans="1:9" x14ac:dyDescent="0.25">
      <c r="A689" s="14" t="s">
        <v>811</v>
      </c>
      <c r="B689" s="15"/>
      <c r="C689" s="15"/>
      <c r="D689" s="15"/>
      <c r="E689" s="3">
        <v>116512.76</v>
      </c>
      <c r="F689" s="3">
        <v>81734.62</v>
      </c>
      <c r="G689" s="3">
        <v>109206.8</v>
      </c>
      <c r="H689" s="18">
        <v>307454.18</v>
      </c>
      <c r="I689" s="19"/>
    </row>
    <row r="690" spans="1:9" x14ac:dyDescent="0.25">
      <c r="A690" s="14" t="s">
        <v>812</v>
      </c>
      <c r="B690" s="15"/>
      <c r="C690" s="15"/>
      <c r="D690" s="15"/>
      <c r="E690" s="3">
        <v>208612.28</v>
      </c>
      <c r="F690" s="3">
        <v>234686.14</v>
      </c>
      <c r="G690" s="3">
        <v>179431.55</v>
      </c>
      <c r="H690" s="18">
        <v>622729.97</v>
      </c>
      <c r="I690" s="19"/>
    </row>
    <row r="691" spans="1:9" x14ac:dyDescent="0.25">
      <c r="A691" s="14" t="s">
        <v>813</v>
      </c>
      <c r="B691" s="15"/>
      <c r="C691" s="15"/>
      <c r="D691" s="15"/>
      <c r="E691" s="3">
        <v>101004.06</v>
      </c>
      <c r="F691" s="3">
        <v>29636.18</v>
      </c>
      <c r="G691" s="3">
        <v>186593.55</v>
      </c>
      <c r="H691" s="18">
        <v>317233.78999999998</v>
      </c>
      <c r="I691" s="19"/>
    </row>
    <row r="692" spans="1:9" x14ac:dyDescent="0.25">
      <c r="A692" s="14" t="s">
        <v>814</v>
      </c>
      <c r="B692" s="15"/>
      <c r="C692" s="15"/>
      <c r="D692" s="15"/>
      <c r="E692" s="3">
        <v>159792.62</v>
      </c>
      <c r="F692" s="3">
        <v>107568.24</v>
      </c>
      <c r="G692" s="3">
        <v>203244.2</v>
      </c>
      <c r="H692" s="18">
        <v>470605.06</v>
      </c>
      <c r="I692" s="19"/>
    </row>
    <row r="693" spans="1:9" x14ac:dyDescent="0.25">
      <c r="A693" s="14" t="s">
        <v>815</v>
      </c>
      <c r="B693" s="15"/>
      <c r="C693" s="15"/>
      <c r="D693" s="15"/>
      <c r="E693" s="3">
        <v>1687672.48</v>
      </c>
      <c r="F693" s="3">
        <v>2834171.65</v>
      </c>
      <c r="G693" s="3">
        <v>1445201.91</v>
      </c>
      <c r="H693" s="18">
        <v>5967046.04</v>
      </c>
      <c r="I693" s="19"/>
    </row>
    <row r="694" spans="1:9" x14ac:dyDescent="0.25">
      <c r="A694" s="14" t="s">
        <v>816</v>
      </c>
      <c r="B694" s="15"/>
      <c r="C694" s="15"/>
      <c r="D694" s="15"/>
      <c r="E694" s="3">
        <v>71500.73</v>
      </c>
      <c r="F694" s="5"/>
      <c r="G694" s="3">
        <v>10939.61</v>
      </c>
      <c r="H694" s="18">
        <v>82440.34</v>
      </c>
      <c r="I694" s="19"/>
    </row>
    <row r="695" spans="1:9" x14ac:dyDescent="0.25">
      <c r="A695" s="14" t="s">
        <v>817</v>
      </c>
      <c r="B695" s="15"/>
      <c r="C695" s="15"/>
      <c r="D695" s="15"/>
      <c r="E695" s="3">
        <v>412330.62</v>
      </c>
      <c r="F695" s="3">
        <v>277101.68</v>
      </c>
      <c r="G695" s="3">
        <v>290879.27</v>
      </c>
      <c r="H695" s="18">
        <v>980311.57</v>
      </c>
      <c r="I695" s="19"/>
    </row>
    <row r="696" spans="1:9" x14ac:dyDescent="0.25">
      <c r="A696" s="14" t="s">
        <v>818</v>
      </c>
      <c r="B696" s="15"/>
      <c r="C696" s="15"/>
      <c r="D696" s="15"/>
      <c r="E696" s="3">
        <v>73917.259999999995</v>
      </c>
      <c r="F696" s="3">
        <v>2093</v>
      </c>
      <c r="G696" s="3">
        <v>16031.2</v>
      </c>
      <c r="H696" s="18">
        <v>92041.46</v>
      </c>
      <c r="I696" s="19"/>
    </row>
    <row r="697" spans="1:9" x14ac:dyDescent="0.25">
      <c r="A697" s="14" t="s">
        <v>819</v>
      </c>
      <c r="B697" s="15"/>
      <c r="C697" s="15"/>
      <c r="D697" s="15"/>
      <c r="E697" s="5"/>
      <c r="F697" s="3">
        <v>2569.64</v>
      </c>
      <c r="G697" s="5"/>
      <c r="H697" s="18">
        <v>2569.64</v>
      </c>
      <c r="I697" s="19"/>
    </row>
    <row r="698" spans="1:9" x14ac:dyDescent="0.25">
      <c r="A698" s="14" t="s">
        <v>820</v>
      </c>
      <c r="B698" s="15"/>
      <c r="C698" s="15"/>
      <c r="D698" s="15"/>
      <c r="E698" s="4" t="s">
        <v>821</v>
      </c>
      <c r="F698" s="4" t="s">
        <v>822</v>
      </c>
      <c r="G698" s="4" t="s">
        <v>823</v>
      </c>
      <c r="H698" s="20" t="s">
        <v>824</v>
      </c>
      <c r="I698" s="21"/>
    </row>
    <row r="699" spans="1:9" x14ac:dyDescent="0.25">
      <c r="A699" s="14" t="s">
        <v>825</v>
      </c>
      <c r="B699" s="15"/>
      <c r="C699" s="15"/>
      <c r="D699" s="15"/>
      <c r="E699" s="3">
        <v>52263.34</v>
      </c>
      <c r="F699" s="3">
        <v>42327</v>
      </c>
      <c r="G699" s="3">
        <v>43930.29</v>
      </c>
      <c r="H699" s="18">
        <v>138520.63</v>
      </c>
      <c r="I699" s="19"/>
    </row>
    <row r="700" spans="1:9" x14ac:dyDescent="0.25">
      <c r="A700" s="14" t="s">
        <v>826</v>
      </c>
      <c r="B700" s="15"/>
      <c r="C700" s="15"/>
      <c r="D700" s="15"/>
      <c r="E700" s="3">
        <v>24414.49</v>
      </c>
      <c r="F700" s="3">
        <v>12133.54</v>
      </c>
      <c r="G700" s="3">
        <v>37201.46</v>
      </c>
      <c r="H700" s="18">
        <v>73749.490000000005</v>
      </c>
      <c r="I700" s="19"/>
    </row>
    <row r="701" spans="1:9" x14ac:dyDescent="0.25">
      <c r="A701" s="14" t="s">
        <v>827</v>
      </c>
      <c r="B701" s="15"/>
      <c r="C701" s="15"/>
      <c r="D701" s="15"/>
      <c r="E701" s="3">
        <v>77344.149999999994</v>
      </c>
      <c r="F701" s="3">
        <v>42362.71</v>
      </c>
      <c r="G701" s="3">
        <v>135142.25</v>
      </c>
      <c r="H701" s="18">
        <v>254849.11</v>
      </c>
      <c r="I701" s="19"/>
    </row>
    <row r="702" spans="1:9" x14ac:dyDescent="0.25">
      <c r="A702" s="14" t="s">
        <v>828</v>
      </c>
      <c r="B702" s="15"/>
      <c r="C702" s="15"/>
      <c r="D702" s="15"/>
      <c r="E702" s="3">
        <v>17335.63</v>
      </c>
      <c r="F702" s="3">
        <v>5777.4</v>
      </c>
      <c r="G702" s="3">
        <v>20233.060000000001</v>
      </c>
      <c r="H702" s="18">
        <v>43346.09</v>
      </c>
      <c r="I702" s="19"/>
    </row>
    <row r="703" spans="1:9" x14ac:dyDescent="0.25">
      <c r="A703" s="14" t="s">
        <v>829</v>
      </c>
      <c r="B703" s="15"/>
      <c r="C703" s="15"/>
      <c r="D703" s="15"/>
      <c r="E703" s="3">
        <v>19533.97</v>
      </c>
      <c r="F703" s="3">
        <v>1184.1500000000001</v>
      </c>
      <c r="G703" s="3">
        <v>580.01</v>
      </c>
      <c r="H703" s="18">
        <v>21298.13</v>
      </c>
      <c r="I703" s="19"/>
    </row>
    <row r="704" spans="1:9" x14ac:dyDescent="0.25">
      <c r="A704" s="14" t="s">
        <v>830</v>
      </c>
      <c r="B704" s="15"/>
      <c r="C704" s="15"/>
      <c r="D704" s="15"/>
      <c r="E704" s="3">
        <v>502179.72</v>
      </c>
      <c r="F704" s="3">
        <v>234101.52</v>
      </c>
      <c r="G704" s="3">
        <v>250623.24</v>
      </c>
      <c r="H704" s="18">
        <v>986904.48</v>
      </c>
      <c r="I704" s="19"/>
    </row>
    <row r="705" spans="1:9" x14ac:dyDescent="0.25">
      <c r="A705" s="14" t="s">
        <v>831</v>
      </c>
      <c r="B705" s="15"/>
      <c r="C705" s="15"/>
      <c r="D705" s="15"/>
      <c r="E705" s="3">
        <v>234731.98</v>
      </c>
      <c r="F705" s="3">
        <v>59180.92</v>
      </c>
      <c r="G705" s="3">
        <v>114720.2</v>
      </c>
      <c r="H705" s="18">
        <v>408633.1</v>
      </c>
      <c r="I705" s="19"/>
    </row>
    <row r="706" spans="1:9" x14ac:dyDescent="0.25">
      <c r="A706" s="14" t="s">
        <v>832</v>
      </c>
      <c r="B706" s="15"/>
      <c r="C706" s="15"/>
      <c r="D706" s="15"/>
      <c r="E706" s="3">
        <v>488861.97</v>
      </c>
      <c r="F706" s="3">
        <v>242815.2</v>
      </c>
      <c r="G706" s="3">
        <v>241294.19</v>
      </c>
      <c r="H706" s="18">
        <v>972971.36</v>
      </c>
      <c r="I706" s="19"/>
    </row>
    <row r="707" spans="1:9" x14ac:dyDescent="0.25">
      <c r="A707" s="14" t="s">
        <v>833</v>
      </c>
      <c r="B707" s="15"/>
      <c r="C707" s="15"/>
      <c r="D707" s="15"/>
      <c r="E707" s="3">
        <v>80375.73</v>
      </c>
      <c r="F707" s="3">
        <v>20326.45</v>
      </c>
      <c r="G707" s="3">
        <v>38927.64</v>
      </c>
      <c r="H707" s="18">
        <v>139629.82</v>
      </c>
      <c r="I707" s="19"/>
    </row>
    <row r="708" spans="1:9" x14ac:dyDescent="0.25">
      <c r="A708" s="14" t="s">
        <v>834</v>
      </c>
      <c r="B708" s="15"/>
      <c r="C708" s="15"/>
      <c r="D708" s="15"/>
      <c r="E708" s="3">
        <v>44675.08</v>
      </c>
      <c r="F708" s="3">
        <v>10631.81</v>
      </c>
      <c r="G708" s="3">
        <v>21664.85</v>
      </c>
      <c r="H708" s="18">
        <v>76971.740000000005</v>
      </c>
      <c r="I708" s="19"/>
    </row>
    <row r="709" spans="1:9" x14ac:dyDescent="0.25">
      <c r="A709" s="14" t="s">
        <v>835</v>
      </c>
      <c r="B709" s="15"/>
      <c r="C709" s="15"/>
      <c r="D709" s="15"/>
      <c r="E709" s="3">
        <v>82517.240000000005</v>
      </c>
      <c r="F709" s="3">
        <v>20868.099999999999</v>
      </c>
      <c r="G709" s="3">
        <v>43781.47</v>
      </c>
      <c r="H709" s="18">
        <v>147166.81</v>
      </c>
      <c r="I709" s="19"/>
    </row>
    <row r="710" spans="1:9" x14ac:dyDescent="0.25">
      <c r="A710" s="14" t="s">
        <v>836</v>
      </c>
      <c r="B710" s="15"/>
      <c r="C710" s="15"/>
      <c r="D710" s="15"/>
      <c r="E710" s="3">
        <v>67314.789999999994</v>
      </c>
      <c r="F710" s="3">
        <v>17023.45</v>
      </c>
      <c r="G710" s="3">
        <v>32594.31</v>
      </c>
      <c r="H710" s="18">
        <v>116932.55</v>
      </c>
      <c r="I710" s="19"/>
    </row>
    <row r="711" spans="1:9" x14ac:dyDescent="0.25">
      <c r="A711" s="14" t="s">
        <v>837</v>
      </c>
      <c r="B711" s="15"/>
      <c r="C711" s="15"/>
      <c r="D711" s="15"/>
      <c r="E711" s="3">
        <v>21511.599999999999</v>
      </c>
      <c r="F711" s="3">
        <v>5440.15</v>
      </c>
      <c r="G711" s="3">
        <v>10665.27</v>
      </c>
      <c r="H711" s="18">
        <v>37617.019999999997</v>
      </c>
      <c r="I711" s="19"/>
    </row>
    <row r="712" spans="1:9" x14ac:dyDescent="0.25">
      <c r="A712" s="14" t="s">
        <v>838</v>
      </c>
      <c r="B712" s="15"/>
      <c r="C712" s="15"/>
      <c r="D712" s="15"/>
      <c r="E712" s="3">
        <v>72370.39</v>
      </c>
      <c r="F712" s="3">
        <v>164501.12</v>
      </c>
      <c r="G712" s="3">
        <v>43237.07</v>
      </c>
      <c r="H712" s="18">
        <v>280108.58</v>
      </c>
      <c r="I712" s="19"/>
    </row>
    <row r="713" spans="1:9" x14ac:dyDescent="0.25">
      <c r="A713" s="14" t="s">
        <v>839</v>
      </c>
      <c r="B713" s="15"/>
      <c r="C713" s="15"/>
      <c r="D713" s="15"/>
      <c r="E713" s="3">
        <v>20597.3</v>
      </c>
      <c r="F713" s="3">
        <v>5208.8900000000003</v>
      </c>
      <c r="G713" s="3">
        <v>12266.45</v>
      </c>
      <c r="H713" s="18">
        <v>38072.639999999999</v>
      </c>
      <c r="I713" s="19"/>
    </row>
    <row r="714" spans="1:9" x14ac:dyDescent="0.25">
      <c r="A714" s="14" t="s">
        <v>840</v>
      </c>
      <c r="B714" s="15"/>
      <c r="C714" s="15"/>
      <c r="D714" s="15"/>
      <c r="E714" s="3">
        <v>11049.26</v>
      </c>
      <c r="F714" s="3">
        <v>2794.3</v>
      </c>
      <c r="G714" s="3">
        <v>5304.06</v>
      </c>
      <c r="H714" s="18">
        <v>19147.62</v>
      </c>
      <c r="I714" s="19"/>
    </row>
    <row r="715" spans="1:9" x14ac:dyDescent="0.25">
      <c r="A715" s="14" t="s">
        <v>841</v>
      </c>
      <c r="B715" s="15"/>
      <c r="C715" s="15"/>
      <c r="D715" s="15"/>
      <c r="E715" s="3">
        <v>4378.07</v>
      </c>
      <c r="F715" s="3">
        <v>1107.2</v>
      </c>
      <c r="G715" s="3">
        <v>2101.54</v>
      </c>
      <c r="H715" s="18">
        <v>7586.81</v>
      </c>
      <c r="I715" s="19"/>
    </row>
    <row r="716" spans="1:9" x14ac:dyDescent="0.25">
      <c r="A716" s="14" t="s">
        <v>842</v>
      </c>
      <c r="B716" s="15"/>
      <c r="C716" s="15"/>
      <c r="D716" s="15"/>
      <c r="E716" s="3">
        <v>9826.8799999999992</v>
      </c>
      <c r="F716" s="3">
        <v>2485.13</v>
      </c>
      <c r="G716" s="3">
        <v>4717.32</v>
      </c>
      <c r="H716" s="18">
        <v>17029.330000000002</v>
      </c>
      <c r="I716" s="19"/>
    </row>
    <row r="717" spans="1:9" x14ac:dyDescent="0.25">
      <c r="A717" s="14" t="s">
        <v>843</v>
      </c>
      <c r="B717" s="15"/>
      <c r="C717" s="15"/>
      <c r="D717" s="15"/>
      <c r="E717" s="3">
        <v>54905.57</v>
      </c>
      <c r="F717" s="3">
        <v>13885.15</v>
      </c>
      <c r="G717" s="3">
        <v>26356.79</v>
      </c>
      <c r="H717" s="18">
        <v>95147.51</v>
      </c>
      <c r="I717" s="19"/>
    </row>
    <row r="718" spans="1:9" x14ac:dyDescent="0.25">
      <c r="A718" s="14" t="s">
        <v>844</v>
      </c>
      <c r="B718" s="15"/>
      <c r="C718" s="15"/>
      <c r="D718" s="15"/>
      <c r="E718" s="3">
        <v>3322.01</v>
      </c>
      <c r="F718" s="3">
        <v>840.05</v>
      </c>
      <c r="G718" s="3">
        <v>3527.71</v>
      </c>
      <c r="H718" s="18">
        <v>7689.77</v>
      </c>
      <c r="I718" s="19"/>
    </row>
    <row r="719" spans="1:9" x14ac:dyDescent="0.25">
      <c r="A719" s="14" t="s">
        <v>845</v>
      </c>
      <c r="B719" s="15"/>
      <c r="C719" s="15"/>
      <c r="D719" s="15"/>
      <c r="E719" s="3">
        <v>460.18</v>
      </c>
      <c r="F719" s="3">
        <v>116.43</v>
      </c>
      <c r="G719" s="3">
        <v>220.96</v>
      </c>
      <c r="H719" s="18">
        <v>797.57</v>
      </c>
      <c r="I719" s="19"/>
    </row>
    <row r="720" spans="1:9" x14ac:dyDescent="0.25">
      <c r="A720" s="14" t="s">
        <v>846</v>
      </c>
      <c r="B720" s="15"/>
      <c r="C720" s="15"/>
      <c r="D720" s="15"/>
      <c r="E720" s="3">
        <v>931.61</v>
      </c>
      <c r="F720" s="3">
        <v>235.61</v>
      </c>
      <c r="G720" s="3">
        <v>447.15</v>
      </c>
      <c r="H720" s="18">
        <v>1614.37</v>
      </c>
      <c r="I720" s="19"/>
    </row>
    <row r="721" spans="1:9" x14ac:dyDescent="0.25">
      <c r="A721" s="14" t="s">
        <v>847</v>
      </c>
      <c r="B721" s="15"/>
      <c r="C721" s="15"/>
      <c r="D721" s="15"/>
      <c r="E721" s="3">
        <v>222.24</v>
      </c>
      <c r="F721" s="3">
        <v>56.21</v>
      </c>
      <c r="G721" s="3">
        <v>106.73</v>
      </c>
      <c r="H721" s="18">
        <v>385.18</v>
      </c>
      <c r="I721" s="19"/>
    </row>
    <row r="722" spans="1:9" x14ac:dyDescent="0.25">
      <c r="A722" s="14" t="s">
        <v>848</v>
      </c>
      <c r="B722" s="15"/>
      <c r="C722" s="15"/>
      <c r="D722" s="15"/>
      <c r="E722" s="3">
        <v>73273.14</v>
      </c>
      <c r="F722" s="3">
        <v>18530.240000000002</v>
      </c>
      <c r="G722" s="3">
        <v>39712.769999999997</v>
      </c>
      <c r="H722" s="18">
        <v>131516.15</v>
      </c>
      <c r="I722" s="19"/>
    </row>
    <row r="723" spans="1:9" x14ac:dyDescent="0.25">
      <c r="A723" s="14" t="s">
        <v>849</v>
      </c>
      <c r="B723" s="15"/>
      <c r="C723" s="15"/>
      <c r="D723" s="15"/>
      <c r="E723" s="3">
        <v>163023.01</v>
      </c>
      <c r="F723" s="3">
        <v>36800.06</v>
      </c>
      <c r="G723" s="3">
        <v>45891.4</v>
      </c>
      <c r="H723" s="18">
        <v>245714.47</v>
      </c>
      <c r="I723" s="19"/>
    </row>
    <row r="724" spans="1:9" x14ac:dyDescent="0.25">
      <c r="A724" s="14" t="s">
        <v>850</v>
      </c>
      <c r="B724" s="15"/>
      <c r="C724" s="15"/>
      <c r="D724" s="15"/>
      <c r="E724" s="3">
        <v>89888.89</v>
      </c>
      <c r="F724" s="3">
        <v>62313.79</v>
      </c>
      <c r="G724" s="3">
        <v>222976.22</v>
      </c>
      <c r="H724" s="18">
        <v>375178.9</v>
      </c>
      <c r="I724" s="19"/>
    </row>
    <row r="725" spans="1:9" x14ac:dyDescent="0.25">
      <c r="A725" s="14" t="s">
        <v>851</v>
      </c>
      <c r="B725" s="15"/>
      <c r="C725" s="15"/>
      <c r="D725" s="15"/>
      <c r="E725" s="5"/>
      <c r="F725" s="3">
        <v>29148.67</v>
      </c>
      <c r="G725" s="4" t="s">
        <v>852</v>
      </c>
      <c r="H725" s="18">
        <v>27227.77</v>
      </c>
      <c r="I725" s="19"/>
    </row>
    <row r="726" spans="1:9" x14ac:dyDescent="0.25">
      <c r="A726" s="14" t="s">
        <v>853</v>
      </c>
      <c r="B726" s="15"/>
      <c r="C726" s="15"/>
      <c r="D726" s="15"/>
      <c r="E726" s="5"/>
      <c r="F726" s="3">
        <v>620.59</v>
      </c>
      <c r="G726" s="5"/>
      <c r="H726" s="18">
        <v>620.59</v>
      </c>
      <c r="I726" s="19"/>
    </row>
    <row r="727" spans="1:9" x14ac:dyDescent="0.25">
      <c r="A727" s="14" t="s">
        <v>854</v>
      </c>
      <c r="B727" s="15"/>
      <c r="C727" s="15"/>
      <c r="D727" s="15"/>
      <c r="E727" s="3">
        <v>17599.689999999999</v>
      </c>
      <c r="F727" s="3">
        <v>1267.9000000000001</v>
      </c>
      <c r="G727" s="3">
        <v>23583.200000000001</v>
      </c>
      <c r="H727" s="18">
        <v>42450.79</v>
      </c>
      <c r="I727" s="19"/>
    </row>
    <row r="728" spans="1:9" x14ac:dyDescent="0.25">
      <c r="A728" s="14" t="s">
        <v>855</v>
      </c>
      <c r="B728" s="15"/>
      <c r="C728" s="15"/>
      <c r="D728" s="15"/>
      <c r="E728" s="3">
        <v>208049.42</v>
      </c>
      <c r="F728" s="3">
        <v>173075</v>
      </c>
      <c r="G728" s="3">
        <v>321491.57</v>
      </c>
      <c r="H728" s="18">
        <v>702615.99</v>
      </c>
      <c r="I728" s="19"/>
    </row>
    <row r="729" spans="1:9" x14ac:dyDescent="0.25">
      <c r="A729" s="14" t="s">
        <v>856</v>
      </c>
      <c r="B729" s="15"/>
      <c r="C729" s="15"/>
      <c r="D729" s="15"/>
      <c r="E729" s="3">
        <v>63240.72</v>
      </c>
      <c r="F729" s="3">
        <v>38285.9</v>
      </c>
      <c r="G729" s="3">
        <v>100580.98</v>
      </c>
      <c r="H729" s="18">
        <v>202107.6</v>
      </c>
      <c r="I729" s="19"/>
    </row>
    <row r="730" spans="1:9" x14ac:dyDescent="0.25">
      <c r="A730" s="14" t="s">
        <v>857</v>
      </c>
      <c r="B730" s="15"/>
      <c r="C730" s="15"/>
      <c r="D730" s="15"/>
      <c r="E730" s="3">
        <v>176636.51</v>
      </c>
      <c r="F730" s="3">
        <v>112479.89</v>
      </c>
      <c r="G730" s="3">
        <v>167182.29</v>
      </c>
      <c r="H730" s="18">
        <v>456298.69</v>
      </c>
      <c r="I730" s="19"/>
    </row>
    <row r="731" spans="1:9" x14ac:dyDescent="0.25">
      <c r="A731" s="14" t="s">
        <v>858</v>
      </c>
      <c r="B731" s="15"/>
      <c r="C731" s="15"/>
      <c r="D731" s="15"/>
      <c r="E731" s="3">
        <v>122267.16</v>
      </c>
      <c r="F731" s="3">
        <v>75025.72</v>
      </c>
      <c r="G731" s="3">
        <v>144840.16</v>
      </c>
      <c r="H731" s="18">
        <v>342133.04</v>
      </c>
      <c r="I731" s="19"/>
    </row>
    <row r="732" spans="1:9" x14ac:dyDescent="0.25">
      <c r="A732" s="14" t="s">
        <v>859</v>
      </c>
      <c r="B732" s="15"/>
      <c r="C732" s="15"/>
      <c r="D732" s="15"/>
      <c r="E732" s="3">
        <v>98567.03</v>
      </c>
      <c r="F732" s="3">
        <v>52020.05</v>
      </c>
      <c r="G732" s="3">
        <v>55604.9</v>
      </c>
      <c r="H732" s="18">
        <v>206191.98</v>
      </c>
      <c r="I732" s="19"/>
    </row>
    <row r="733" spans="1:9" x14ac:dyDescent="0.25">
      <c r="A733" s="14" t="s">
        <v>860</v>
      </c>
      <c r="B733" s="15"/>
      <c r="C733" s="15"/>
      <c r="D733" s="15"/>
      <c r="E733" s="3">
        <v>1144869.8400000001</v>
      </c>
      <c r="F733" s="3">
        <v>415009.79</v>
      </c>
      <c r="G733" s="3">
        <v>778077.03</v>
      </c>
      <c r="H733" s="18">
        <v>2337956.66</v>
      </c>
      <c r="I733" s="19"/>
    </row>
    <row r="734" spans="1:9" x14ac:dyDescent="0.25">
      <c r="A734" s="14" t="s">
        <v>861</v>
      </c>
      <c r="B734" s="15"/>
      <c r="C734" s="15"/>
      <c r="D734" s="15"/>
      <c r="E734" s="3">
        <v>789802.12</v>
      </c>
      <c r="F734" s="3">
        <v>649714.88</v>
      </c>
      <c r="G734" s="3">
        <v>364276.77</v>
      </c>
      <c r="H734" s="18">
        <v>1803793.77</v>
      </c>
      <c r="I734" s="19"/>
    </row>
    <row r="735" spans="1:9" x14ac:dyDescent="0.25">
      <c r="A735" s="14" t="s">
        <v>862</v>
      </c>
      <c r="B735" s="15"/>
      <c r="C735" s="15"/>
      <c r="D735" s="15"/>
      <c r="E735" s="3">
        <v>39380.519999999997</v>
      </c>
      <c r="F735" s="3">
        <v>12320.82</v>
      </c>
      <c r="G735" s="3">
        <v>19444.259999999998</v>
      </c>
      <c r="H735" s="18">
        <v>71145.600000000006</v>
      </c>
      <c r="I735" s="19"/>
    </row>
    <row r="736" spans="1:9" x14ac:dyDescent="0.25">
      <c r="A736" s="14" t="s">
        <v>863</v>
      </c>
      <c r="B736" s="15"/>
      <c r="C736" s="15"/>
      <c r="D736" s="15"/>
      <c r="E736" s="4" t="s">
        <v>864</v>
      </c>
      <c r="F736" s="3">
        <v>1292.67</v>
      </c>
      <c r="G736" s="3">
        <v>9823.09</v>
      </c>
      <c r="H736" s="20" t="s">
        <v>865</v>
      </c>
      <c r="I736" s="21"/>
    </row>
    <row r="737" spans="1:9" x14ac:dyDescent="0.25">
      <c r="A737" s="14" t="s">
        <v>866</v>
      </c>
      <c r="B737" s="15"/>
      <c r="C737" s="15"/>
      <c r="D737" s="15"/>
      <c r="E737" s="3">
        <v>941288.24</v>
      </c>
      <c r="F737" s="3">
        <v>1342994.5</v>
      </c>
      <c r="G737" s="3">
        <v>783002.67</v>
      </c>
      <c r="H737" s="18">
        <v>3067285.41</v>
      </c>
      <c r="I737" s="19"/>
    </row>
    <row r="738" spans="1:9" x14ac:dyDescent="0.25">
      <c r="A738" s="14" t="s">
        <v>867</v>
      </c>
      <c r="B738" s="15"/>
      <c r="C738" s="15"/>
      <c r="D738" s="15"/>
      <c r="E738" s="4" t="s">
        <v>868</v>
      </c>
      <c r="F738" s="3">
        <v>1215.6400000000001</v>
      </c>
      <c r="G738" s="4" t="s">
        <v>869</v>
      </c>
      <c r="H738" s="20" t="s">
        <v>870</v>
      </c>
      <c r="I738" s="21"/>
    </row>
    <row r="739" spans="1:9" x14ac:dyDescent="0.25">
      <c r="A739" s="14" t="s">
        <v>871</v>
      </c>
      <c r="B739" s="15"/>
      <c r="C739" s="15"/>
      <c r="D739" s="15"/>
      <c r="E739" s="4" t="s">
        <v>872</v>
      </c>
      <c r="F739" s="3">
        <v>2533.84</v>
      </c>
      <c r="G739" s="4" t="s">
        <v>873</v>
      </c>
      <c r="H739" s="20" t="s">
        <v>874</v>
      </c>
      <c r="I739" s="21"/>
    </row>
    <row r="740" spans="1:9" x14ac:dyDescent="0.25">
      <c r="A740" s="14" t="s">
        <v>875</v>
      </c>
      <c r="B740" s="15"/>
      <c r="C740" s="15"/>
      <c r="D740" s="15"/>
      <c r="E740" s="4" t="s">
        <v>876</v>
      </c>
      <c r="F740" s="3">
        <v>19408.66</v>
      </c>
      <c r="G740" s="4" t="s">
        <v>877</v>
      </c>
      <c r="H740" s="20" t="s">
        <v>878</v>
      </c>
      <c r="I740" s="21"/>
    </row>
    <row r="741" spans="1:9" x14ac:dyDescent="0.25">
      <c r="A741" s="14" t="s">
        <v>879</v>
      </c>
      <c r="B741" s="15"/>
      <c r="C741" s="15"/>
      <c r="D741" s="15"/>
      <c r="E741" s="3">
        <v>264334.84999999998</v>
      </c>
      <c r="F741" s="3">
        <v>85214.6</v>
      </c>
      <c r="G741" s="3">
        <v>231575.85</v>
      </c>
      <c r="H741" s="18">
        <v>581125.30000000005</v>
      </c>
      <c r="I741" s="19"/>
    </row>
    <row r="742" spans="1:9" x14ac:dyDescent="0.25">
      <c r="A742" s="14" t="s">
        <v>880</v>
      </c>
      <c r="B742" s="15"/>
      <c r="C742" s="15"/>
      <c r="D742" s="15"/>
      <c r="E742" s="3">
        <v>83113.37</v>
      </c>
      <c r="F742" s="3">
        <v>74271.37</v>
      </c>
      <c r="G742" s="3">
        <v>62619.6</v>
      </c>
      <c r="H742" s="18">
        <v>220004.34</v>
      </c>
      <c r="I742" s="19"/>
    </row>
    <row r="743" spans="1:9" x14ac:dyDescent="0.25">
      <c r="A743" s="14" t="s">
        <v>881</v>
      </c>
      <c r="B743" s="15"/>
      <c r="C743" s="15"/>
      <c r="D743" s="15"/>
      <c r="E743" s="3">
        <v>24710.12</v>
      </c>
      <c r="F743" s="5"/>
      <c r="G743" s="3">
        <v>94461.51</v>
      </c>
      <c r="H743" s="18">
        <v>119171.63</v>
      </c>
      <c r="I743" s="19"/>
    </row>
    <row r="744" spans="1:9" x14ac:dyDescent="0.25">
      <c r="A744" s="14" t="s">
        <v>882</v>
      </c>
      <c r="B744" s="15"/>
      <c r="C744" s="15"/>
      <c r="D744" s="15"/>
      <c r="E744" s="3">
        <v>520158.28</v>
      </c>
      <c r="F744" s="3">
        <v>779142.18</v>
      </c>
      <c r="G744" s="3">
        <v>264059.93</v>
      </c>
      <c r="H744" s="18">
        <v>1563360.39</v>
      </c>
      <c r="I744" s="19"/>
    </row>
    <row r="745" spans="1:9" x14ac:dyDescent="0.25">
      <c r="A745" s="14" t="s">
        <v>883</v>
      </c>
      <c r="B745" s="15"/>
      <c r="C745" s="15"/>
      <c r="D745" s="15"/>
      <c r="E745" s="3">
        <v>803159.88</v>
      </c>
      <c r="F745" s="3">
        <v>1013584.34</v>
      </c>
      <c r="G745" s="3">
        <v>847960.46</v>
      </c>
      <c r="H745" s="18">
        <v>2664704.6800000002</v>
      </c>
      <c r="I745" s="19"/>
    </row>
    <row r="746" spans="1:9" x14ac:dyDescent="0.25">
      <c r="A746" s="14" t="s">
        <v>884</v>
      </c>
      <c r="B746" s="15"/>
      <c r="C746" s="15"/>
      <c r="D746" s="15"/>
      <c r="E746" s="3">
        <v>1058580.3500000001</v>
      </c>
      <c r="F746" s="3">
        <v>1575553.84</v>
      </c>
      <c r="G746" s="3">
        <v>1539751.59</v>
      </c>
      <c r="H746" s="18">
        <v>4173885.78</v>
      </c>
      <c r="I746" s="19"/>
    </row>
    <row r="747" spans="1:9" x14ac:dyDescent="0.25">
      <c r="A747" s="14" t="s">
        <v>885</v>
      </c>
      <c r="B747" s="15"/>
      <c r="C747" s="15"/>
      <c r="D747" s="15"/>
      <c r="E747" s="5"/>
      <c r="F747" s="3">
        <v>783.53</v>
      </c>
      <c r="G747" s="5"/>
      <c r="H747" s="18">
        <v>783.53</v>
      </c>
      <c r="I747" s="19"/>
    </row>
    <row r="748" spans="1:9" x14ac:dyDescent="0.25">
      <c r="A748" s="14" t="s">
        <v>886</v>
      </c>
      <c r="B748" s="15"/>
      <c r="C748" s="15"/>
      <c r="D748" s="15"/>
      <c r="E748" s="3">
        <v>1892261.07</v>
      </c>
      <c r="F748" s="3">
        <v>944709.54</v>
      </c>
      <c r="G748" s="3">
        <v>1199764.68</v>
      </c>
      <c r="H748" s="18">
        <v>4036735.29</v>
      </c>
      <c r="I748" s="19"/>
    </row>
    <row r="749" spans="1:9" x14ac:dyDescent="0.25">
      <c r="A749" s="14" t="s">
        <v>887</v>
      </c>
      <c r="B749" s="15"/>
      <c r="C749" s="15"/>
      <c r="D749" s="15"/>
      <c r="E749" s="3">
        <v>99458.74</v>
      </c>
      <c r="F749" s="3">
        <v>36960.06</v>
      </c>
      <c r="G749" s="3">
        <v>141102.13</v>
      </c>
      <c r="H749" s="18">
        <v>277520.93</v>
      </c>
      <c r="I749" s="19"/>
    </row>
    <row r="750" spans="1:9" x14ac:dyDescent="0.25">
      <c r="A750" s="14" t="s">
        <v>888</v>
      </c>
      <c r="B750" s="15"/>
      <c r="C750" s="15"/>
      <c r="D750" s="15"/>
      <c r="E750" s="3">
        <v>1871148.38</v>
      </c>
      <c r="F750" s="3">
        <v>2446661.66</v>
      </c>
      <c r="G750" s="3">
        <v>2052259.43</v>
      </c>
      <c r="H750" s="18">
        <v>6370069.4699999997</v>
      </c>
      <c r="I750" s="19"/>
    </row>
    <row r="751" spans="1:9" x14ac:dyDescent="0.25">
      <c r="A751" s="14" t="s">
        <v>889</v>
      </c>
      <c r="B751" s="15"/>
      <c r="C751" s="15"/>
      <c r="D751" s="15"/>
      <c r="E751" s="3">
        <v>463928.08</v>
      </c>
      <c r="F751" s="3">
        <v>190699.42</v>
      </c>
      <c r="G751" s="3">
        <v>210979.25</v>
      </c>
      <c r="H751" s="18">
        <v>865606.75</v>
      </c>
      <c r="I751" s="19"/>
    </row>
    <row r="752" spans="1:9" x14ac:dyDescent="0.25">
      <c r="A752" s="14" t="s">
        <v>890</v>
      </c>
      <c r="B752" s="15"/>
      <c r="C752" s="15"/>
      <c r="D752" s="15"/>
      <c r="E752" s="3">
        <v>295463.43</v>
      </c>
      <c r="F752" s="3">
        <v>158435.92000000001</v>
      </c>
      <c r="G752" s="3">
        <v>278720.01</v>
      </c>
      <c r="H752" s="18">
        <v>732619.36</v>
      </c>
      <c r="I752" s="19"/>
    </row>
    <row r="753" spans="1:9" x14ac:dyDescent="0.25">
      <c r="A753" s="14" t="s">
        <v>891</v>
      </c>
      <c r="B753" s="15"/>
      <c r="C753" s="15"/>
      <c r="D753" s="15"/>
      <c r="E753" s="3">
        <v>341674.93</v>
      </c>
      <c r="F753" s="3">
        <v>192330.49</v>
      </c>
      <c r="G753" s="3">
        <v>157900.6</v>
      </c>
      <c r="H753" s="18">
        <v>691906.02</v>
      </c>
      <c r="I753" s="19"/>
    </row>
    <row r="754" spans="1:9" x14ac:dyDescent="0.25">
      <c r="A754" s="14" t="s">
        <v>892</v>
      </c>
      <c r="B754" s="15"/>
      <c r="C754" s="15"/>
      <c r="D754" s="15"/>
      <c r="E754" s="3">
        <v>16864.79</v>
      </c>
      <c r="F754" s="3">
        <v>8495.34</v>
      </c>
      <c r="G754" s="3">
        <v>6633.57</v>
      </c>
      <c r="H754" s="18">
        <v>31993.7</v>
      </c>
      <c r="I754" s="19"/>
    </row>
    <row r="755" spans="1:9" x14ac:dyDescent="0.25">
      <c r="A755" s="14" t="s">
        <v>893</v>
      </c>
      <c r="B755" s="15"/>
      <c r="C755" s="15"/>
      <c r="D755" s="15"/>
      <c r="E755" s="3">
        <v>10132.01</v>
      </c>
      <c r="F755" s="5"/>
      <c r="G755" s="3">
        <v>7065.28</v>
      </c>
      <c r="H755" s="18">
        <v>17197.29</v>
      </c>
      <c r="I755" s="19"/>
    </row>
    <row r="756" spans="1:9" x14ac:dyDescent="0.25">
      <c r="A756" s="14" t="s">
        <v>894</v>
      </c>
      <c r="B756" s="15"/>
      <c r="C756" s="15"/>
      <c r="D756" s="15"/>
      <c r="E756" s="3">
        <v>1458.04</v>
      </c>
      <c r="F756" s="5"/>
      <c r="G756" s="3">
        <v>14865.76</v>
      </c>
      <c r="H756" s="18">
        <v>16323.8</v>
      </c>
      <c r="I756" s="19"/>
    </row>
    <row r="757" spans="1:9" x14ac:dyDescent="0.25">
      <c r="A757" s="14" t="s">
        <v>895</v>
      </c>
      <c r="B757" s="15"/>
      <c r="C757" s="15"/>
      <c r="D757" s="15"/>
      <c r="E757" s="5"/>
      <c r="F757" s="5"/>
      <c r="G757" s="3">
        <v>2233.64</v>
      </c>
      <c r="H757" s="18">
        <v>2233.64</v>
      </c>
      <c r="I757" s="19"/>
    </row>
    <row r="758" spans="1:9" x14ac:dyDescent="0.25">
      <c r="A758" s="14" t="s">
        <v>896</v>
      </c>
      <c r="B758" s="15"/>
      <c r="C758" s="15"/>
      <c r="D758" s="15"/>
      <c r="E758" s="3">
        <v>765441.16</v>
      </c>
      <c r="F758" s="3">
        <v>731084.88</v>
      </c>
      <c r="G758" s="3">
        <v>702511.76</v>
      </c>
      <c r="H758" s="18">
        <v>2199037.7999999998</v>
      </c>
      <c r="I758" s="19"/>
    </row>
    <row r="759" spans="1:9" x14ac:dyDescent="0.25">
      <c r="A759" s="14" t="s">
        <v>897</v>
      </c>
      <c r="B759" s="15"/>
      <c r="C759" s="15"/>
      <c r="D759" s="15"/>
      <c r="E759" s="3">
        <v>7697.12</v>
      </c>
      <c r="F759" s="3">
        <v>7974.21</v>
      </c>
      <c r="G759" s="3">
        <v>5839.26</v>
      </c>
      <c r="H759" s="18">
        <v>21510.59</v>
      </c>
      <c r="I759" s="19"/>
    </row>
    <row r="760" spans="1:9" x14ac:dyDescent="0.25">
      <c r="A760" s="14" t="s">
        <v>898</v>
      </c>
      <c r="B760" s="15"/>
      <c r="C760" s="15"/>
      <c r="D760" s="15"/>
      <c r="E760" s="3">
        <v>25585.5</v>
      </c>
      <c r="F760" s="3">
        <v>13794.68</v>
      </c>
      <c r="G760" s="3">
        <v>11433.3</v>
      </c>
      <c r="H760" s="18">
        <v>50813.48</v>
      </c>
      <c r="I760" s="19"/>
    </row>
    <row r="761" spans="1:9" x14ac:dyDescent="0.25">
      <c r="A761" s="14" t="s">
        <v>899</v>
      </c>
      <c r="B761" s="15"/>
      <c r="C761" s="15"/>
      <c r="D761" s="15"/>
      <c r="E761" s="5"/>
      <c r="F761" s="5"/>
      <c r="G761" s="3">
        <v>2280.7199999999998</v>
      </c>
      <c r="H761" s="18">
        <v>2280.7199999999998</v>
      </c>
      <c r="I761" s="19"/>
    </row>
    <row r="762" spans="1:9" x14ac:dyDescent="0.25">
      <c r="A762" s="14" t="s">
        <v>900</v>
      </c>
      <c r="B762" s="15"/>
      <c r="C762" s="15"/>
      <c r="D762" s="15"/>
      <c r="E762" s="3">
        <v>59727.71</v>
      </c>
      <c r="F762" s="3">
        <v>467116.22</v>
      </c>
      <c r="G762" s="3">
        <v>534684.67000000004</v>
      </c>
      <c r="H762" s="18">
        <v>1061528.6000000001</v>
      </c>
      <c r="I762" s="19"/>
    </row>
    <row r="763" spans="1:9" x14ac:dyDescent="0.25">
      <c r="A763" s="14" t="s">
        <v>901</v>
      </c>
      <c r="B763" s="15"/>
      <c r="C763" s="15"/>
      <c r="D763" s="15"/>
      <c r="E763" s="3">
        <v>6235.39</v>
      </c>
      <c r="F763" s="3">
        <v>24140.639999999999</v>
      </c>
      <c r="G763" s="3">
        <v>30545.47</v>
      </c>
      <c r="H763" s="18">
        <v>60921.5</v>
      </c>
      <c r="I763" s="19"/>
    </row>
    <row r="764" spans="1:9" x14ac:dyDescent="0.25">
      <c r="A764" s="14" t="s">
        <v>902</v>
      </c>
      <c r="B764" s="15"/>
      <c r="C764" s="15"/>
      <c r="D764" s="15"/>
      <c r="E764" s="5"/>
      <c r="F764" s="3">
        <v>9772.2800000000007</v>
      </c>
      <c r="G764" s="3">
        <v>330140.40999999997</v>
      </c>
      <c r="H764" s="18">
        <v>339912.69</v>
      </c>
      <c r="I764" s="19"/>
    </row>
    <row r="765" spans="1:9" x14ac:dyDescent="0.25">
      <c r="A765" s="14" t="s">
        <v>903</v>
      </c>
      <c r="B765" s="15"/>
      <c r="C765" s="15"/>
      <c r="D765" s="15"/>
      <c r="E765" s="3">
        <v>232214.51</v>
      </c>
      <c r="F765" s="3">
        <v>208018.32</v>
      </c>
      <c r="G765" s="3">
        <v>187950.4</v>
      </c>
      <c r="H765" s="18">
        <v>628183.23</v>
      </c>
      <c r="I765" s="19"/>
    </row>
    <row r="766" spans="1:9" x14ac:dyDescent="0.25">
      <c r="A766" s="14" t="s">
        <v>904</v>
      </c>
      <c r="B766" s="15"/>
      <c r="C766" s="15"/>
      <c r="D766" s="15"/>
      <c r="E766" s="3">
        <v>3700.17</v>
      </c>
      <c r="F766" s="3">
        <v>6241.01</v>
      </c>
      <c r="G766" s="3">
        <v>6981.93</v>
      </c>
      <c r="H766" s="18">
        <v>16923.11</v>
      </c>
      <c r="I766" s="19"/>
    </row>
    <row r="767" spans="1:9" x14ac:dyDescent="0.25">
      <c r="A767" s="14" t="s">
        <v>905</v>
      </c>
      <c r="B767" s="15"/>
      <c r="C767" s="15"/>
      <c r="D767" s="15"/>
      <c r="E767" s="3">
        <v>426111.18</v>
      </c>
      <c r="F767" s="3">
        <v>46653.66</v>
      </c>
      <c r="G767" s="3">
        <v>460960.37</v>
      </c>
      <c r="H767" s="18">
        <v>933725.21</v>
      </c>
      <c r="I767" s="19"/>
    </row>
    <row r="768" spans="1:9" x14ac:dyDescent="0.25">
      <c r="A768" s="14" t="s">
        <v>906</v>
      </c>
      <c r="B768" s="15"/>
      <c r="C768" s="15"/>
      <c r="D768" s="15"/>
      <c r="E768" s="3">
        <v>12201.6</v>
      </c>
      <c r="F768" s="3">
        <v>50377.22</v>
      </c>
      <c r="G768" s="3">
        <v>126601</v>
      </c>
      <c r="H768" s="18">
        <v>189179.82</v>
      </c>
      <c r="I768" s="19"/>
    </row>
    <row r="769" spans="1:9" x14ac:dyDescent="0.25">
      <c r="A769" s="14" t="s">
        <v>907</v>
      </c>
      <c r="B769" s="15"/>
      <c r="C769" s="15"/>
      <c r="D769" s="15"/>
      <c r="E769" s="3">
        <v>38898.58</v>
      </c>
      <c r="F769" s="3">
        <v>23816.52</v>
      </c>
      <c r="G769" s="3">
        <v>244225.61</v>
      </c>
      <c r="H769" s="18">
        <v>306940.71000000002</v>
      </c>
      <c r="I769" s="19"/>
    </row>
    <row r="770" spans="1:9" x14ac:dyDescent="0.25">
      <c r="A770" s="14" t="s">
        <v>908</v>
      </c>
      <c r="B770" s="15"/>
      <c r="C770" s="15"/>
      <c r="D770" s="15"/>
      <c r="E770" s="3">
        <v>20359.68</v>
      </c>
      <c r="F770" s="3">
        <v>9597.4500000000007</v>
      </c>
      <c r="G770" s="3">
        <v>17745.38</v>
      </c>
      <c r="H770" s="18">
        <v>47702.51</v>
      </c>
      <c r="I770" s="19"/>
    </row>
    <row r="771" spans="1:9" x14ac:dyDescent="0.25">
      <c r="A771" s="14" t="s">
        <v>909</v>
      </c>
      <c r="B771" s="15"/>
      <c r="C771" s="15"/>
      <c r="D771" s="15"/>
      <c r="E771" s="3">
        <v>382737.22</v>
      </c>
      <c r="F771" s="4" t="s">
        <v>910</v>
      </c>
      <c r="G771" s="3">
        <v>291082.02</v>
      </c>
      <c r="H771" s="18">
        <v>241452.56</v>
      </c>
      <c r="I771" s="19"/>
    </row>
    <row r="772" spans="1:9" x14ac:dyDescent="0.25">
      <c r="A772" s="14" t="s">
        <v>911</v>
      </c>
      <c r="B772" s="15"/>
      <c r="C772" s="15"/>
      <c r="D772" s="15"/>
      <c r="E772" s="3">
        <v>7201.63</v>
      </c>
      <c r="F772" s="3">
        <v>6932.75</v>
      </c>
      <c r="G772" s="3">
        <v>19323.91</v>
      </c>
      <c r="H772" s="18">
        <v>33458.29</v>
      </c>
      <c r="I772" s="19"/>
    </row>
    <row r="773" spans="1:9" x14ac:dyDescent="0.25">
      <c r="A773" s="14" t="s">
        <v>912</v>
      </c>
      <c r="B773" s="15"/>
      <c r="C773" s="15"/>
      <c r="D773" s="15"/>
      <c r="E773" s="3">
        <v>2672.75</v>
      </c>
      <c r="F773" s="3">
        <v>6772.82</v>
      </c>
      <c r="G773" s="3">
        <v>16559.73</v>
      </c>
      <c r="H773" s="18">
        <v>26005.3</v>
      </c>
      <c r="I773" s="19"/>
    </row>
    <row r="774" spans="1:9" x14ac:dyDescent="0.25">
      <c r="A774" s="14" t="s">
        <v>913</v>
      </c>
      <c r="B774" s="15"/>
      <c r="C774" s="15"/>
      <c r="D774" s="15"/>
      <c r="E774" s="3">
        <v>427579.5</v>
      </c>
      <c r="F774" s="4" t="s">
        <v>914</v>
      </c>
      <c r="G774" s="3">
        <v>391137.95</v>
      </c>
      <c r="H774" s="18">
        <v>804075.97</v>
      </c>
      <c r="I774" s="19"/>
    </row>
    <row r="775" spans="1:9" x14ac:dyDescent="0.25">
      <c r="A775" s="14" t="s">
        <v>915</v>
      </c>
      <c r="B775" s="15"/>
      <c r="C775" s="15"/>
      <c r="D775" s="15"/>
      <c r="E775" s="3">
        <v>26716.48</v>
      </c>
      <c r="F775" s="3">
        <v>1323.52</v>
      </c>
      <c r="G775" s="3">
        <v>21556.52</v>
      </c>
      <c r="H775" s="18">
        <v>49596.52</v>
      </c>
      <c r="I775" s="19"/>
    </row>
    <row r="776" spans="1:9" x14ac:dyDescent="0.25">
      <c r="A776" s="14" t="s">
        <v>916</v>
      </c>
      <c r="B776" s="15"/>
      <c r="C776" s="15"/>
      <c r="D776" s="15"/>
      <c r="E776" s="3">
        <v>19417.73</v>
      </c>
      <c r="F776" s="3">
        <v>8122.82</v>
      </c>
      <c r="G776" s="3">
        <v>18969.86</v>
      </c>
      <c r="H776" s="18">
        <v>46510.41</v>
      </c>
      <c r="I776" s="19"/>
    </row>
    <row r="777" spans="1:9" x14ac:dyDescent="0.25">
      <c r="A777" s="14" t="s">
        <v>917</v>
      </c>
      <c r="B777" s="15"/>
      <c r="C777" s="15"/>
      <c r="D777" s="15"/>
      <c r="E777" s="3">
        <v>500759.47</v>
      </c>
      <c r="F777" s="3">
        <v>297188.27</v>
      </c>
      <c r="G777" s="3">
        <v>392320</v>
      </c>
      <c r="H777" s="18">
        <v>1190267.74</v>
      </c>
      <c r="I777" s="19"/>
    </row>
    <row r="778" spans="1:9" x14ac:dyDescent="0.25">
      <c r="A778" s="14" t="s">
        <v>918</v>
      </c>
      <c r="B778" s="15"/>
      <c r="C778" s="15"/>
      <c r="D778" s="15"/>
      <c r="E778" s="3">
        <v>26865.11</v>
      </c>
      <c r="F778" s="3">
        <v>9240.6299999999992</v>
      </c>
      <c r="G778" s="3">
        <v>21067.24</v>
      </c>
      <c r="H778" s="18">
        <v>57172.98</v>
      </c>
      <c r="I778" s="19"/>
    </row>
    <row r="779" spans="1:9" x14ac:dyDescent="0.25">
      <c r="A779" s="14" t="s">
        <v>919</v>
      </c>
      <c r="B779" s="15"/>
      <c r="C779" s="15"/>
      <c r="D779" s="15"/>
      <c r="E779" s="3">
        <v>21472.86</v>
      </c>
      <c r="F779" s="3">
        <v>8460.4599999999991</v>
      </c>
      <c r="G779" s="3">
        <v>20130.09</v>
      </c>
      <c r="H779" s="18">
        <v>50063.41</v>
      </c>
      <c r="I779" s="19"/>
    </row>
    <row r="780" spans="1:9" x14ac:dyDescent="0.25">
      <c r="A780" s="14" t="s">
        <v>920</v>
      </c>
      <c r="B780" s="15"/>
      <c r="C780" s="15"/>
      <c r="D780" s="15"/>
      <c r="E780" s="3">
        <v>27216.5</v>
      </c>
      <c r="F780" s="3">
        <v>8789.84</v>
      </c>
      <c r="G780" s="3">
        <v>22792.58</v>
      </c>
      <c r="H780" s="18">
        <v>58798.92</v>
      </c>
      <c r="I780" s="19"/>
    </row>
    <row r="781" spans="1:9" x14ac:dyDescent="0.25">
      <c r="A781" s="14" t="s">
        <v>921</v>
      </c>
      <c r="B781" s="15"/>
      <c r="C781" s="15"/>
      <c r="D781" s="15"/>
      <c r="E781" s="3">
        <v>32894.06</v>
      </c>
      <c r="F781" s="3">
        <v>11921.49</v>
      </c>
      <c r="G781" s="3">
        <v>27578.49</v>
      </c>
      <c r="H781" s="18">
        <v>72394.039999999994</v>
      </c>
      <c r="I781" s="19"/>
    </row>
    <row r="782" spans="1:9" x14ac:dyDescent="0.25">
      <c r="A782" s="14" t="s">
        <v>922</v>
      </c>
      <c r="B782" s="15"/>
      <c r="C782" s="15"/>
      <c r="D782" s="15"/>
      <c r="E782" s="3">
        <v>17410.48</v>
      </c>
      <c r="F782" s="3">
        <v>5116.87</v>
      </c>
      <c r="G782" s="3">
        <v>24290.37</v>
      </c>
      <c r="H782" s="18">
        <v>46817.72</v>
      </c>
      <c r="I782" s="19"/>
    </row>
    <row r="783" spans="1:9" x14ac:dyDescent="0.25">
      <c r="A783" s="14" t="s">
        <v>923</v>
      </c>
      <c r="B783" s="15"/>
      <c r="C783" s="15"/>
      <c r="D783" s="15"/>
      <c r="E783" s="3">
        <v>136794.49</v>
      </c>
      <c r="F783" s="3">
        <v>121022.79</v>
      </c>
      <c r="G783" s="3">
        <v>225707.44</v>
      </c>
      <c r="H783" s="18">
        <v>483524.72</v>
      </c>
      <c r="I783" s="19"/>
    </row>
    <row r="784" spans="1:9" x14ac:dyDescent="0.25">
      <c r="A784" s="14" t="s">
        <v>924</v>
      </c>
      <c r="B784" s="15"/>
      <c r="C784" s="15"/>
      <c r="D784" s="15"/>
      <c r="E784" s="3">
        <v>8777.24</v>
      </c>
      <c r="F784" s="5"/>
      <c r="G784" s="3">
        <v>14849.16</v>
      </c>
      <c r="H784" s="18">
        <v>23626.400000000001</v>
      </c>
      <c r="I784" s="19"/>
    </row>
    <row r="785" spans="1:9" x14ac:dyDescent="0.25">
      <c r="A785" s="14" t="s">
        <v>925</v>
      </c>
      <c r="B785" s="15"/>
      <c r="C785" s="15"/>
      <c r="D785" s="15"/>
      <c r="E785" s="5"/>
      <c r="F785" s="5"/>
      <c r="G785" s="3">
        <v>3485.04</v>
      </c>
      <c r="H785" s="18">
        <v>3485.04</v>
      </c>
      <c r="I785" s="19"/>
    </row>
    <row r="786" spans="1:9" x14ac:dyDescent="0.25">
      <c r="A786" s="14" t="s">
        <v>926</v>
      </c>
      <c r="B786" s="15"/>
      <c r="C786" s="15"/>
      <c r="D786" s="15"/>
      <c r="E786" s="5"/>
      <c r="F786" s="5"/>
      <c r="G786" s="3">
        <v>2878.92</v>
      </c>
      <c r="H786" s="18">
        <v>2878.92</v>
      </c>
      <c r="I786" s="19"/>
    </row>
    <row r="787" spans="1:9" x14ac:dyDescent="0.25">
      <c r="A787" s="14" t="s">
        <v>927</v>
      </c>
      <c r="B787" s="15"/>
      <c r="C787" s="15"/>
      <c r="D787" s="15"/>
      <c r="E787" s="3">
        <v>49.53</v>
      </c>
      <c r="F787" s="3">
        <v>255.19</v>
      </c>
      <c r="G787" s="3">
        <v>664.85</v>
      </c>
      <c r="H787" s="18">
        <v>969.57</v>
      </c>
      <c r="I787" s="19"/>
    </row>
    <row r="788" spans="1:9" x14ac:dyDescent="0.25">
      <c r="A788" s="14" t="s">
        <v>928</v>
      </c>
      <c r="B788" s="15"/>
      <c r="C788" s="15"/>
      <c r="D788" s="15"/>
      <c r="E788" s="3">
        <v>1260.03</v>
      </c>
      <c r="F788" s="3">
        <v>494.15</v>
      </c>
      <c r="G788" s="3">
        <v>1022.73</v>
      </c>
      <c r="H788" s="18">
        <v>2776.91</v>
      </c>
      <c r="I788" s="19"/>
    </row>
    <row r="789" spans="1:9" x14ac:dyDescent="0.25">
      <c r="A789" s="14" t="s">
        <v>929</v>
      </c>
      <c r="B789" s="15"/>
      <c r="C789" s="15"/>
      <c r="D789" s="15"/>
      <c r="E789" s="3">
        <v>284.17</v>
      </c>
      <c r="F789" s="3">
        <v>3276.72</v>
      </c>
      <c r="G789" s="3">
        <v>3215.91</v>
      </c>
      <c r="H789" s="18">
        <v>6776.8</v>
      </c>
      <c r="I789" s="19"/>
    </row>
    <row r="790" spans="1:9" x14ac:dyDescent="0.25">
      <c r="A790" s="14" t="s">
        <v>930</v>
      </c>
      <c r="B790" s="15"/>
      <c r="C790" s="15"/>
      <c r="D790" s="15"/>
      <c r="E790" s="3">
        <v>436969.82</v>
      </c>
      <c r="F790" s="3">
        <v>436347.58</v>
      </c>
      <c r="G790" s="3">
        <v>303956.49</v>
      </c>
      <c r="H790" s="18">
        <v>1177273.8899999999</v>
      </c>
      <c r="I790" s="19"/>
    </row>
    <row r="791" spans="1:9" x14ac:dyDescent="0.25">
      <c r="A791" s="14" t="s">
        <v>931</v>
      </c>
      <c r="B791" s="15"/>
      <c r="C791" s="15"/>
      <c r="D791" s="15"/>
      <c r="E791" s="3">
        <v>587753.84</v>
      </c>
      <c r="F791" s="3">
        <v>342730.4</v>
      </c>
      <c r="G791" s="3">
        <v>665921.41</v>
      </c>
      <c r="H791" s="18">
        <v>1596405.65</v>
      </c>
      <c r="I791" s="19"/>
    </row>
    <row r="792" spans="1:9" x14ac:dyDescent="0.25">
      <c r="A792" s="14" t="s">
        <v>932</v>
      </c>
      <c r="B792" s="15"/>
      <c r="C792" s="15"/>
      <c r="D792" s="15"/>
      <c r="E792" s="3">
        <v>46801.35</v>
      </c>
      <c r="F792" s="3">
        <v>41445.54</v>
      </c>
      <c r="G792" s="3">
        <v>74780.479999999996</v>
      </c>
      <c r="H792" s="18">
        <v>163027.37</v>
      </c>
      <c r="I792" s="19"/>
    </row>
    <row r="793" spans="1:9" x14ac:dyDescent="0.25">
      <c r="A793" s="14" t="s">
        <v>933</v>
      </c>
      <c r="B793" s="15"/>
      <c r="C793" s="15"/>
      <c r="D793" s="15"/>
      <c r="E793" s="3">
        <v>67654.64</v>
      </c>
      <c r="F793" s="4" t="s">
        <v>934</v>
      </c>
      <c r="G793" s="3">
        <v>28047.46</v>
      </c>
      <c r="H793" s="18">
        <v>90782.96</v>
      </c>
      <c r="I793" s="19"/>
    </row>
    <row r="794" spans="1:9" x14ac:dyDescent="0.25">
      <c r="A794" s="14" t="s">
        <v>935</v>
      </c>
      <c r="B794" s="15"/>
      <c r="C794" s="15"/>
      <c r="D794" s="15"/>
      <c r="E794" s="3">
        <v>200008.88</v>
      </c>
      <c r="F794" s="3">
        <v>102097.28</v>
      </c>
      <c r="G794" s="3">
        <v>195760.41</v>
      </c>
      <c r="H794" s="18">
        <v>497866.57</v>
      </c>
      <c r="I794" s="19"/>
    </row>
    <row r="795" spans="1:9" x14ac:dyDescent="0.25">
      <c r="A795" s="14" t="s">
        <v>936</v>
      </c>
      <c r="B795" s="15"/>
      <c r="C795" s="15"/>
      <c r="D795" s="15"/>
      <c r="E795" s="3">
        <v>90444.93</v>
      </c>
      <c r="F795" s="3">
        <v>106298.98</v>
      </c>
      <c r="G795" s="3">
        <v>130902.26</v>
      </c>
      <c r="H795" s="18">
        <v>327646.17</v>
      </c>
      <c r="I795" s="19"/>
    </row>
    <row r="796" spans="1:9" x14ac:dyDescent="0.25">
      <c r="A796" s="14" t="s">
        <v>937</v>
      </c>
      <c r="B796" s="15"/>
      <c r="C796" s="15"/>
      <c r="D796" s="15"/>
      <c r="E796" s="3">
        <v>146755.92000000001</v>
      </c>
      <c r="F796" s="3">
        <v>149591.28</v>
      </c>
      <c r="G796" s="3">
        <v>192285.16</v>
      </c>
      <c r="H796" s="18">
        <v>488632.36</v>
      </c>
      <c r="I796" s="19"/>
    </row>
    <row r="797" spans="1:9" x14ac:dyDescent="0.25">
      <c r="A797" s="14" t="s">
        <v>938</v>
      </c>
      <c r="B797" s="15"/>
      <c r="C797" s="15"/>
      <c r="D797" s="15"/>
      <c r="E797" s="3">
        <v>110219.39</v>
      </c>
      <c r="F797" s="3">
        <v>115482.95</v>
      </c>
      <c r="G797" s="3">
        <v>186462.66</v>
      </c>
      <c r="H797" s="18">
        <v>412165</v>
      </c>
      <c r="I797" s="19"/>
    </row>
    <row r="798" spans="1:9" x14ac:dyDescent="0.25">
      <c r="A798" s="14" t="s">
        <v>939</v>
      </c>
      <c r="B798" s="15"/>
      <c r="C798" s="15"/>
      <c r="D798" s="15"/>
      <c r="E798" s="3">
        <v>595246</v>
      </c>
      <c r="F798" s="3">
        <v>305336.64</v>
      </c>
      <c r="G798" s="3">
        <v>579698.53</v>
      </c>
      <c r="H798" s="18">
        <v>1480281.17</v>
      </c>
      <c r="I798" s="19"/>
    </row>
    <row r="799" spans="1:9" x14ac:dyDescent="0.25">
      <c r="A799" s="14" t="s">
        <v>940</v>
      </c>
      <c r="B799" s="15"/>
      <c r="C799" s="15"/>
      <c r="D799" s="15"/>
      <c r="E799" s="3">
        <v>116947.81</v>
      </c>
      <c r="F799" s="3">
        <v>55967.59</v>
      </c>
      <c r="G799" s="3">
        <v>209961.01</v>
      </c>
      <c r="H799" s="18">
        <v>382876.41</v>
      </c>
      <c r="I799" s="19"/>
    </row>
    <row r="800" spans="1:9" x14ac:dyDescent="0.25">
      <c r="A800" s="14" t="s">
        <v>941</v>
      </c>
      <c r="B800" s="15"/>
      <c r="C800" s="15"/>
      <c r="D800" s="15"/>
      <c r="E800" s="3">
        <v>466297.61</v>
      </c>
      <c r="F800" s="3">
        <v>99374.28</v>
      </c>
      <c r="G800" s="3">
        <v>125649.28</v>
      </c>
      <c r="H800" s="18">
        <v>691321.17</v>
      </c>
      <c r="I800" s="19"/>
    </row>
    <row r="801" spans="1:9" x14ac:dyDescent="0.25">
      <c r="A801" s="14" t="s">
        <v>942</v>
      </c>
      <c r="B801" s="15"/>
      <c r="C801" s="15"/>
      <c r="D801" s="15"/>
      <c r="E801" s="3">
        <v>66899.73</v>
      </c>
      <c r="F801" s="3">
        <v>24766.95</v>
      </c>
      <c r="G801" s="3">
        <v>92384.21</v>
      </c>
      <c r="H801" s="18">
        <v>184050.89</v>
      </c>
      <c r="I801" s="19"/>
    </row>
    <row r="802" spans="1:9" x14ac:dyDescent="0.25">
      <c r="A802" s="14" t="s">
        <v>943</v>
      </c>
      <c r="B802" s="15"/>
      <c r="C802" s="15"/>
      <c r="D802" s="15"/>
      <c r="E802" s="3">
        <v>348771.16</v>
      </c>
      <c r="F802" s="3">
        <v>96044.86</v>
      </c>
      <c r="G802" s="3">
        <v>208804.83</v>
      </c>
      <c r="H802" s="18">
        <v>653620.85</v>
      </c>
      <c r="I802" s="19"/>
    </row>
    <row r="803" spans="1:9" x14ac:dyDescent="0.25">
      <c r="A803" s="14" t="s">
        <v>944</v>
      </c>
      <c r="B803" s="15"/>
      <c r="C803" s="15"/>
      <c r="D803" s="15"/>
      <c r="E803" s="3">
        <v>218818.8</v>
      </c>
      <c r="F803" s="3">
        <v>132611.49</v>
      </c>
      <c r="G803" s="3">
        <v>272556.53000000003</v>
      </c>
      <c r="H803" s="18">
        <v>623986.81999999995</v>
      </c>
      <c r="I803" s="19"/>
    </row>
    <row r="804" spans="1:9" x14ac:dyDescent="0.25">
      <c r="A804" s="14" t="s">
        <v>945</v>
      </c>
      <c r="B804" s="15"/>
      <c r="C804" s="15"/>
      <c r="D804" s="15"/>
      <c r="E804" s="3">
        <v>7652.72</v>
      </c>
      <c r="F804" s="4" t="s">
        <v>946</v>
      </c>
      <c r="G804" s="4" t="s">
        <v>947</v>
      </c>
      <c r="H804" s="20" t="s">
        <v>948</v>
      </c>
      <c r="I804" s="21"/>
    </row>
    <row r="805" spans="1:9" x14ac:dyDescent="0.25">
      <c r="A805" s="14" t="s">
        <v>949</v>
      </c>
      <c r="B805" s="15"/>
      <c r="C805" s="15"/>
      <c r="D805" s="15"/>
      <c r="E805" s="3">
        <v>1450.33</v>
      </c>
      <c r="F805" s="4" t="s">
        <v>950</v>
      </c>
      <c r="G805" s="4" t="s">
        <v>951</v>
      </c>
      <c r="H805" s="18">
        <v>990.06000000000097</v>
      </c>
      <c r="I805" s="19"/>
    </row>
    <row r="806" spans="1:9" x14ac:dyDescent="0.25">
      <c r="A806" s="14" t="s">
        <v>952</v>
      </c>
      <c r="B806" s="15"/>
      <c r="C806" s="15"/>
      <c r="D806" s="15"/>
      <c r="E806" s="3">
        <v>958.92</v>
      </c>
      <c r="F806" s="4" t="s">
        <v>953</v>
      </c>
      <c r="G806" s="3">
        <v>981.72</v>
      </c>
      <c r="H806" s="18">
        <v>1555.46</v>
      </c>
      <c r="I806" s="19"/>
    </row>
    <row r="807" spans="1:9" x14ac:dyDescent="0.25">
      <c r="A807" s="14" t="s">
        <v>954</v>
      </c>
      <c r="B807" s="15"/>
      <c r="C807" s="15"/>
      <c r="D807" s="15"/>
      <c r="E807" s="4" t="s">
        <v>955</v>
      </c>
      <c r="F807" s="4" t="s">
        <v>956</v>
      </c>
      <c r="G807" s="4" t="s">
        <v>957</v>
      </c>
      <c r="H807" s="20" t="s">
        <v>958</v>
      </c>
      <c r="I807" s="21"/>
    </row>
    <row r="808" spans="1:9" x14ac:dyDescent="0.25">
      <c r="A808" s="14" t="s">
        <v>959</v>
      </c>
      <c r="B808" s="15"/>
      <c r="C808" s="15"/>
      <c r="D808" s="15"/>
      <c r="E808" s="3">
        <v>1047.17</v>
      </c>
      <c r="F808" s="3">
        <v>1111.28</v>
      </c>
      <c r="G808" s="3">
        <v>3251.66</v>
      </c>
      <c r="H808" s="18">
        <v>5410.11</v>
      </c>
      <c r="I808" s="19"/>
    </row>
    <row r="809" spans="1:9" x14ac:dyDescent="0.25">
      <c r="A809" s="14" t="s">
        <v>960</v>
      </c>
      <c r="B809" s="15"/>
      <c r="C809" s="15"/>
      <c r="D809" s="15"/>
      <c r="E809" s="3">
        <v>297.97000000000003</v>
      </c>
      <c r="F809" s="3">
        <v>316.25</v>
      </c>
      <c r="G809" s="3">
        <v>925.37</v>
      </c>
      <c r="H809" s="18">
        <v>1539.59</v>
      </c>
      <c r="I809" s="19"/>
    </row>
    <row r="810" spans="1:9" x14ac:dyDescent="0.25">
      <c r="A810" s="14" t="s">
        <v>961</v>
      </c>
      <c r="B810" s="15"/>
      <c r="C810" s="15"/>
      <c r="D810" s="15"/>
      <c r="E810" s="5"/>
      <c r="F810" s="3">
        <v>7871.47</v>
      </c>
      <c r="G810" s="5"/>
      <c r="H810" s="18">
        <v>7871.47</v>
      </c>
      <c r="I810" s="19"/>
    </row>
    <row r="811" spans="1:9" x14ac:dyDescent="0.25">
      <c r="A811" s="14" t="s">
        <v>962</v>
      </c>
      <c r="B811" s="15"/>
      <c r="C811" s="15"/>
      <c r="D811" s="15"/>
      <c r="E811" s="4" t="s">
        <v>963</v>
      </c>
      <c r="F811" s="4" t="s">
        <v>964</v>
      </c>
      <c r="G811" s="4" t="s">
        <v>965</v>
      </c>
      <c r="H811" s="20" t="s">
        <v>966</v>
      </c>
      <c r="I811" s="21"/>
    </row>
    <row r="812" spans="1:9" x14ac:dyDescent="0.25">
      <c r="A812" s="14" t="s">
        <v>967</v>
      </c>
      <c r="B812" s="15"/>
      <c r="C812" s="15"/>
      <c r="D812" s="15"/>
      <c r="E812" s="3">
        <v>11562.8</v>
      </c>
      <c r="F812" s="3">
        <v>6913.37</v>
      </c>
      <c r="G812" s="3">
        <v>31575.13</v>
      </c>
      <c r="H812" s="18">
        <v>50051.3</v>
      </c>
      <c r="I812" s="19"/>
    </row>
    <row r="813" spans="1:9" x14ac:dyDescent="0.25">
      <c r="A813" s="14" t="s">
        <v>968</v>
      </c>
      <c r="B813" s="15"/>
      <c r="C813" s="15"/>
      <c r="D813" s="15"/>
      <c r="E813" s="3">
        <v>7829.13</v>
      </c>
      <c r="F813" s="3">
        <v>4681.03</v>
      </c>
      <c r="G813" s="3">
        <v>21379.4</v>
      </c>
      <c r="H813" s="18">
        <v>33889.56</v>
      </c>
      <c r="I813" s="19"/>
    </row>
    <row r="814" spans="1:9" x14ac:dyDescent="0.25">
      <c r="A814" s="14" t="s">
        <v>969</v>
      </c>
      <c r="B814" s="15"/>
      <c r="C814" s="15"/>
      <c r="D814" s="15"/>
      <c r="E814" s="3">
        <v>11058.01</v>
      </c>
      <c r="F814" s="3">
        <v>6611.54</v>
      </c>
      <c r="G814" s="3">
        <v>30196.639999999999</v>
      </c>
      <c r="H814" s="18">
        <v>47866.19</v>
      </c>
      <c r="I814" s="19"/>
    </row>
    <row r="815" spans="1:9" x14ac:dyDescent="0.25">
      <c r="A815" s="14" t="s">
        <v>970</v>
      </c>
      <c r="B815" s="15"/>
      <c r="C815" s="15"/>
      <c r="D815" s="15"/>
      <c r="E815" s="3">
        <v>952.46</v>
      </c>
      <c r="F815" s="3">
        <v>552.21</v>
      </c>
      <c r="G815" s="3">
        <v>2831.95</v>
      </c>
      <c r="H815" s="18">
        <v>4336.62</v>
      </c>
      <c r="I815" s="19"/>
    </row>
    <row r="816" spans="1:9" x14ac:dyDescent="0.25">
      <c r="A816" s="14" t="s">
        <v>971</v>
      </c>
      <c r="B816" s="15"/>
      <c r="C816" s="15"/>
      <c r="D816" s="15"/>
      <c r="E816" s="5"/>
      <c r="F816" s="3">
        <v>854.56</v>
      </c>
      <c r="G816" s="5"/>
      <c r="H816" s="18">
        <v>854.56</v>
      </c>
      <c r="I816" s="19"/>
    </row>
    <row r="817" spans="1:9" x14ac:dyDescent="0.25">
      <c r="A817" s="14" t="s">
        <v>972</v>
      </c>
      <c r="B817" s="15"/>
      <c r="C817" s="15"/>
      <c r="D817" s="15"/>
      <c r="E817" s="5"/>
      <c r="F817" s="3">
        <v>2796.61</v>
      </c>
      <c r="G817" s="5"/>
      <c r="H817" s="18">
        <v>2796.61</v>
      </c>
      <c r="I817" s="19"/>
    </row>
    <row r="818" spans="1:9" x14ac:dyDescent="0.25">
      <c r="A818" s="14" t="s">
        <v>973</v>
      </c>
      <c r="B818" s="15"/>
      <c r="C818" s="15"/>
      <c r="D818" s="15"/>
      <c r="E818" s="4" t="s">
        <v>974</v>
      </c>
      <c r="F818" s="4" t="s">
        <v>975</v>
      </c>
      <c r="G818" s="4" t="s">
        <v>976</v>
      </c>
      <c r="H818" s="20" t="s">
        <v>977</v>
      </c>
      <c r="I818" s="21"/>
    </row>
    <row r="819" spans="1:9" x14ac:dyDescent="0.25">
      <c r="A819" s="14" t="s">
        <v>978</v>
      </c>
      <c r="B819" s="15"/>
      <c r="C819" s="15"/>
      <c r="D819" s="15"/>
      <c r="E819" s="3">
        <v>17181.490000000002</v>
      </c>
      <c r="F819" s="3">
        <v>17349.099999999999</v>
      </c>
      <c r="G819" s="3">
        <v>15312.29</v>
      </c>
      <c r="H819" s="18">
        <v>49842.879999999997</v>
      </c>
      <c r="I819" s="19"/>
    </row>
    <row r="820" spans="1:9" x14ac:dyDescent="0.25">
      <c r="A820" s="14" t="s">
        <v>979</v>
      </c>
      <c r="B820" s="15"/>
      <c r="C820" s="15"/>
      <c r="D820" s="15"/>
      <c r="E820" s="3">
        <v>22111.61</v>
      </c>
      <c r="F820" s="3">
        <v>22327.48</v>
      </c>
      <c r="G820" s="3">
        <v>19705.099999999999</v>
      </c>
      <c r="H820" s="18">
        <v>64144.19</v>
      </c>
      <c r="I820" s="19"/>
    </row>
    <row r="821" spans="1:9" x14ac:dyDescent="0.25">
      <c r="A821" s="14" t="s">
        <v>980</v>
      </c>
      <c r="B821" s="15"/>
      <c r="C821" s="15"/>
      <c r="D821" s="15"/>
      <c r="E821" s="4" t="s">
        <v>981</v>
      </c>
      <c r="F821" s="4" t="s">
        <v>982</v>
      </c>
      <c r="G821" s="4" t="s">
        <v>983</v>
      </c>
      <c r="H821" s="20" t="s">
        <v>984</v>
      </c>
      <c r="I821" s="21"/>
    </row>
    <row r="822" spans="1:9" x14ac:dyDescent="0.25">
      <c r="A822" s="14" t="s">
        <v>985</v>
      </c>
      <c r="B822" s="15"/>
      <c r="C822" s="15"/>
      <c r="D822" s="15"/>
      <c r="E822" s="3">
        <v>14364.28</v>
      </c>
      <c r="F822" s="3">
        <v>12080.13</v>
      </c>
      <c r="G822" s="3">
        <v>19075.66</v>
      </c>
      <c r="H822" s="18">
        <v>45520.07</v>
      </c>
      <c r="I822" s="19"/>
    </row>
    <row r="823" spans="1:9" x14ac:dyDescent="0.25">
      <c r="A823" s="14" t="s">
        <v>986</v>
      </c>
      <c r="B823" s="15"/>
      <c r="C823" s="15"/>
      <c r="D823" s="15"/>
      <c r="E823" s="3">
        <v>31651</v>
      </c>
      <c r="F823" s="3">
        <v>26618.04</v>
      </c>
      <c r="G823" s="3">
        <v>42032.24</v>
      </c>
      <c r="H823" s="18">
        <v>100301.28</v>
      </c>
      <c r="I823" s="19"/>
    </row>
    <row r="824" spans="1:9" x14ac:dyDescent="0.25">
      <c r="A824" s="14" t="s">
        <v>987</v>
      </c>
      <c r="B824" s="15"/>
      <c r="C824" s="15"/>
      <c r="D824" s="15"/>
      <c r="E824" s="3">
        <v>6309.93</v>
      </c>
      <c r="F824" s="3">
        <v>5306.53</v>
      </c>
      <c r="G824" s="3">
        <v>8379.5</v>
      </c>
      <c r="H824" s="18">
        <v>19995.96</v>
      </c>
      <c r="I824" s="19"/>
    </row>
    <row r="825" spans="1:9" x14ac:dyDescent="0.25">
      <c r="A825" s="14" t="s">
        <v>988</v>
      </c>
      <c r="B825" s="15"/>
      <c r="C825" s="15"/>
      <c r="D825" s="15"/>
      <c r="E825" s="4" t="s">
        <v>989</v>
      </c>
      <c r="F825" s="4" t="s">
        <v>990</v>
      </c>
      <c r="G825" s="4" t="s">
        <v>991</v>
      </c>
      <c r="H825" s="20" t="s">
        <v>992</v>
      </c>
      <c r="I825" s="21"/>
    </row>
    <row r="826" spans="1:9" x14ac:dyDescent="0.25">
      <c r="A826" s="14" t="s">
        <v>993</v>
      </c>
      <c r="B826" s="15"/>
      <c r="C826" s="15"/>
      <c r="D826" s="15"/>
      <c r="E826" s="3">
        <v>62170.13</v>
      </c>
      <c r="F826" s="3">
        <v>25721.62</v>
      </c>
      <c r="G826" s="3">
        <v>91622.56</v>
      </c>
      <c r="H826" s="18">
        <v>179514.31</v>
      </c>
      <c r="I826" s="19"/>
    </row>
    <row r="827" spans="1:9" x14ac:dyDescent="0.25">
      <c r="A827" s="14" t="s">
        <v>994</v>
      </c>
      <c r="B827" s="15"/>
      <c r="C827" s="15"/>
      <c r="D827" s="15"/>
      <c r="E827" s="3">
        <v>35910.33</v>
      </c>
      <c r="F827" s="3">
        <v>14857.18</v>
      </c>
      <c r="G827" s="3">
        <v>52922.37</v>
      </c>
      <c r="H827" s="18">
        <v>103689.88</v>
      </c>
      <c r="I827" s="19"/>
    </row>
    <row r="828" spans="1:9" x14ac:dyDescent="0.25">
      <c r="A828" s="14" t="s">
        <v>995</v>
      </c>
      <c r="B828" s="15"/>
      <c r="C828" s="15"/>
      <c r="D828" s="15"/>
      <c r="E828" s="3">
        <v>7666.71</v>
      </c>
      <c r="F828" s="3">
        <v>3171.94</v>
      </c>
      <c r="G828" s="3">
        <v>11298.78</v>
      </c>
      <c r="H828" s="18">
        <v>22137.43</v>
      </c>
      <c r="I828" s="19"/>
    </row>
    <row r="829" spans="1:9" x14ac:dyDescent="0.25">
      <c r="A829" s="14" t="s">
        <v>996</v>
      </c>
      <c r="B829" s="15"/>
      <c r="C829" s="15"/>
      <c r="D829" s="15"/>
      <c r="E829" s="3">
        <v>373593.3</v>
      </c>
      <c r="F829" s="3">
        <v>554445.96</v>
      </c>
      <c r="G829" s="3">
        <v>337599.84</v>
      </c>
      <c r="H829" s="18">
        <v>1265639.1000000001</v>
      </c>
      <c r="I829" s="19"/>
    </row>
    <row r="830" spans="1:9" x14ac:dyDescent="0.25">
      <c r="A830" s="14" t="s">
        <v>997</v>
      </c>
      <c r="B830" s="15"/>
      <c r="C830" s="15"/>
      <c r="D830" s="15"/>
      <c r="E830" s="3">
        <v>161667.82</v>
      </c>
      <c r="F830" s="3">
        <v>71999.89</v>
      </c>
      <c r="G830" s="3">
        <v>168012.91</v>
      </c>
      <c r="H830" s="18">
        <v>401680.62</v>
      </c>
      <c r="I830" s="19"/>
    </row>
    <row r="831" spans="1:9" x14ac:dyDescent="0.25">
      <c r="A831" s="14" t="s">
        <v>998</v>
      </c>
      <c r="B831" s="15"/>
      <c r="C831" s="15"/>
      <c r="D831" s="15"/>
      <c r="E831" s="3">
        <v>57512.24</v>
      </c>
      <c r="F831" s="3">
        <v>89606.89</v>
      </c>
      <c r="G831" s="3">
        <v>105433.60000000001</v>
      </c>
      <c r="H831" s="18">
        <v>252552.73</v>
      </c>
      <c r="I831" s="19"/>
    </row>
    <row r="832" spans="1:9" x14ac:dyDescent="0.25">
      <c r="A832" s="14" t="s">
        <v>999</v>
      </c>
      <c r="B832" s="15"/>
      <c r="C832" s="15"/>
      <c r="D832" s="15"/>
      <c r="E832" s="3">
        <v>59563.360000000001</v>
      </c>
      <c r="F832" s="3">
        <v>25142.48</v>
      </c>
      <c r="G832" s="3">
        <v>72755.600000000006</v>
      </c>
      <c r="H832" s="18">
        <v>157461.44</v>
      </c>
      <c r="I832" s="19"/>
    </row>
    <row r="833" spans="1:9" x14ac:dyDescent="0.25">
      <c r="A833" s="14" t="s">
        <v>1000</v>
      </c>
      <c r="B833" s="15"/>
      <c r="C833" s="15"/>
      <c r="D833" s="15"/>
      <c r="E833" s="3">
        <v>172593.19</v>
      </c>
      <c r="F833" s="3">
        <v>125352.6</v>
      </c>
      <c r="G833" s="3">
        <v>277739.2</v>
      </c>
      <c r="H833" s="18">
        <v>575684.99</v>
      </c>
      <c r="I833" s="19"/>
    </row>
    <row r="834" spans="1:9" x14ac:dyDescent="0.25">
      <c r="A834" s="14" t="s">
        <v>1001</v>
      </c>
      <c r="B834" s="15"/>
      <c r="C834" s="15"/>
      <c r="D834" s="15"/>
      <c r="E834" s="3">
        <v>32002.49</v>
      </c>
      <c r="F834" s="3">
        <v>17751.7</v>
      </c>
      <c r="G834" s="3">
        <v>47897.25</v>
      </c>
      <c r="H834" s="18">
        <v>97651.4399999999</v>
      </c>
      <c r="I834" s="19"/>
    </row>
    <row r="835" spans="1:9" x14ac:dyDescent="0.25">
      <c r="A835" s="14" t="s">
        <v>1002</v>
      </c>
      <c r="B835" s="15"/>
      <c r="C835" s="15"/>
      <c r="D835" s="15"/>
      <c r="E835" s="3">
        <v>113964.36</v>
      </c>
      <c r="F835" s="3">
        <v>70976.77</v>
      </c>
      <c r="G835" s="3">
        <v>216210.36</v>
      </c>
      <c r="H835" s="18">
        <v>401151.49</v>
      </c>
      <c r="I835" s="19"/>
    </row>
    <row r="836" spans="1:9" x14ac:dyDescent="0.25">
      <c r="A836" s="14" t="s">
        <v>1003</v>
      </c>
      <c r="B836" s="15"/>
      <c r="C836" s="15"/>
      <c r="D836" s="15"/>
      <c r="E836" s="3">
        <v>62530.28</v>
      </c>
      <c r="F836" s="3">
        <v>34581.5</v>
      </c>
      <c r="G836" s="3">
        <v>112413.69</v>
      </c>
      <c r="H836" s="18">
        <v>209525.47</v>
      </c>
      <c r="I836" s="19"/>
    </row>
    <row r="837" spans="1:9" x14ac:dyDescent="0.25">
      <c r="A837" s="14" t="s">
        <v>1004</v>
      </c>
      <c r="B837" s="15"/>
      <c r="C837" s="15"/>
      <c r="D837" s="15"/>
      <c r="E837" s="3">
        <v>119526.03</v>
      </c>
      <c r="F837" s="3">
        <v>84243.520000000004</v>
      </c>
      <c r="G837" s="3">
        <v>122609.55</v>
      </c>
      <c r="H837" s="18">
        <v>326379.09999999998</v>
      </c>
      <c r="I837" s="19"/>
    </row>
    <row r="838" spans="1:9" x14ac:dyDescent="0.25">
      <c r="A838" s="14" t="s">
        <v>1005</v>
      </c>
      <c r="B838" s="15"/>
      <c r="C838" s="15"/>
      <c r="D838" s="15"/>
      <c r="E838" s="3">
        <v>41162.019999999997</v>
      </c>
      <c r="F838" s="3">
        <v>41392.86</v>
      </c>
      <c r="G838" s="3">
        <v>62159.05</v>
      </c>
      <c r="H838" s="18">
        <v>144713.93</v>
      </c>
      <c r="I838" s="19"/>
    </row>
    <row r="839" spans="1:9" x14ac:dyDescent="0.25">
      <c r="A839" s="14" t="s">
        <v>1006</v>
      </c>
      <c r="B839" s="15"/>
      <c r="C839" s="15"/>
      <c r="D839" s="15"/>
      <c r="E839" s="3">
        <v>65950.899999999994</v>
      </c>
      <c r="F839" s="3">
        <v>32128.5</v>
      </c>
      <c r="G839" s="3">
        <v>84303.37</v>
      </c>
      <c r="H839" s="18">
        <v>182382.77</v>
      </c>
      <c r="I839" s="19"/>
    </row>
    <row r="840" spans="1:9" x14ac:dyDescent="0.25">
      <c r="A840" s="14" t="s">
        <v>1007</v>
      </c>
      <c r="B840" s="15"/>
      <c r="C840" s="15"/>
      <c r="D840" s="15"/>
      <c r="E840" s="3">
        <v>396019.25</v>
      </c>
      <c r="F840" s="3">
        <v>335898.37</v>
      </c>
      <c r="G840" s="3">
        <v>284827.59999999998</v>
      </c>
      <c r="H840" s="18">
        <v>1016745.22</v>
      </c>
      <c r="I840" s="19"/>
    </row>
    <row r="841" spans="1:9" x14ac:dyDescent="0.25">
      <c r="A841" s="14" t="s">
        <v>1008</v>
      </c>
      <c r="B841" s="15"/>
      <c r="C841" s="15"/>
      <c r="D841" s="15"/>
      <c r="E841" s="3">
        <v>648387.65</v>
      </c>
      <c r="F841" s="3">
        <v>293543.06</v>
      </c>
      <c r="G841" s="3">
        <v>473708.79999999999</v>
      </c>
      <c r="H841" s="18">
        <v>1415639.51</v>
      </c>
      <c r="I841" s="19"/>
    </row>
    <row r="842" spans="1:9" x14ac:dyDescent="0.25">
      <c r="A842" s="14" t="s">
        <v>1009</v>
      </c>
      <c r="B842" s="15"/>
      <c r="C842" s="15"/>
      <c r="D842" s="15"/>
      <c r="E842" s="3">
        <v>70948.27</v>
      </c>
      <c r="F842" s="3">
        <v>41850.06</v>
      </c>
      <c r="G842" s="3">
        <v>62995.92</v>
      </c>
      <c r="H842" s="18">
        <v>175794.25</v>
      </c>
      <c r="I842" s="19"/>
    </row>
    <row r="843" spans="1:9" x14ac:dyDescent="0.25">
      <c r="A843" s="14" t="s">
        <v>1010</v>
      </c>
      <c r="B843" s="15"/>
      <c r="C843" s="15"/>
      <c r="D843" s="15"/>
      <c r="E843" s="3">
        <v>129046.1</v>
      </c>
      <c r="F843" s="3">
        <v>262876.21999999997</v>
      </c>
      <c r="G843" s="3">
        <v>100944.1</v>
      </c>
      <c r="H843" s="18">
        <v>492866.42</v>
      </c>
      <c r="I843" s="19"/>
    </row>
    <row r="844" spans="1:9" x14ac:dyDescent="0.25">
      <c r="A844" s="14" t="s">
        <v>1011</v>
      </c>
      <c r="B844" s="15"/>
      <c r="C844" s="15"/>
      <c r="D844" s="15"/>
      <c r="E844" s="3">
        <v>43395.26</v>
      </c>
      <c r="F844" s="3">
        <v>62340.639999999999</v>
      </c>
      <c r="G844" s="3">
        <v>97686.67</v>
      </c>
      <c r="H844" s="18">
        <v>203422.57</v>
      </c>
      <c r="I844" s="19"/>
    </row>
    <row r="845" spans="1:9" x14ac:dyDescent="0.25">
      <c r="A845" s="14" t="s">
        <v>1012</v>
      </c>
      <c r="B845" s="15"/>
      <c r="C845" s="15"/>
      <c r="D845" s="15"/>
      <c r="E845" s="3">
        <v>56968.1</v>
      </c>
      <c r="F845" s="3">
        <v>47645.83</v>
      </c>
      <c r="G845" s="3">
        <v>114883.63</v>
      </c>
      <c r="H845" s="18">
        <v>219497.56</v>
      </c>
      <c r="I845" s="19"/>
    </row>
    <row r="846" spans="1:9" x14ac:dyDescent="0.25">
      <c r="A846" s="14" t="s">
        <v>1013</v>
      </c>
      <c r="B846" s="15"/>
      <c r="C846" s="15"/>
      <c r="D846" s="15"/>
      <c r="E846" s="3">
        <v>65723.39</v>
      </c>
      <c r="F846" s="3">
        <v>20877.150000000001</v>
      </c>
      <c r="G846" s="3">
        <v>138888.82999999999</v>
      </c>
      <c r="H846" s="18">
        <v>225489.37</v>
      </c>
      <c r="I846" s="19"/>
    </row>
    <row r="847" spans="1:9" x14ac:dyDescent="0.25">
      <c r="A847" s="14" t="s">
        <v>1014</v>
      </c>
      <c r="B847" s="15"/>
      <c r="C847" s="15"/>
      <c r="D847" s="15"/>
      <c r="E847" s="3">
        <v>33192.400000000001</v>
      </c>
      <c r="F847" s="3">
        <v>7449.75</v>
      </c>
      <c r="G847" s="3">
        <v>30989.77</v>
      </c>
      <c r="H847" s="18">
        <v>71631.92</v>
      </c>
      <c r="I847" s="19"/>
    </row>
    <row r="848" spans="1:9" x14ac:dyDescent="0.25">
      <c r="A848" s="14" t="s">
        <v>1015</v>
      </c>
      <c r="B848" s="15"/>
      <c r="C848" s="15"/>
      <c r="D848" s="15"/>
      <c r="E848" s="3">
        <v>242588.04</v>
      </c>
      <c r="F848" s="3">
        <v>166346.87</v>
      </c>
      <c r="G848" s="3">
        <v>621512.59</v>
      </c>
      <c r="H848" s="18">
        <v>1030447.5</v>
      </c>
      <c r="I848" s="19"/>
    </row>
    <row r="849" spans="1:9" x14ac:dyDescent="0.25">
      <c r="A849" s="14" t="s">
        <v>1016</v>
      </c>
      <c r="B849" s="15"/>
      <c r="C849" s="15"/>
      <c r="D849" s="15"/>
      <c r="E849" s="3">
        <v>17604.38</v>
      </c>
      <c r="F849" s="3">
        <v>924.62</v>
      </c>
      <c r="G849" s="3">
        <v>1828.24</v>
      </c>
      <c r="H849" s="18">
        <v>20357.240000000002</v>
      </c>
      <c r="I849" s="19"/>
    </row>
    <row r="850" spans="1:9" x14ac:dyDescent="0.25">
      <c r="A850" s="14" t="s">
        <v>1017</v>
      </c>
      <c r="B850" s="15"/>
      <c r="C850" s="15"/>
      <c r="D850" s="15"/>
      <c r="E850" s="3">
        <v>21417.5</v>
      </c>
      <c r="F850" s="3">
        <v>19873.810000000001</v>
      </c>
      <c r="G850" s="3">
        <v>15500.64</v>
      </c>
      <c r="H850" s="18">
        <v>56791.95</v>
      </c>
      <c r="I850" s="19"/>
    </row>
    <row r="851" spans="1:9" x14ac:dyDescent="0.25">
      <c r="A851" s="14" t="s">
        <v>1018</v>
      </c>
      <c r="B851" s="15"/>
      <c r="C851" s="15"/>
      <c r="D851" s="15"/>
      <c r="E851" s="3">
        <v>393986.57</v>
      </c>
      <c r="F851" s="3">
        <v>148124.69</v>
      </c>
      <c r="G851" s="3">
        <v>226651.23</v>
      </c>
      <c r="H851" s="18">
        <v>768762.49</v>
      </c>
      <c r="I851" s="19"/>
    </row>
    <row r="852" spans="1:9" x14ac:dyDescent="0.25">
      <c r="A852" s="14" t="s">
        <v>1019</v>
      </c>
      <c r="B852" s="15"/>
      <c r="C852" s="15"/>
      <c r="D852" s="15"/>
      <c r="E852" s="3">
        <v>151186.81</v>
      </c>
      <c r="F852" s="3">
        <v>55241.36</v>
      </c>
      <c r="G852" s="3">
        <v>142113.97</v>
      </c>
      <c r="H852" s="18">
        <v>348542.14</v>
      </c>
      <c r="I852" s="19"/>
    </row>
    <row r="853" spans="1:9" x14ac:dyDescent="0.25">
      <c r="A853" s="14" t="s">
        <v>1020</v>
      </c>
      <c r="B853" s="15"/>
      <c r="C853" s="15"/>
      <c r="D853" s="15"/>
      <c r="E853" s="3">
        <v>20962.86</v>
      </c>
      <c r="F853" s="3">
        <v>9886.5499999999993</v>
      </c>
      <c r="G853" s="3">
        <v>56939.38</v>
      </c>
      <c r="H853" s="18">
        <v>87788.79</v>
      </c>
      <c r="I853" s="19"/>
    </row>
    <row r="854" spans="1:9" x14ac:dyDescent="0.25">
      <c r="A854" s="14" t="s">
        <v>1021</v>
      </c>
      <c r="B854" s="15"/>
      <c r="C854" s="15"/>
      <c r="D854" s="15"/>
      <c r="E854" s="4" t="s">
        <v>1022</v>
      </c>
      <c r="F854" s="4" t="s">
        <v>1023</v>
      </c>
      <c r="G854" s="3">
        <v>6574.19</v>
      </c>
      <c r="H854" s="20" t="s">
        <v>1024</v>
      </c>
      <c r="I854" s="21"/>
    </row>
    <row r="855" spans="1:9" x14ac:dyDescent="0.25">
      <c r="A855" s="14" t="s">
        <v>1025</v>
      </c>
      <c r="B855" s="15"/>
      <c r="C855" s="15"/>
      <c r="D855" s="15"/>
      <c r="E855" s="3">
        <v>7468.46</v>
      </c>
      <c r="F855" s="3">
        <v>1822.61</v>
      </c>
      <c r="G855" s="3">
        <v>8402.83</v>
      </c>
      <c r="H855" s="18">
        <v>17693.900000000001</v>
      </c>
      <c r="I855" s="19"/>
    </row>
    <row r="856" spans="1:9" x14ac:dyDescent="0.25">
      <c r="A856" s="14" t="s">
        <v>1026</v>
      </c>
      <c r="B856" s="15"/>
      <c r="C856" s="15"/>
      <c r="D856" s="15"/>
      <c r="E856" s="3">
        <v>1430.57</v>
      </c>
      <c r="F856" s="3">
        <v>374.88</v>
      </c>
      <c r="G856" s="3">
        <v>8945.42</v>
      </c>
      <c r="H856" s="18">
        <v>10750.87</v>
      </c>
      <c r="I856" s="19"/>
    </row>
    <row r="857" spans="1:9" x14ac:dyDescent="0.25">
      <c r="A857" s="14" t="s">
        <v>1027</v>
      </c>
      <c r="B857" s="15"/>
      <c r="C857" s="15"/>
      <c r="D857" s="15"/>
      <c r="E857" s="4" t="s">
        <v>1028</v>
      </c>
      <c r="F857" s="4" t="s">
        <v>1029</v>
      </c>
      <c r="G857" s="4" t="s">
        <v>1030</v>
      </c>
      <c r="H857" s="20" t="s">
        <v>1031</v>
      </c>
      <c r="I857" s="21"/>
    </row>
    <row r="858" spans="1:9" x14ac:dyDescent="0.25">
      <c r="A858" s="14" t="s">
        <v>1032</v>
      </c>
      <c r="B858" s="15"/>
      <c r="C858" s="15"/>
      <c r="D858" s="15"/>
      <c r="E858" s="3">
        <v>16383.6</v>
      </c>
      <c r="F858" s="3">
        <v>4760.1099999999997</v>
      </c>
      <c r="G858" s="3">
        <v>10601.86</v>
      </c>
      <c r="H858" s="18">
        <v>31745.57</v>
      </c>
      <c r="I858" s="19"/>
    </row>
    <row r="859" spans="1:9" x14ac:dyDescent="0.25">
      <c r="A859" s="14" t="s">
        <v>1033</v>
      </c>
      <c r="B859" s="15"/>
      <c r="C859" s="15"/>
      <c r="D859" s="15"/>
      <c r="E859" s="3">
        <v>27884.83</v>
      </c>
      <c r="F859" s="3">
        <v>8035.21</v>
      </c>
      <c r="G859" s="3">
        <v>17989.47</v>
      </c>
      <c r="H859" s="18">
        <v>53909.51</v>
      </c>
      <c r="I859" s="19"/>
    </row>
    <row r="860" spans="1:9" x14ac:dyDescent="0.25">
      <c r="A860" s="14" t="s">
        <v>1034</v>
      </c>
      <c r="B860" s="15"/>
      <c r="C860" s="15"/>
      <c r="D860" s="15"/>
      <c r="E860" s="3">
        <v>37920.449999999997</v>
      </c>
      <c r="F860" s="3">
        <v>6411.89</v>
      </c>
      <c r="G860" s="3">
        <v>34455.910000000003</v>
      </c>
      <c r="H860" s="18">
        <v>78788.25</v>
      </c>
      <c r="I860" s="19"/>
    </row>
    <row r="861" spans="1:9" x14ac:dyDescent="0.25">
      <c r="A861" s="14" t="s">
        <v>1035</v>
      </c>
      <c r="B861" s="15"/>
      <c r="C861" s="15"/>
      <c r="D861" s="15"/>
      <c r="E861" s="3">
        <v>36718.03</v>
      </c>
      <c r="F861" s="4" t="s">
        <v>1036</v>
      </c>
      <c r="G861" s="3">
        <v>21341.11</v>
      </c>
      <c r="H861" s="18">
        <v>50025.08</v>
      </c>
      <c r="I861" s="19"/>
    </row>
    <row r="862" spans="1:9" x14ac:dyDescent="0.25">
      <c r="A862" s="14" t="s">
        <v>1037</v>
      </c>
      <c r="B862" s="15"/>
      <c r="C862" s="15"/>
      <c r="D862" s="15"/>
      <c r="E862" s="3">
        <v>3210.11</v>
      </c>
      <c r="F862" s="3">
        <v>2123.71</v>
      </c>
      <c r="G862" s="3">
        <v>1884.66</v>
      </c>
      <c r="H862" s="18">
        <v>7218.48</v>
      </c>
      <c r="I862" s="19"/>
    </row>
    <row r="863" spans="1:9" x14ac:dyDescent="0.25">
      <c r="A863" s="14" t="s">
        <v>1038</v>
      </c>
      <c r="B863" s="15"/>
      <c r="C863" s="15"/>
      <c r="D863" s="15"/>
      <c r="E863" s="3">
        <v>12786.01</v>
      </c>
      <c r="F863" s="3">
        <v>6884.69</v>
      </c>
      <c r="G863" s="3">
        <v>28866.92</v>
      </c>
      <c r="H863" s="18">
        <v>48537.62</v>
      </c>
      <c r="I863" s="19"/>
    </row>
    <row r="864" spans="1:9" x14ac:dyDescent="0.25">
      <c r="A864" s="14" t="s">
        <v>1039</v>
      </c>
      <c r="B864" s="15"/>
      <c r="C864" s="15"/>
      <c r="D864" s="15"/>
      <c r="E864" s="5"/>
      <c r="F864" s="5"/>
      <c r="G864" s="3">
        <v>5027.3100000000004</v>
      </c>
      <c r="H864" s="18">
        <v>5027.3100000000004</v>
      </c>
      <c r="I864" s="19"/>
    </row>
    <row r="865" spans="1:9" x14ac:dyDescent="0.25">
      <c r="A865" s="14" t="s">
        <v>1040</v>
      </c>
      <c r="B865" s="15"/>
      <c r="C865" s="15"/>
      <c r="D865" s="15"/>
      <c r="E865" s="4" t="s">
        <v>1041</v>
      </c>
      <c r="F865" s="4" t="s">
        <v>1042</v>
      </c>
      <c r="G865" s="4" t="s">
        <v>1043</v>
      </c>
      <c r="H865" s="20" t="s">
        <v>1044</v>
      </c>
      <c r="I865" s="21"/>
    </row>
    <row r="866" spans="1:9" x14ac:dyDescent="0.25">
      <c r="A866" s="14" t="s">
        <v>1045</v>
      </c>
      <c r="B866" s="15"/>
      <c r="C866" s="15"/>
      <c r="D866" s="15"/>
      <c r="E866" s="3">
        <v>132183.1</v>
      </c>
      <c r="F866" s="3">
        <v>58250.83</v>
      </c>
      <c r="G866" s="3">
        <v>128277.99</v>
      </c>
      <c r="H866" s="18">
        <v>318711.92</v>
      </c>
      <c r="I866" s="19"/>
    </row>
    <row r="867" spans="1:9" x14ac:dyDescent="0.25">
      <c r="A867" s="14" t="s">
        <v>1046</v>
      </c>
      <c r="B867" s="15"/>
      <c r="C867" s="15"/>
      <c r="D867" s="15"/>
      <c r="E867" s="3">
        <v>47525.52</v>
      </c>
      <c r="F867" s="3">
        <v>27205.26</v>
      </c>
      <c r="G867" s="3">
        <v>51092.21</v>
      </c>
      <c r="H867" s="18">
        <v>125822.99</v>
      </c>
      <c r="I867" s="19"/>
    </row>
    <row r="868" spans="1:9" x14ac:dyDescent="0.25">
      <c r="A868" s="14" t="s">
        <v>1047</v>
      </c>
      <c r="B868" s="15"/>
      <c r="C868" s="15"/>
      <c r="D868" s="15"/>
      <c r="E868" s="3">
        <v>13395.96</v>
      </c>
      <c r="F868" s="5"/>
      <c r="G868" s="3">
        <v>18785.97</v>
      </c>
      <c r="H868" s="18">
        <v>32181.93</v>
      </c>
      <c r="I868" s="19"/>
    </row>
    <row r="869" spans="1:9" x14ac:dyDescent="0.25">
      <c r="A869" s="14" t="s">
        <v>1048</v>
      </c>
      <c r="B869" s="15"/>
      <c r="C869" s="15"/>
      <c r="D869" s="15"/>
      <c r="E869" s="3">
        <v>41660.06</v>
      </c>
      <c r="F869" s="3">
        <v>12279.46</v>
      </c>
      <c r="G869" s="3">
        <v>54600.97</v>
      </c>
      <c r="H869" s="18">
        <v>108540.49</v>
      </c>
      <c r="I869" s="19"/>
    </row>
    <row r="870" spans="1:9" x14ac:dyDescent="0.25">
      <c r="A870" s="14" t="s">
        <v>1049</v>
      </c>
      <c r="B870" s="15"/>
      <c r="C870" s="15"/>
      <c r="D870" s="15"/>
      <c r="E870" s="3">
        <v>544216.01</v>
      </c>
      <c r="F870" s="3">
        <v>529593.96</v>
      </c>
      <c r="G870" s="3">
        <v>419305.35</v>
      </c>
      <c r="H870" s="18">
        <v>1493115.32</v>
      </c>
      <c r="I870" s="19"/>
    </row>
    <row r="871" spans="1:9" x14ac:dyDescent="0.25">
      <c r="A871" s="14" t="s">
        <v>1050</v>
      </c>
      <c r="B871" s="15"/>
      <c r="C871" s="15"/>
      <c r="D871" s="15"/>
      <c r="E871" s="3">
        <v>608738.72</v>
      </c>
      <c r="F871" s="3">
        <v>628184.85</v>
      </c>
      <c r="G871" s="3">
        <v>468770.81</v>
      </c>
      <c r="H871" s="18">
        <v>1705694.38</v>
      </c>
      <c r="I871" s="19"/>
    </row>
    <row r="872" spans="1:9" x14ac:dyDescent="0.25">
      <c r="A872" s="14" t="s">
        <v>1051</v>
      </c>
      <c r="B872" s="15"/>
      <c r="C872" s="15"/>
      <c r="D872" s="15"/>
      <c r="E872" s="3">
        <v>164461.76999999999</v>
      </c>
      <c r="F872" s="3">
        <v>52262.64</v>
      </c>
      <c r="G872" s="3">
        <v>142269.42000000001</v>
      </c>
      <c r="H872" s="18">
        <v>358993.83</v>
      </c>
      <c r="I872" s="19"/>
    </row>
    <row r="873" spans="1:9" x14ac:dyDescent="0.25">
      <c r="A873" s="14" t="s">
        <v>1052</v>
      </c>
      <c r="B873" s="15"/>
      <c r="C873" s="15"/>
      <c r="D873" s="15"/>
      <c r="E873" s="3">
        <v>637360.4</v>
      </c>
      <c r="F873" s="3">
        <v>414882.42</v>
      </c>
      <c r="G873" s="3">
        <v>657554.63</v>
      </c>
      <c r="H873" s="18">
        <v>1709797.45</v>
      </c>
      <c r="I873" s="19"/>
    </row>
    <row r="874" spans="1:9" x14ac:dyDescent="0.25">
      <c r="A874" s="14" t="s">
        <v>1053</v>
      </c>
      <c r="B874" s="15"/>
      <c r="C874" s="15"/>
      <c r="D874" s="15"/>
      <c r="E874" s="3">
        <v>168470.8</v>
      </c>
      <c r="F874" s="3">
        <v>345700.85</v>
      </c>
      <c r="G874" s="3">
        <v>153476.6</v>
      </c>
      <c r="H874" s="18">
        <v>667648.25</v>
      </c>
      <c r="I874" s="19"/>
    </row>
    <row r="875" spans="1:9" x14ac:dyDescent="0.25">
      <c r="A875" s="14" t="s">
        <v>1054</v>
      </c>
      <c r="B875" s="15"/>
      <c r="C875" s="15"/>
      <c r="D875" s="15"/>
      <c r="E875" s="3">
        <v>17908.87</v>
      </c>
      <c r="F875" s="3">
        <v>16599.63</v>
      </c>
      <c r="G875" s="3">
        <v>7934.14</v>
      </c>
      <c r="H875" s="18">
        <v>42442.64</v>
      </c>
      <c r="I875" s="19"/>
    </row>
    <row r="876" spans="1:9" x14ac:dyDescent="0.25">
      <c r="A876" s="14" t="s">
        <v>1055</v>
      </c>
      <c r="B876" s="15"/>
      <c r="C876" s="15"/>
      <c r="D876" s="15"/>
      <c r="E876" s="3">
        <v>148131.66</v>
      </c>
      <c r="F876" s="3">
        <v>218425.57</v>
      </c>
      <c r="G876" s="3">
        <v>154043.89000000001</v>
      </c>
      <c r="H876" s="18">
        <v>520601.12</v>
      </c>
      <c r="I876" s="19"/>
    </row>
    <row r="877" spans="1:9" x14ac:dyDescent="0.25">
      <c r="A877" s="14" t="s">
        <v>1056</v>
      </c>
      <c r="B877" s="15"/>
      <c r="C877" s="15"/>
      <c r="D877" s="15"/>
      <c r="E877" s="3">
        <v>208377.41</v>
      </c>
      <c r="F877" s="3">
        <v>143157.14000000001</v>
      </c>
      <c r="G877" s="3">
        <v>220568.34</v>
      </c>
      <c r="H877" s="18">
        <v>572102.89</v>
      </c>
      <c r="I877" s="19"/>
    </row>
    <row r="878" spans="1:9" x14ac:dyDescent="0.25">
      <c r="A878" s="14" t="s">
        <v>1057</v>
      </c>
      <c r="B878" s="15"/>
      <c r="C878" s="15"/>
      <c r="D878" s="15"/>
      <c r="E878" s="3">
        <v>263821.28999999998</v>
      </c>
      <c r="F878" s="3">
        <v>490685.01</v>
      </c>
      <c r="G878" s="3">
        <v>279399.34999999998</v>
      </c>
      <c r="H878" s="18">
        <v>1033905.65</v>
      </c>
      <c r="I878" s="19"/>
    </row>
    <row r="879" spans="1:9" x14ac:dyDescent="0.25">
      <c r="A879" s="14" t="s">
        <v>1058</v>
      </c>
      <c r="B879" s="15"/>
      <c r="C879" s="15"/>
      <c r="D879" s="15"/>
      <c r="E879" s="3">
        <v>209338.47</v>
      </c>
      <c r="F879" s="3">
        <v>17797.05</v>
      </c>
      <c r="G879" s="3">
        <v>117380.24</v>
      </c>
      <c r="H879" s="18">
        <v>344515.76</v>
      </c>
      <c r="I879" s="19"/>
    </row>
    <row r="880" spans="1:9" x14ac:dyDescent="0.25">
      <c r="A880" s="14" t="s">
        <v>1059</v>
      </c>
      <c r="B880" s="15"/>
      <c r="C880" s="15"/>
      <c r="D880" s="15"/>
      <c r="E880" s="3">
        <v>238082.14</v>
      </c>
      <c r="F880" s="3">
        <v>330722.28999999998</v>
      </c>
      <c r="G880" s="3">
        <v>579088.35</v>
      </c>
      <c r="H880" s="18">
        <v>1147892.78</v>
      </c>
      <c r="I880" s="19"/>
    </row>
    <row r="881" spans="1:9" x14ac:dyDescent="0.25">
      <c r="A881" s="14" t="s">
        <v>1060</v>
      </c>
      <c r="B881" s="15"/>
      <c r="C881" s="15"/>
      <c r="D881" s="15"/>
      <c r="E881" s="3">
        <v>304739.59000000003</v>
      </c>
      <c r="F881" s="3">
        <v>190024.11</v>
      </c>
      <c r="G881" s="3">
        <v>193036.27</v>
      </c>
      <c r="H881" s="18">
        <v>687799.97</v>
      </c>
      <c r="I881" s="19"/>
    </row>
    <row r="882" spans="1:9" x14ac:dyDescent="0.25">
      <c r="A882" s="14" t="s">
        <v>1061</v>
      </c>
      <c r="B882" s="15"/>
      <c r="C882" s="15"/>
      <c r="D882" s="15"/>
      <c r="E882" s="3">
        <v>622616.78</v>
      </c>
      <c r="F882" s="3">
        <v>411508.98</v>
      </c>
      <c r="G882" s="3">
        <v>2965711.16</v>
      </c>
      <c r="H882" s="18">
        <v>3999836.92</v>
      </c>
      <c r="I882" s="19"/>
    </row>
    <row r="883" spans="1:9" x14ac:dyDescent="0.25">
      <c r="A883" s="14" t="s">
        <v>1062</v>
      </c>
      <c r="B883" s="15"/>
      <c r="C883" s="15"/>
      <c r="D883" s="15"/>
      <c r="E883" s="3">
        <v>40319.33</v>
      </c>
      <c r="F883" s="3">
        <v>22416.59</v>
      </c>
      <c r="G883" s="3">
        <v>23951.49</v>
      </c>
      <c r="H883" s="18">
        <v>86687.41</v>
      </c>
      <c r="I883" s="19"/>
    </row>
    <row r="884" spans="1:9" x14ac:dyDescent="0.25">
      <c r="A884" s="14" t="s">
        <v>1063</v>
      </c>
      <c r="B884" s="15"/>
      <c r="C884" s="15"/>
      <c r="D884" s="15"/>
      <c r="E884" s="3">
        <v>8993.75</v>
      </c>
      <c r="F884" s="4" t="s">
        <v>1064</v>
      </c>
      <c r="G884" s="5"/>
      <c r="H884" s="18">
        <v>5607.01</v>
      </c>
      <c r="I884" s="19"/>
    </row>
    <row r="885" spans="1:9" x14ac:dyDescent="0.25">
      <c r="A885" s="14" t="s">
        <v>1065</v>
      </c>
      <c r="B885" s="15"/>
      <c r="C885" s="15"/>
      <c r="D885" s="15"/>
      <c r="E885" s="3">
        <v>602495.78</v>
      </c>
      <c r="F885" s="3">
        <v>307749.65000000002</v>
      </c>
      <c r="G885" s="3">
        <v>1207230.71</v>
      </c>
      <c r="H885" s="18">
        <v>2117476.14</v>
      </c>
      <c r="I885" s="19"/>
    </row>
    <row r="886" spans="1:9" x14ac:dyDescent="0.25">
      <c r="A886" s="14" t="s">
        <v>1066</v>
      </c>
      <c r="B886" s="15"/>
      <c r="C886" s="15"/>
      <c r="D886" s="15"/>
      <c r="E886" s="3">
        <v>146592.32999999999</v>
      </c>
      <c r="F886" s="3">
        <v>156928.38</v>
      </c>
      <c r="G886" s="3">
        <v>289656.76</v>
      </c>
      <c r="H886" s="18">
        <v>593177.47</v>
      </c>
      <c r="I886" s="19"/>
    </row>
    <row r="887" spans="1:9" x14ac:dyDescent="0.25">
      <c r="A887" s="14" t="s">
        <v>1067</v>
      </c>
      <c r="B887" s="15"/>
      <c r="C887" s="15"/>
      <c r="D887" s="15"/>
      <c r="E887" s="3">
        <v>10112.299999999999</v>
      </c>
      <c r="F887" s="3">
        <v>20607.21</v>
      </c>
      <c r="G887" s="5"/>
      <c r="H887" s="18">
        <v>30719.51</v>
      </c>
      <c r="I887" s="19"/>
    </row>
    <row r="888" spans="1:9" x14ac:dyDescent="0.25">
      <c r="A888" s="14" t="s">
        <v>1068</v>
      </c>
      <c r="B888" s="15"/>
      <c r="C888" s="15"/>
      <c r="D888" s="15"/>
      <c r="E888" s="5"/>
      <c r="F888" s="5"/>
      <c r="G888" s="3">
        <v>2413.5</v>
      </c>
      <c r="H888" s="18">
        <v>2413.5</v>
      </c>
      <c r="I888" s="19"/>
    </row>
    <row r="889" spans="1:9" x14ac:dyDescent="0.25">
      <c r="A889" s="14" t="s">
        <v>1069</v>
      </c>
      <c r="B889" s="15"/>
      <c r="C889" s="15"/>
      <c r="D889" s="15"/>
      <c r="E889" s="3">
        <v>279700.93</v>
      </c>
      <c r="F889" s="3">
        <v>203926.62</v>
      </c>
      <c r="G889" s="3">
        <v>199258.39</v>
      </c>
      <c r="H889" s="18">
        <v>682885.94</v>
      </c>
      <c r="I889" s="19"/>
    </row>
    <row r="890" spans="1:9" x14ac:dyDescent="0.25">
      <c r="A890" s="14" t="s">
        <v>1070</v>
      </c>
      <c r="B890" s="15"/>
      <c r="C890" s="15"/>
      <c r="D890" s="15"/>
      <c r="E890" s="3">
        <v>323608.77</v>
      </c>
      <c r="F890" s="3">
        <v>254563.78</v>
      </c>
      <c r="G890" s="3">
        <v>211344.48</v>
      </c>
      <c r="H890" s="18">
        <v>789517.03</v>
      </c>
      <c r="I890" s="19"/>
    </row>
    <row r="891" spans="1:9" x14ac:dyDescent="0.25">
      <c r="A891" s="14" t="s">
        <v>1071</v>
      </c>
      <c r="B891" s="15"/>
      <c r="C891" s="15"/>
      <c r="D891" s="15"/>
      <c r="E891" s="3">
        <v>76412.63</v>
      </c>
      <c r="F891" s="3">
        <v>82192.92</v>
      </c>
      <c r="G891" s="3">
        <v>107889.33</v>
      </c>
      <c r="H891" s="18">
        <v>266494.88</v>
      </c>
      <c r="I891" s="19"/>
    </row>
    <row r="892" spans="1:9" x14ac:dyDescent="0.25">
      <c r="A892" s="14" t="s">
        <v>1072</v>
      </c>
      <c r="B892" s="15"/>
      <c r="C892" s="15"/>
      <c r="D892" s="15"/>
      <c r="E892" s="3">
        <v>539780.42000000004</v>
      </c>
      <c r="F892" s="3">
        <v>410282.27</v>
      </c>
      <c r="G892" s="3">
        <v>498782.73</v>
      </c>
      <c r="H892" s="18">
        <v>1448845.42</v>
      </c>
      <c r="I892" s="19"/>
    </row>
    <row r="893" spans="1:9" x14ac:dyDescent="0.25">
      <c r="A893" s="14" t="s">
        <v>1073</v>
      </c>
      <c r="B893" s="15"/>
      <c r="C893" s="15"/>
      <c r="D893" s="15"/>
      <c r="E893" s="3">
        <v>176931.8</v>
      </c>
      <c r="F893" s="3">
        <v>140323.28</v>
      </c>
      <c r="G893" s="3">
        <v>216822.39</v>
      </c>
      <c r="H893" s="18">
        <v>534077.47</v>
      </c>
      <c r="I893" s="19"/>
    </row>
    <row r="894" spans="1:9" x14ac:dyDescent="0.25">
      <c r="A894" s="14" t="s">
        <v>1074</v>
      </c>
      <c r="B894" s="15"/>
      <c r="C894" s="15"/>
      <c r="D894" s="15"/>
      <c r="E894" s="3">
        <v>87583.01</v>
      </c>
      <c r="F894" s="3">
        <v>53911.65</v>
      </c>
      <c r="G894" s="3">
        <v>102588.6</v>
      </c>
      <c r="H894" s="18">
        <v>244083.26</v>
      </c>
      <c r="I894" s="19"/>
    </row>
    <row r="895" spans="1:9" x14ac:dyDescent="0.25">
      <c r="A895" s="14" t="s">
        <v>1075</v>
      </c>
      <c r="B895" s="15"/>
      <c r="C895" s="15"/>
      <c r="D895" s="15"/>
      <c r="E895" s="3">
        <v>81294.48</v>
      </c>
      <c r="F895" s="3">
        <v>10964.52</v>
      </c>
      <c r="G895" s="3">
        <v>27270.2</v>
      </c>
      <c r="H895" s="18">
        <v>119529.2</v>
      </c>
      <c r="I895" s="19"/>
    </row>
    <row r="896" spans="1:9" x14ac:dyDescent="0.25">
      <c r="A896" s="14" t="s">
        <v>1076</v>
      </c>
      <c r="B896" s="15"/>
      <c r="C896" s="15"/>
      <c r="D896" s="15"/>
      <c r="E896" s="3">
        <v>126759.03999999999</v>
      </c>
      <c r="F896" s="3">
        <v>127119.58</v>
      </c>
      <c r="G896" s="3">
        <v>208934.85</v>
      </c>
      <c r="H896" s="18">
        <v>462813.47</v>
      </c>
      <c r="I896" s="19"/>
    </row>
    <row r="897" spans="1:9" x14ac:dyDescent="0.25">
      <c r="A897" s="14" t="s">
        <v>1077</v>
      </c>
      <c r="B897" s="15"/>
      <c r="C897" s="15"/>
      <c r="D897" s="15"/>
      <c r="E897" s="3">
        <v>80157.22</v>
      </c>
      <c r="F897" s="3">
        <v>82718.22</v>
      </c>
      <c r="G897" s="3">
        <v>97030.69</v>
      </c>
      <c r="H897" s="18">
        <v>259906.13</v>
      </c>
      <c r="I897" s="19"/>
    </row>
    <row r="898" spans="1:9" x14ac:dyDescent="0.25">
      <c r="A898" s="14" t="s">
        <v>1078</v>
      </c>
      <c r="B898" s="15"/>
      <c r="C898" s="15"/>
      <c r="D898" s="15"/>
      <c r="E898" s="3">
        <v>17672.759999999998</v>
      </c>
      <c r="F898" s="5"/>
      <c r="G898" s="3">
        <v>1839.12</v>
      </c>
      <c r="H898" s="18">
        <v>19511.88</v>
      </c>
      <c r="I898" s="19"/>
    </row>
    <row r="899" spans="1:9" x14ac:dyDescent="0.25">
      <c r="A899" s="14" t="s">
        <v>1079</v>
      </c>
      <c r="B899" s="15"/>
      <c r="C899" s="15"/>
      <c r="D899" s="15"/>
      <c r="E899" s="3">
        <v>4790.92</v>
      </c>
      <c r="F899" s="3">
        <v>3669.92</v>
      </c>
      <c r="G899" s="3">
        <v>7258.85</v>
      </c>
      <c r="H899" s="18">
        <v>15719.69</v>
      </c>
      <c r="I899" s="19"/>
    </row>
    <row r="900" spans="1:9" x14ac:dyDescent="0.25">
      <c r="A900" s="14" t="s">
        <v>1080</v>
      </c>
      <c r="B900" s="15"/>
      <c r="C900" s="15"/>
      <c r="D900" s="15"/>
      <c r="E900" s="4" t="s">
        <v>1081</v>
      </c>
      <c r="F900" s="4" t="s">
        <v>1082</v>
      </c>
      <c r="G900" s="4" t="s">
        <v>1083</v>
      </c>
      <c r="H900" s="20" t="s">
        <v>1084</v>
      </c>
      <c r="I900" s="21"/>
    </row>
    <row r="901" spans="1:9" x14ac:dyDescent="0.25">
      <c r="A901" s="14" t="s">
        <v>1085</v>
      </c>
      <c r="B901" s="15"/>
      <c r="C901" s="15"/>
      <c r="D901" s="15"/>
      <c r="E901" s="3">
        <v>443194.67</v>
      </c>
      <c r="F901" s="3">
        <v>419333.23</v>
      </c>
      <c r="G901" s="3">
        <v>623736.81000000006</v>
      </c>
      <c r="H901" s="18">
        <v>1486264.71</v>
      </c>
      <c r="I901" s="19"/>
    </row>
    <row r="902" spans="1:9" x14ac:dyDescent="0.25">
      <c r="A902" s="14" t="s">
        <v>1086</v>
      </c>
      <c r="B902" s="15"/>
      <c r="C902" s="15"/>
      <c r="D902" s="15"/>
      <c r="E902" s="3">
        <v>261131.77</v>
      </c>
      <c r="F902" s="3">
        <v>369996.76</v>
      </c>
      <c r="G902" s="3">
        <v>342242.15</v>
      </c>
      <c r="H902" s="18">
        <v>973370.68</v>
      </c>
      <c r="I902" s="19"/>
    </row>
    <row r="903" spans="1:9" x14ac:dyDescent="0.25">
      <c r="A903" s="14" t="s">
        <v>1087</v>
      </c>
      <c r="B903" s="15"/>
      <c r="C903" s="15"/>
      <c r="D903" s="15"/>
      <c r="E903" s="3">
        <v>1497.6</v>
      </c>
      <c r="F903" s="4" t="s">
        <v>1088</v>
      </c>
      <c r="G903" s="3">
        <v>1108.8499999999999</v>
      </c>
      <c r="H903" s="20" t="s">
        <v>1089</v>
      </c>
      <c r="I903" s="21"/>
    </row>
    <row r="904" spans="1:9" x14ac:dyDescent="0.25">
      <c r="A904" s="14" t="s">
        <v>1090</v>
      </c>
      <c r="B904" s="15"/>
      <c r="C904" s="15"/>
      <c r="D904" s="15"/>
      <c r="E904" s="3">
        <v>7856.64</v>
      </c>
      <c r="F904" s="5"/>
      <c r="G904" s="3">
        <v>7976.15</v>
      </c>
      <c r="H904" s="18">
        <v>15832.79</v>
      </c>
      <c r="I904" s="19"/>
    </row>
    <row r="905" spans="1:9" x14ac:dyDescent="0.25">
      <c r="A905" s="14" t="s">
        <v>1091</v>
      </c>
      <c r="B905" s="15"/>
      <c r="C905" s="15"/>
      <c r="D905" s="15"/>
      <c r="E905" s="3">
        <v>12103</v>
      </c>
      <c r="F905" s="5"/>
      <c r="G905" s="3">
        <v>12282.27</v>
      </c>
      <c r="H905" s="18">
        <v>24385.27</v>
      </c>
      <c r="I905" s="19"/>
    </row>
    <row r="906" spans="1:9" x14ac:dyDescent="0.25">
      <c r="A906" s="14" t="s">
        <v>1092</v>
      </c>
      <c r="B906" s="15"/>
      <c r="C906" s="15"/>
      <c r="D906" s="15"/>
      <c r="E906" s="3">
        <v>3774.05</v>
      </c>
      <c r="F906" s="3">
        <v>5402.08</v>
      </c>
      <c r="G906" s="3">
        <v>3833.8</v>
      </c>
      <c r="H906" s="18">
        <v>13009.93</v>
      </c>
      <c r="I906" s="19"/>
    </row>
    <row r="907" spans="1:9" x14ac:dyDescent="0.25">
      <c r="A907" s="14" t="s">
        <v>1093</v>
      </c>
      <c r="B907" s="15"/>
      <c r="C907" s="15"/>
      <c r="D907" s="15"/>
      <c r="E907" s="3">
        <v>9102.67</v>
      </c>
      <c r="F907" s="5"/>
      <c r="G907" s="3">
        <v>9251.56</v>
      </c>
      <c r="H907" s="18">
        <v>18354.23</v>
      </c>
      <c r="I907" s="19"/>
    </row>
    <row r="908" spans="1:9" x14ac:dyDescent="0.25">
      <c r="A908" s="14" t="s">
        <v>1094</v>
      </c>
      <c r="B908" s="15"/>
      <c r="C908" s="15"/>
      <c r="D908" s="15"/>
      <c r="E908" s="3">
        <v>3111.54</v>
      </c>
      <c r="F908" s="5"/>
      <c r="G908" s="3">
        <v>3156.95</v>
      </c>
      <c r="H908" s="18">
        <v>6268.49</v>
      </c>
      <c r="I908" s="19"/>
    </row>
    <row r="909" spans="1:9" x14ac:dyDescent="0.25">
      <c r="A909" s="14" t="s">
        <v>1095</v>
      </c>
      <c r="B909" s="15"/>
      <c r="C909" s="15"/>
      <c r="D909" s="15"/>
      <c r="E909" s="3">
        <v>1551.94</v>
      </c>
      <c r="F909" s="5"/>
      <c r="G909" s="3">
        <v>1573.59</v>
      </c>
      <c r="H909" s="18">
        <v>3125.53</v>
      </c>
      <c r="I909" s="19"/>
    </row>
    <row r="910" spans="1:9" x14ac:dyDescent="0.25">
      <c r="A910" s="14" t="s">
        <v>1096</v>
      </c>
      <c r="B910" s="15"/>
      <c r="C910" s="15"/>
      <c r="D910" s="15"/>
      <c r="E910" s="5"/>
      <c r="F910" s="5"/>
      <c r="G910" s="3">
        <v>39314.97</v>
      </c>
      <c r="H910" s="18">
        <v>39314.97</v>
      </c>
      <c r="I910" s="19"/>
    </row>
    <row r="911" spans="1:9" x14ac:dyDescent="0.25">
      <c r="A911" s="14" t="s">
        <v>1097</v>
      </c>
      <c r="B911" s="15"/>
      <c r="C911" s="15"/>
      <c r="D911" s="15"/>
      <c r="E911" s="3">
        <v>108528.3</v>
      </c>
      <c r="F911" s="3">
        <v>97284.22</v>
      </c>
      <c r="G911" s="3">
        <v>189068.73</v>
      </c>
      <c r="H911" s="18">
        <v>394881.25</v>
      </c>
      <c r="I911" s="19"/>
    </row>
    <row r="912" spans="1:9" x14ac:dyDescent="0.25">
      <c r="A912" s="14" t="s">
        <v>1098</v>
      </c>
      <c r="B912" s="15"/>
      <c r="C912" s="15"/>
      <c r="D912" s="15"/>
      <c r="E912" s="3">
        <v>69133.14</v>
      </c>
      <c r="F912" s="3">
        <v>42017.97</v>
      </c>
      <c r="G912" s="3">
        <v>94876.74</v>
      </c>
      <c r="H912" s="18">
        <v>206027.85</v>
      </c>
      <c r="I912" s="19"/>
    </row>
    <row r="913" spans="1:9" x14ac:dyDescent="0.25">
      <c r="A913" s="14" t="s">
        <v>1099</v>
      </c>
      <c r="B913" s="15"/>
      <c r="C913" s="15"/>
      <c r="D913" s="15"/>
      <c r="E913" s="3">
        <v>108.14</v>
      </c>
      <c r="F913" s="3">
        <v>5241</v>
      </c>
      <c r="G913" s="3">
        <v>5304.25</v>
      </c>
      <c r="H913" s="18">
        <v>10653.39</v>
      </c>
      <c r="I913" s="19"/>
    </row>
    <row r="914" spans="1:9" x14ac:dyDescent="0.25">
      <c r="A914" s="14" t="s">
        <v>1100</v>
      </c>
      <c r="B914" s="15"/>
      <c r="C914" s="15"/>
      <c r="D914" s="15"/>
      <c r="E914" s="4" t="s">
        <v>1101</v>
      </c>
      <c r="F914" s="3">
        <v>23264.57</v>
      </c>
      <c r="G914" s="4" t="s">
        <v>1102</v>
      </c>
      <c r="H914" s="20" t="s">
        <v>1103</v>
      </c>
      <c r="I914" s="21"/>
    </row>
    <row r="915" spans="1:9" x14ac:dyDescent="0.25">
      <c r="A915" s="14" t="s">
        <v>1104</v>
      </c>
      <c r="B915" s="15"/>
      <c r="C915" s="15"/>
      <c r="D915" s="15"/>
      <c r="E915" s="3">
        <v>10687.49</v>
      </c>
      <c r="F915" s="5"/>
      <c r="G915" s="3">
        <v>11672.37</v>
      </c>
      <c r="H915" s="18">
        <v>22359.86</v>
      </c>
      <c r="I915" s="19"/>
    </row>
    <row r="916" spans="1:9" x14ac:dyDescent="0.25">
      <c r="A916" s="14" t="s">
        <v>1105</v>
      </c>
      <c r="B916" s="15"/>
      <c r="C916" s="15"/>
      <c r="D916" s="15"/>
      <c r="E916" s="3">
        <v>33323.31</v>
      </c>
      <c r="F916" s="5"/>
      <c r="G916" s="3">
        <v>36394.019999999997</v>
      </c>
      <c r="H916" s="18">
        <v>69717.33</v>
      </c>
      <c r="I916" s="19"/>
    </row>
    <row r="917" spans="1:9" x14ac:dyDescent="0.25">
      <c r="A917" s="14" t="s">
        <v>1106</v>
      </c>
      <c r="B917" s="15"/>
      <c r="C917" s="15"/>
      <c r="D917" s="15"/>
      <c r="E917" s="3">
        <v>12756.29</v>
      </c>
      <c r="F917" s="5"/>
      <c r="G917" s="3">
        <v>13931.72</v>
      </c>
      <c r="H917" s="18">
        <v>26688.01</v>
      </c>
      <c r="I917" s="19"/>
    </row>
    <row r="918" spans="1:9" x14ac:dyDescent="0.25">
      <c r="A918" s="14" t="s">
        <v>1107</v>
      </c>
      <c r="B918" s="15"/>
      <c r="C918" s="15"/>
      <c r="D918" s="15"/>
      <c r="E918" s="3">
        <v>49440.73</v>
      </c>
      <c r="F918" s="5"/>
      <c r="G918" s="3">
        <v>53996.7</v>
      </c>
      <c r="H918" s="18">
        <v>103437.43</v>
      </c>
      <c r="I918" s="19"/>
    </row>
    <row r="919" spans="1:9" x14ac:dyDescent="0.25">
      <c r="A919" s="14" t="s">
        <v>1108</v>
      </c>
      <c r="B919" s="15"/>
      <c r="C919" s="15"/>
      <c r="D919" s="15"/>
      <c r="E919" s="3">
        <v>181.74</v>
      </c>
      <c r="F919" s="5"/>
      <c r="G919" s="3">
        <v>198.49</v>
      </c>
      <c r="H919" s="18">
        <v>380.23</v>
      </c>
      <c r="I919" s="19"/>
    </row>
    <row r="920" spans="1:9" x14ac:dyDescent="0.25">
      <c r="A920" s="14" t="s">
        <v>1109</v>
      </c>
      <c r="B920" s="15"/>
      <c r="C920" s="15"/>
      <c r="D920" s="15"/>
      <c r="E920" s="3">
        <v>8932.39</v>
      </c>
      <c r="F920" s="5"/>
      <c r="G920" s="3">
        <v>9755.5400000000009</v>
      </c>
      <c r="H920" s="18">
        <v>18687.93</v>
      </c>
      <c r="I920" s="19"/>
    </row>
    <row r="921" spans="1:9" x14ac:dyDescent="0.25">
      <c r="A921" s="14" t="s">
        <v>1110</v>
      </c>
      <c r="B921" s="15"/>
      <c r="C921" s="15"/>
      <c r="D921" s="15"/>
      <c r="E921" s="3">
        <v>2440.4899999999998</v>
      </c>
      <c r="F921" s="5"/>
      <c r="G921" s="3">
        <v>2665.36</v>
      </c>
      <c r="H921" s="18">
        <v>5105.8500000000004</v>
      </c>
      <c r="I921" s="19"/>
    </row>
    <row r="922" spans="1:9" x14ac:dyDescent="0.25">
      <c r="A922" s="14" t="s">
        <v>1111</v>
      </c>
      <c r="B922" s="15"/>
      <c r="C922" s="15"/>
      <c r="D922" s="15"/>
      <c r="E922" s="3">
        <v>4237.54</v>
      </c>
      <c r="F922" s="5"/>
      <c r="G922" s="3">
        <v>4628.04</v>
      </c>
      <c r="H922" s="18">
        <v>8865.58</v>
      </c>
      <c r="I922" s="19"/>
    </row>
    <row r="923" spans="1:9" x14ac:dyDescent="0.25">
      <c r="A923" s="14" t="s">
        <v>1112</v>
      </c>
      <c r="B923" s="15"/>
      <c r="C923" s="15"/>
      <c r="D923" s="15"/>
      <c r="E923" s="3">
        <v>14029.02</v>
      </c>
      <c r="F923" s="5"/>
      <c r="G923" s="3">
        <v>15321.8</v>
      </c>
      <c r="H923" s="18">
        <v>29350.82</v>
      </c>
      <c r="I923" s="19"/>
    </row>
    <row r="924" spans="1:9" x14ac:dyDescent="0.25">
      <c r="A924" s="14" t="s">
        <v>1113</v>
      </c>
      <c r="B924" s="15"/>
      <c r="C924" s="15"/>
      <c r="D924" s="15"/>
      <c r="E924" s="5"/>
      <c r="F924" s="5"/>
      <c r="G924" s="3">
        <v>14313</v>
      </c>
      <c r="H924" s="18">
        <v>14313</v>
      </c>
      <c r="I924" s="19"/>
    </row>
    <row r="925" spans="1:9" x14ac:dyDescent="0.25">
      <c r="A925" s="14" t="s">
        <v>1114</v>
      </c>
      <c r="B925" s="15"/>
      <c r="C925" s="15"/>
      <c r="D925" s="15"/>
      <c r="E925" s="3">
        <v>190409.38</v>
      </c>
      <c r="F925" s="3">
        <v>76637.22</v>
      </c>
      <c r="G925" s="3">
        <v>234113.46</v>
      </c>
      <c r="H925" s="18">
        <v>501160.06</v>
      </c>
      <c r="I925" s="19"/>
    </row>
    <row r="926" spans="1:9" x14ac:dyDescent="0.25">
      <c r="A926" s="14" t="s">
        <v>1115</v>
      </c>
      <c r="B926" s="15"/>
      <c r="C926" s="15"/>
      <c r="D926" s="15"/>
      <c r="E926" s="3">
        <v>346160.22</v>
      </c>
      <c r="F926" s="3">
        <v>173937.72</v>
      </c>
      <c r="G926" s="3">
        <v>388165.21</v>
      </c>
      <c r="H926" s="18">
        <v>908263.15</v>
      </c>
      <c r="I926" s="19"/>
    </row>
    <row r="927" spans="1:9" x14ac:dyDescent="0.25">
      <c r="A927" s="14" t="s">
        <v>1116</v>
      </c>
      <c r="B927" s="15"/>
      <c r="C927" s="15"/>
      <c r="D927" s="15"/>
      <c r="E927" s="3">
        <v>152505.57999999999</v>
      </c>
      <c r="F927" s="3">
        <v>45632.59</v>
      </c>
      <c r="G927" s="3">
        <v>165614.10999999999</v>
      </c>
      <c r="H927" s="18">
        <v>363752.28</v>
      </c>
      <c r="I927" s="19"/>
    </row>
    <row r="928" spans="1:9" x14ac:dyDescent="0.25">
      <c r="A928" s="14" t="s">
        <v>1117</v>
      </c>
      <c r="B928" s="15"/>
      <c r="C928" s="15"/>
      <c r="D928" s="15"/>
      <c r="E928" s="3">
        <v>89829.34</v>
      </c>
      <c r="F928" s="3">
        <v>123430.87</v>
      </c>
      <c r="G928" s="3">
        <v>295380</v>
      </c>
      <c r="H928" s="18">
        <v>508640.21</v>
      </c>
      <c r="I928" s="19"/>
    </row>
    <row r="929" spans="1:9" x14ac:dyDescent="0.25">
      <c r="A929" s="14" t="s">
        <v>1118</v>
      </c>
      <c r="B929" s="15"/>
      <c r="C929" s="15"/>
      <c r="D929" s="15"/>
      <c r="E929" s="3">
        <v>362158.47</v>
      </c>
      <c r="F929" s="3">
        <v>236403.41</v>
      </c>
      <c r="G929" s="3">
        <v>438495.18</v>
      </c>
      <c r="H929" s="18">
        <v>1037057.06</v>
      </c>
      <c r="I929" s="19"/>
    </row>
    <row r="930" spans="1:9" x14ac:dyDescent="0.25">
      <c r="A930" s="14" t="s">
        <v>1119</v>
      </c>
      <c r="B930" s="15"/>
      <c r="C930" s="15"/>
      <c r="D930" s="15"/>
      <c r="E930" s="3">
        <v>629829.17000000004</v>
      </c>
      <c r="F930" s="3">
        <v>546901.46</v>
      </c>
      <c r="G930" s="3">
        <v>884110.36</v>
      </c>
      <c r="H930" s="18">
        <v>2060840.99</v>
      </c>
      <c r="I930" s="19"/>
    </row>
    <row r="931" spans="1:9" x14ac:dyDescent="0.25">
      <c r="A931" s="14" t="s">
        <v>1120</v>
      </c>
      <c r="B931" s="15"/>
      <c r="C931" s="15"/>
      <c r="D931" s="15"/>
      <c r="E931" s="3">
        <v>296795.71999999997</v>
      </c>
      <c r="F931" s="3">
        <v>205528.97</v>
      </c>
      <c r="G931" s="3">
        <v>186763.1</v>
      </c>
      <c r="H931" s="18">
        <v>689087.79</v>
      </c>
      <c r="I931" s="19"/>
    </row>
    <row r="932" spans="1:9" x14ac:dyDescent="0.25">
      <c r="A932" s="14" t="s">
        <v>1121</v>
      </c>
      <c r="B932" s="15"/>
      <c r="C932" s="15"/>
      <c r="D932" s="15"/>
      <c r="E932" s="3">
        <v>150135.45000000001</v>
      </c>
      <c r="F932" s="3">
        <v>91119.23</v>
      </c>
      <c r="G932" s="3">
        <v>138806.51</v>
      </c>
      <c r="H932" s="18">
        <v>380061.19</v>
      </c>
      <c r="I932" s="19"/>
    </row>
    <row r="933" spans="1:9" x14ac:dyDescent="0.25">
      <c r="A933" s="14" t="s">
        <v>1122</v>
      </c>
      <c r="B933" s="15"/>
      <c r="C933" s="15"/>
      <c r="D933" s="15"/>
      <c r="E933" s="3">
        <v>6215.96</v>
      </c>
      <c r="F933" s="3">
        <v>107326.97</v>
      </c>
      <c r="G933" s="3">
        <v>115203.77</v>
      </c>
      <c r="H933" s="18">
        <v>228746.7</v>
      </c>
      <c r="I933" s="19"/>
    </row>
    <row r="934" spans="1:9" x14ac:dyDescent="0.25">
      <c r="A934" s="14" t="s">
        <v>1123</v>
      </c>
      <c r="B934" s="15"/>
      <c r="C934" s="15"/>
      <c r="D934" s="15"/>
      <c r="E934" s="4" t="s">
        <v>1124</v>
      </c>
      <c r="F934" s="4" t="s">
        <v>1125</v>
      </c>
      <c r="G934" s="4" t="s">
        <v>1126</v>
      </c>
      <c r="H934" s="20" t="s">
        <v>1127</v>
      </c>
      <c r="I934" s="21"/>
    </row>
    <row r="935" spans="1:9" x14ac:dyDescent="0.25">
      <c r="A935" s="14" t="s">
        <v>1128</v>
      </c>
      <c r="B935" s="15"/>
      <c r="C935" s="15"/>
      <c r="D935" s="15"/>
      <c r="E935" s="3">
        <v>2701316.94</v>
      </c>
      <c r="F935" s="3">
        <v>2474058.92</v>
      </c>
      <c r="G935" s="3">
        <v>3691266.27</v>
      </c>
      <c r="H935" s="18">
        <v>8866642.1300000008</v>
      </c>
      <c r="I935" s="19"/>
    </row>
    <row r="936" spans="1:9" x14ac:dyDescent="0.25">
      <c r="A936" s="14" t="s">
        <v>1129</v>
      </c>
      <c r="B936" s="15"/>
      <c r="C936" s="15"/>
      <c r="D936" s="15"/>
      <c r="E936" s="3">
        <v>1292544.45</v>
      </c>
      <c r="F936" s="3">
        <v>2540283.1800000002</v>
      </c>
      <c r="G936" s="3">
        <v>2813230.96</v>
      </c>
      <c r="H936" s="18">
        <v>6646058.5899999999</v>
      </c>
      <c r="I936" s="19"/>
    </row>
    <row r="937" spans="1:9" x14ac:dyDescent="0.25">
      <c r="A937" s="14" t="s">
        <v>1130</v>
      </c>
      <c r="B937" s="15"/>
      <c r="C937" s="15"/>
      <c r="D937" s="15"/>
      <c r="E937" s="3">
        <v>649194.77</v>
      </c>
      <c r="F937" s="3">
        <v>995701.35</v>
      </c>
      <c r="G937" s="3">
        <v>1558119.67</v>
      </c>
      <c r="H937" s="18">
        <v>3203015.79</v>
      </c>
      <c r="I937" s="19"/>
    </row>
    <row r="938" spans="1:9" x14ac:dyDescent="0.25">
      <c r="A938" s="14" t="s">
        <v>1131</v>
      </c>
      <c r="B938" s="15"/>
      <c r="C938" s="15"/>
      <c r="D938" s="15"/>
      <c r="E938" s="4" t="s">
        <v>1132</v>
      </c>
      <c r="F938" s="4" t="s">
        <v>1133</v>
      </c>
      <c r="G938" s="4" t="s">
        <v>1134</v>
      </c>
      <c r="H938" s="20" t="s">
        <v>1135</v>
      </c>
      <c r="I938" s="21"/>
    </row>
    <row r="939" spans="1:9" x14ac:dyDescent="0.25">
      <c r="A939" s="14" t="s">
        <v>1136</v>
      </c>
      <c r="B939" s="15"/>
      <c r="C939" s="15"/>
      <c r="D939" s="15"/>
      <c r="E939" s="4" t="s">
        <v>1137</v>
      </c>
      <c r="F939" s="3">
        <v>2808.28</v>
      </c>
      <c r="G939" s="3">
        <v>968.280000000001</v>
      </c>
      <c r="H939" s="20" t="s">
        <v>1138</v>
      </c>
      <c r="I939" s="21"/>
    </row>
    <row r="940" spans="1:9" x14ac:dyDescent="0.25">
      <c r="A940" s="14" t="s">
        <v>1139</v>
      </c>
      <c r="B940" s="15"/>
      <c r="C940" s="15"/>
      <c r="D940" s="15"/>
      <c r="E940" s="4" t="s">
        <v>1140</v>
      </c>
      <c r="F940" s="4" t="s">
        <v>1141</v>
      </c>
      <c r="G940" s="4" t="s">
        <v>1142</v>
      </c>
      <c r="H940" s="20" t="s">
        <v>1143</v>
      </c>
      <c r="I940" s="21"/>
    </row>
    <row r="941" spans="1:9" x14ac:dyDescent="0.25">
      <c r="A941" s="14" t="s">
        <v>1144</v>
      </c>
      <c r="B941" s="15"/>
      <c r="C941" s="15"/>
      <c r="D941" s="15"/>
      <c r="E941" s="3">
        <v>154294.96</v>
      </c>
      <c r="F941" s="3">
        <v>83795.360000000001</v>
      </c>
      <c r="G941" s="3">
        <v>150992.47</v>
      </c>
      <c r="H941" s="18">
        <v>389082.79</v>
      </c>
      <c r="I941" s="19"/>
    </row>
    <row r="942" spans="1:9" x14ac:dyDescent="0.25">
      <c r="A942" s="14" t="s">
        <v>1145</v>
      </c>
      <c r="B942" s="15"/>
      <c r="C942" s="15"/>
      <c r="D942" s="15"/>
      <c r="E942" s="3">
        <v>1299088.42</v>
      </c>
      <c r="F942" s="3">
        <v>1283017.97</v>
      </c>
      <c r="G942" s="3">
        <v>1448668.84</v>
      </c>
      <c r="H942" s="18">
        <v>4030775.23</v>
      </c>
      <c r="I942" s="19"/>
    </row>
    <row r="943" spans="1:9" x14ac:dyDescent="0.25">
      <c r="A943" s="14" t="s">
        <v>1146</v>
      </c>
      <c r="B943" s="15"/>
      <c r="C943" s="15"/>
      <c r="D943" s="15"/>
      <c r="E943" s="3">
        <v>645197.16</v>
      </c>
      <c r="F943" s="3">
        <v>1038291.84</v>
      </c>
      <c r="G943" s="3">
        <v>1312244.73</v>
      </c>
      <c r="H943" s="18">
        <v>2995733.73</v>
      </c>
      <c r="I943" s="19"/>
    </row>
    <row r="944" spans="1:9" x14ac:dyDescent="0.25">
      <c r="A944" s="14" t="s">
        <v>1147</v>
      </c>
      <c r="B944" s="15"/>
      <c r="C944" s="15"/>
      <c r="D944" s="15"/>
      <c r="E944" s="3">
        <v>497737.39</v>
      </c>
      <c r="F944" s="3">
        <v>440942.9</v>
      </c>
      <c r="G944" s="3">
        <v>585311.02</v>
      </c>
      <c r="H944" s="18">
        <v>1523991.31</v>
      </c>
      <c r="I944" s="19"/>
    </row>
    <row r="945" spans="1:9" x14ac:dyDescent="0.25">
      <c r="A945" s="14" t="s">
        <v>1148</v>
      </c>
      <c r="B945" s="15"/>
      <c r="C945" s="15"/>
      <c r="D945" s="15"/>
      <c r="E945" s="3">
        <v>6175913.7199999997</v>
      </c>
      <c r="F945" s="3">
        <v>8863042.0299999993</v>
      </c>
      <c r="G945" s="3">
        <v>7432841.6399999997</v>
      </c>
      <c r="H945" s="18">
        <v>22471797.390000001</v>
      </c>
      <c r="I945" s="19"/>
    </row>
    <row r="946" spans="1:9" x14ac:dyDescent="0.25">
      <c r="A946" s="14" t="s">
        <v>1149</v>
      </c>
      <c r="B946" s="15"/>
      <c r="C946" s="15"/>
      <c r="D946" s="15"/>
      <c r="E946" s="3">
        <v>318320.51</v>
      </c>
      <c r="F946" s="3">
        <v>116543.56</v>
      </c>
      <c r="G946" s="3">
        <v>215563.71</v>
      </c>
      <c r="H946" s="18">
        <v>650427.78</v>
      </c>
      <c r="I946" s="19"/>
    </row>
    <row r="947" spans="1:9" x14ac:dyDescent="0.25">
      <c r="A947" s="14" t="s">
        <v>1150</v>
      </c>
      <c r="B947" s="15"/>
      <c r="C947" s="15"/>
      <c r="D947" s="15"/>
      <c r="E947" s="3">
        <v>379327.26</v>
      </c>
      <c r="F947" s="3">
        <v>564718.75</v>
      </c>
      <c r="G947" s="3">
        <v>479511.86</v>
      </c>
      <c r="H947" s="18">
        <v>1423557.87</v>
      </c>
      <c r="I947" s="19"/>
    </row>
    <row r="948" spans="1:9" x14ac:dyDescent="0.25">
      <c r="A948" s="14" t="s">
        <v>1151</v>
      </c>
      <c r="B948" s="15"/>
      <c r="C948" s="15"/>
      <c r="D948" s="15"/>
      <c r="E948" s="3">
        <v>51981.760000000002</v>
      </c>
      <c r="F948" s="3">
        <v>38535.33</v>
      </c>
      <c r="G948" s="5"/>
      <c r="H948" s="18">
        <v>90517.09</v>
      </c>
      <c r="I948" s="19"/>
    </row>
    <row r="949" spans="1:9" x14ac:dyDescent="0.25">
      <c r="A949" s="14" t="s">
        <v>1152</v>
      </c>
      <c r="B949" s="15"/>
      <c r="C949" s="15"/>
      <c r="D949" s="15"/>
      <c r="E949" s="3">
        <v>617650.51</v>
      </c>
      <c r="F949" s="3">
        <v>331582.67</v>
      </c>
      <c r="G949" s="3">
        <v>329827.09000000003</v>
      </c>
      <c r="H949" s="18">
        <v>1279060.27</v>
      </c>
      <c r="I949" s="19"/>
    </row>
    <row r="950" spans="1:9" x14ac:dyDescent="0.25">
      <c r="A950" s="14" t="s">
        <v>1153</v>
      </c>
      <c r="B950" s="15"/>
      <c r="C950" s="15"/>
      <c r="D950" s="15"/>
      <c r="E950" s="5"/>
      <c r="F950" s="5"/>
      <c r="G950" s="3">
        <v>49924.76</v>
      </c>
      <c r="H950" s="18">
        <v>49924.76</v>
      </c>
      <c r="I950" s="19"/>
    </row>
    <row r="951" spans="1:9" x14ac:dyDescent="0.25">
      <c r="A951" s="14" t="s">
        <v>1154</v>
      </c>
      <c r="B951" s="15"/>
      <c r="C951" s="15"/>
      <c r="D951" s="15"/>
      <c r="E951" s="3">
        <v>2583168.63</v>
      </c>
      <c r="F951" s="3">
        <v>3171708.65</v>
      </c>
      <c r="G951" s="3">
        <v>3060549.52</v>
      </c>
      <c r="H951" s="18">
        <v>8815426.8000000007</v>
      </c>
      <c r="I951" s="19"/>
    </row>
    <row r="952" spans="1:9" x14ac:dyDescent="0.25">
      <c r="A952" s="14" t="s">
        <v>1155</v>
      </c>
      <c r="B952" s="15"/>
      <c r="C952" s="15"/>
      <c r="D952" s="15"/>
      <c r="E952" s="3">
        <v>2919851.27</v>
      </c>
      <c r="F952" s="3">
        <v>2239978.4900000002</v>
      </c>
      <c r="G952" s="3">
        <v>3375846.1</v>
      </c>
      <c r="H952" s="18">
        <v>8535675.8599999994</v>
      </c>
      <c r="I952" s="19"/>
    </row>
    <row r="953" spans="1:9" x14ac:dyDescent="0.25">
      <c r="A953" s="14" t="s">
        <v>1156</v>
      </c>
      <c r="B953" s="15"/>
      <c r="C953" s="15"/>
      <c r="D953" s="15"/>
      <c r="E953" s="3">
        <v>496937.92</v>
      </c>
      <c r="F953" s="4" t="s">
        <v>1157</v>
      </c>
      <c r="G953" s="3">
        <v>604203.52000000002</v>
      </c>
      <c r="H953" s="18">
        <v>1045220.77</v>
      </c>
      <c r="I953" s="19"/>
    </row>
    <row r="954" spans="1:9" x14ac:dyDescent="0.25">
      <c r="A954" s="14" t="s">
        <v>1158</v>
      </c>
      <c r="B954" s="15"/>
      <c r="C954" s="15"/>
      <c r="D954" s="15"/>
      <c r="E954" s="4" t="s">
        <v>1159</v>
      </c>
      <c r="F954" s="4" t="s">
        <v>1160</v>
      </c>
      <c r="G954" s="4" t="s">
        <v>1161</v>
      </c>
      <c r="H954" s="20" t="s">
        <v>1162</v>
      </c>
      <c r="I954" s="21"/>
    </row>
    <row r="955" spans="1:9" x14ac:dyDescent="0.25">
      <c r="A955" s="14" t="s">
        <v>1163</v>
      </c>
      <c r="B955" s="15"/>
      <c r="C955" s="15"/>
      <c r="D955" s="15"/>
      <c r="E955" s="3">
        <v>1875655.51</v>
      </c>
      <c r="F955" s="3">
        <v>2674922.12</v>
      </c>
      <c r="G955" s="3">
        <v>3135673.32</v>
      </c>
      <c r="H955" s="18">
        <v>7686250.9500000002</v>
      </c>
      <c r="I955" s="19"/>
    </row>
    <row r="956" spans="1:9" x14ac:dyDescent="0.25">
      <c r="A956" s="14" t="s">
        <v>1164</v>
      </c>
      <c r="B956" s="15"/>
      <c r="C956" s="15"/>
      <c r="D956" s="15"/>
      <c r="E956" s="3">
        <v>48744.800000000003</v>
      </c>
      <c r="F956" s="3">
        <v>21762.52</v>
      </c>
      <c r="G956" s="3">
        <v>12520.14</v>
      </c>
      <c r="H956" s="18">
        <v>83027.460000000006</v>
      </c>
      <c r="I956" s="19"/>
    </row>
    <row r="957" spans="1:9" x14ac:dyDescent="0.25">
      <c r="A957" s="14" t="s">
        <v>1165</v>
      </c>
      <c r="B957" s="15"/>
      <c r="C957" s="15"/>
      <c r="D957" s="15"/>
      <c r="E957" s="3">
        <v>574292.03</v>
      </c>
      <c r="F957" s="4" t="s">
        <v>1166</v>
      </c>
      <c r="G957" s="3">
        <v>1242560.06</v>
      </c>
      <c r="H957" s="18">
        <v>1277835.75</v>
      </c>
      <c r="I957" s="19"/>
    </row>
    <row r="958" spans="1:9" x14ac:dyDescent="0.25">
      <c r="A958" s="14" t="s">
        <v>1167</v>
      </c>
      <c r="B958" s="15"/>
      <c r="C958" s="15"/>
      <c r="D958" s="15"/>
      <c r="E958" s="3">
        <v>502678.48</v>
      </c>
      <c r="F958" s="3">
        <v>615571.43999999994</v>
      </c>
      <c r="G958" s="3">
        <v>377522.83</v>
      </c>
      <c r="H958" s="18">
        <v>1495772.75</v>
      </c>
      <c r="I958" s="19"/>
    </row>
    <row r="959" spans="1:9" x14ac:dyDescent="0.25">
      <c r="A959" s="14" t="s">
        <v>1168</v>
      </c>
      <c r="B959" s="15"/>
      <c r="C959" s="15"/>
      <c r="D959" s="15"/>
      <c r="E959" s="5"/>
      <c r="F959" s="5"/>
      <c r="G959" s="3">
        <v>2000</v>
      </c>
      <c r="H959" s="18">
        <v>2000</v>
      </c>
      <c r="I959" s="19"/>
    </row>
    <row r="960" spans="1:9" x14ac:dyDescent="0.25">
      <c r="A960" s="14" t="s">
        <v>1169</v>
      </c>
      <c r="B960" s="15"/>
      <c r="C960" s="15"/>
      <c r="D960" s="15"/>
      <c r="E960" s="3">
        <v>43903.96</v>
      </c>
      <c r="F960" s="3">
        <v>12889.63</v>
      </c>
      <c r="G960" s="3">
        <v>11276.82</v>
      </c>
      <c r="H960" s="18">
        <v>68070.41</v>
      </c>
      <c r="I960" s="19"/>
    </row>
    <row r="961" spans="1:9" x14ac:dyDescent="0.25">
      <c r="A961" s="14" t="s">
        <v>1170</v>
      </c>
      <c r="B961" s="15"/>
      <c r="C961" s="15"/>
      <c r="D961" s="15"/>
      <c r="E961" s="4" t="s">
        <v>1171</v>
      </c>
      <c r="F961" s="4" t="s">
        <v>1172</v>
      </c>
      <c r="G961" s="4" t="s">
        <v>1173</v>
      </c>
      <c r="H961" s="20" t="s">
        <v>1174</v>
      </c>
      <c r="I961" s="21"/>
    </row>
    <row r="962" spans="1:9" x14ac:dyDescent="0.25">
      <c r="A962" s="14" t="s">
        <v>1175</v>
      </c>
      <c r="B962" s="15"/>
      <c r="C962" s="15"/>
      <c r="D962" s="15"/>
      <c r="E962" s="5"/>
      <c r="F962" s="5"/>
      <c r="G962" s="3">
        <v>8607.5</v>
      </c>
      <c r="H962" s="18">
        <v>8607.5</v>
      </c>
      <c r="I962" s="19"/>
    </row>
    <row r="963" spans="1:9" x14ac:dyDescent="0.25">
      <c r="A963" s="14" t="s">
        <v>1176</v>
      </c>
      <c r="B963" s="15"/>
      <c r="C963" s="15"/>
      <c r="D963" s="15"/>
      <c r="E963" s="5"/>
      <c r="F963" s="3">
        <v>5090.42</v>
      </c>
      <c r="G963" s="5"/>
      <c r="H963" s="18">
        <v>5090.42</v>
      </c>
      <c r="I963" s="19"/>
    </row>
    <row r="964" spans="1:9" x14ac:dyDescent="0.25">
      <c r="A964" s="14" t="s">
        <v>1177</v>
      </c>
      <c r="B964" s="15"/>
      <c r="C964" s="15"/>
      <c r="D964" s="15"/>
      <c r="E964" s="4" t="s">
        <v>1178</v>
      </c>
      <c r="F964" s="4" t="s">
        <v>1179</v>
      </c>
      <c r="G964" s="4" t="s">
        <v>1180</v>
      </c>
      <c r="H964" s="20" t="s">
        <v>1181</v>
      </c>
      <c r="I964" s="21"/>
    </row>
    <row r="965" spans="1:9" x14ac:dyDescent="0.25">
      <c r="A965" s="14" t="s">
        <v>1182</v>
      </c>
      <c r="B965" s="15"/>
      <c r="C965" s="15"/>
      <c r="D965" s="15"/>
      <c r="E965" s="3">
        <v>745010.69</v>
      </c>
      <c r="F965" s="3">
        <v>362471.99</v>
      </c>
      <c r="G965" s="3">
        <v>190396.75</v>
      </c>
      <c r="H965" s="18">
        <v>1297879.43</v>
      </c>
      <c r="I965" s="19"/>
    </row>
    <row r="966" spans="1:9" x14ac:dyDescent="0.25">
      <c r="A966" s="14" t="s">
        <v>1183</v>
      </c>
      <c r="B966" s="15"/>
      <c r="C966" s="15"/>
      <c r="D966" s="15"/>
      <c r="E966" s="3">
        <v>44387.17</v>
      </c>
      <c r="F966" s="3">
        <v>73400.25</v>
      </c>
      <c r="G966" s="3">
        <v>18157.099999999999</v>
      </c>
      <c r="H966" s="18">
        <v>135944.51999999999</v>
      </c>
      <c r="I966" s="19"/>
    </row>
    <row r="967" spans="1:9" x14ac:dyDescent="0.25">
      <c r="A967" s="14" t="s">
        <v>1184</v>
      </c>
      <c r="B967" s="15"/>
      <c r="C967" s="15"/>
      <c r="D967" s="15"/>
      <c r="E967" s="3">
        <v>36811.54</v>
      </c>
      <c r="F967" s="3">
        <v>6693.18</v>
      </c>
      <c r="G967" s="3">
        <v>9455.1299999999992</v>
      </c>
      <c r="H967" s="18">
        <v>52959.85</v>
      </c>
      <c r="I967" s="19"/>
    </row>
    <row r="968" spans="1:9" x14ac:dyDescent="0.25">
      <c r="A968" s="14" t="s">
        <v>1185</v>
      </c>
      <c r="B968" s="15"/>
      <c r="C968" s="15"/>
      <c r="D968" s="15"/>
      <c r="E968" s="3">
        <v>1337958.58</v>
      </c>
      <c r="F968" s="3">
        <v>1669199.47</v>
      </c>
      <c r="G968" s="3">
        <v>1026595.86</v>
      </c>
      <c r="H968" s="18">
        <v>4033753.91</v>
      </c>
      <c r="I968" s="19"/>
    </row>
    <row r="969" spans="1:9" x14ac:dyDescent="0.25">
      <c r="A969" s="14" t="s">
        <v>1186</v>
      </c>
      <c r="B969" s="15"/>
      <c r="C969" s="15"/>
      <c r="D969" s="15"/>
      <c r="E969" s="5"/>
      <c r="F969" s="5"/>
      <c r="G969" s="3">
        <v>5402.97</v>
      </c>
      <c r="H969" s="18">
        <v>5402.97</v>
      </c>
      <c r="I969" s="19"/>
    </row>
    <row r="970" spans="1:9" x14ac:dyDescent="0.25">
      <c r="A970" s="14" t="s">
        <v>1187</v>
      </c>
      <c r="B970" s="15"/>
      <c r="C970" s="15"/>
      <c r="D970" s="15"/>
      <c r="E970" s="3">
        <v>39645.53</v>
      </c>
      <c r="F970" s="3">
        <v>27797.91</v>
      </c>
      <c r="G970" s="3">
        <v>20637.419999999998</v>
      </c>
      <c r="H970" s="18">
        <v>88080.86</v>
      </c>
      <c r="I970" s="19"/>
    </row>
    <row r="971" spans="1:9" x14ac:dyDescent="0.25">
      <c r="A971" s="14" t="s">
        <v>1188</v>
      </c>
      <c r="B971" s="15"/>
      <c r="C971" s="15"/>
      <c r="D971" s="15"/>
      <c r="E971" s="3">
        <v>41027.21</v>
      </c>
      <c r="F971" s="3">
        <v>28766.71</v>
      </c>
      <c r="G971" s="3">
        <v>21356.61</v>
      </c>
      <c r="H971" s="18">
        <v>91150.53</v>
      </c>
      <c r="I971" s="19"/>
    </row>
    <row r="972" spans="1:9" x14ac:dyDescent="0.25">
      <c r="A972" s="14" t="s">
        <v>1189</v>
      </c>
      <c r="B972" s="15"/>
      <c r="C972" s="15"/>
      <c r="D972" s="15"/>
      <c r="E972" s="3">
        <v>31584.5</v>
      </c>
      <c r="F972" s="3">
        <v>22145.83</v>
      </c>
      <c r="G972" s="3">
        <v>16441.29</v>
      </c>
      <c r="H972" s="18">
        <v>70171.62</v>
      </c>
      <c r="I972" s="19"/>
    </row>
    <row r="973" spans="1:9" x14ac:dyDescent="0.25">
      <c r="A973" s="14" t="s">
        <v>1190</v>
      </c>
      <c r="B973" s="15"/>
      <c r="C973" s="15"/>
      <c r="D973" s="15"/>
      <c r="E973" s="3">
        <v>30348.05</v>
      </c>
      <c r="F973" s="3">
        <v>5517.97</v>
      </c>
      <c r="G973" s="3">
        <v>7794.95</v>
      </c>
      <c r="H973" s="18">
        <v>43660.97</v>
      </c>
      <c r="I973" s="19"/>
    </row>
    <row r="974" spans="1:9" x14ac:dyDescent="0.25">
      <c r="A974" s="14" t="s">
        <v>1191</v>
      </c>
      <c r="B974" s="15"/>
      <c r="C974" s="15"/>
      <c r="D974" s="15"/>
      <c r="E974" s="3">
        <v>41415.22</v>
      </c>
      <c r="F974" s="3">
        <v>7530.29</v>
      </c>
      <c r="G974" s="3">
        <v>10637.61</v>
      </c>
      <c r="H974" s="18">
        <v>59583.12</v>
      </c>
      <c r="I974" s="19"/>
    </row>
    <row r="975" spans="1:9" x14ac:dyDescent="0.25">
      <c r="A975" s="14" t="s">
        <v>1192</v>
      </c>
      <c r="B975" s="15"/>
      <c r="C975" s="15"/>
      <c r="D975" s="15"/>
      <c r="E975" s="5"/>
      <c r="F975" s="3">
        <v>19213.43</v>
      </c>
      <c r="G975" s="5"/>
      <c r="H975" s="18">
        <v>19213.43</v>
      </c>
      <c r="I975" s="19"/>
    </row>
    <row r="976" spans="1:9" x14ac:dyDescent="0.25">
      <c r="A976" s="14" t="s">
        <v>1193</v>
      </c>
      <c r="B976" s="15"/>
      <c r="C976" s="15"/>
      <c r="D976" s="15"/>
      <c r="E976" s="3">
        <v>26645</v>
      </c>
      <c r="F976" s="3">
        <v>44516.21</v>
      </c>
      <c r="G976" s="3">
        <v>6815.95</v>
      </c>
      <c r="H976" s="18">
        <v>77977.16</v>
      </c>
      <c r="I976" s="19"/>
    </row>
    <row r="977" spans="1:9" x14ac:dyDescent="0.25">
      <c r="A977" s="14" t="s">
        <v>1194</v>
      </c>
      <c r="B977" s="15"/>
      <c r="C977" s="15"/>
      <c r="D977" s="15"/>
      <c r="E977" s="3">
        <v>850</v>
      </c>
      <c r="F977" s="3">
        <v>380.91</v>
      </c>
      <c r="G977" s="5"/>
      <c r="H977" s="18">
        <v>1230.9100000000001</v>
      </c>
      <c r="I977" s="19"/>
    </row>
    <row r="978" spans="1:9" x14ac:dyDescent="0.25">
      <c r="A978" s="14" t="s">
        <v>1195</v>
      </c>
      <c r="B978" s="15"/>
      <c r="C978" s="15"/>
      <c r="D978" s="15"/>
      <c r="E978" s="4" t="s">
        <v>1196</v>
      </c>
      <c r="F978" s="4" t="s">
        <v>1197</v>
      </c>
      <c r="G978" s="4" t="s">
        <v>1198</v>
      </c>
      <c r="H978" s="20" t="s">
        <v>1199</v>
      </c>
      <c r="I978" s="21"/>
    </row>
    <row r="979" spans="1:9" x14ac:dyDescent="0.25">
      <c r="A979" s="14" t="s">
        <v>1200</v>
      </c>
      <c r="B979" s="15"/>
      <c r="C979" s="15"/>
      <c r="D979" s="15"/>
      <c r="E979" s="3">
        <v>2966.85</v>
      </c>
      <c r="F979" s="4" t="s">
        <v>1201</v>
      </c>
      <c r="G979" s="3">
        <v>2524.9899999999998</v>
      </c>
      <c r="H979" s="18">
        <v>2012.48</v>
      </c>
      <c r="I979" s="19"/>
    </row>
    <row r="980" spans="1:9" x14ac:dyDescent="0.25">
      <c r="A980" s="14" t="s">
        <v>1202</v>
      </c>
      <c r="B980" s="15"/>
      <c r="C980" s="15"/>
      <c r="D980" s="15"/>
      <c r="E980" s="3">
        <v>98327.76</v>
      </c>
      <c r="F980" s="3">
        <v>38137.43</v>
      </c>
      <c r="G980" s="3">
        <v>36147.550000000003</v>
      </c>
      <c r="H980" s="18">
        <v>172612.74</v>
      </c>
      <c r="I980" s="19"/>
    </row>
    <row r="981" spans="1:9" x14ac:dyDescent="0.25">
      <c r="A981" s="14" t="s">
        <v>1203</v>
      </c>
      <c r="B981" s="15"/>
      <c r="C981" s="15"/>
      <c r="D981" s="15"/>
      <c r="E981" s="5"/>
      <c r="F981" s="3">
        <v>3122.84</v>
      </c>
      <c r="G981" s="5"/>
      <c r="H981" s="18">
        <v>3122.84</v>
      </c>
      <c r="I981" s="19"/>
    </row>
    <row r="982" spans="1:9" x14ac:dyDescent="0.25">
      <c r="A982" s="14" t="s">
        <v>1204</v>
      </c>
      <c r="B982" s="15"/>
      <c r="C982" s="15"/>
      <c r="D982" s="15"/>
      <c r="E982" s="3">
        <v>710086.39</v>
      </c>
      <c r="F982" s="3">
        <v>672146.62</v>
      </c>
      <c r="G982" s="3">
        <v>634321.68000000005</v>
      </c>
      <c r="H982" s="18">
        <v>2016554.69</v>
      </c>
      <c r="I982" s="19"/>
    </row>
    <row r="983" spans="1:9" x14ac:dyDescent="0.25">
      <c r="A983" s="14" t="s">
        <v>1205</v>
      </c>
      <c r="B983" s="15"/>
      <c r="C983" s="15"/>
      <c r="D983" s="15"/>
      <c r="E983" s="3">
        <v>283421.5</v>
      </c>
      <c r="F983" s="3">
        <v>452945.87</v>
      </c>
      <c r="G983" s="3">
        <v>189246.78</v>
      </c>
      <c r="H983" s="18">
        <v>925614.15</v>
      </c>
      <c r="I983" s="19"/>
    </row>
    <row r="984" spans="1:9" x14ac:dyDescent="0.25">
      <c r="A984" s="14" t="s">
        <v>1206</v>
      </c>
      <c r="B984" s="15"/>
      <c r="C984" s="15"/>
      <c r="D984" s="15"/>
      <c r="E984" s="3">
        <v>393632.47</v>
      </c>
      <c r="F984" s="3">
        <v>219443.09</v>
      </c>
      <c r="G984" s="3">
        <v>298960.93</v>
      </c>
      <c r="H984" s="18">
        <v>912036.49</v>
      </c>
      <c r="I984" s="19"/>
    </row>
    <row r="985" spans="1:9" x14ac:dyDescent="0.25">
      <c r="A985" s="14" t="s">
        <v>1207</v>
      </c>
      <c r="B985" s="15"/>
      <c r="C985" s="15"/>
      <c r="D985" s="15"/>
      <c r="E985" s="3">
        <v>24815.02</v>
      </c>
      <c r="F985" s="3">
        <v>14394.15</v>
      </c>
      <c r="G985" s="3">
        <v>29739.38</v>
      </c>
      <c r="H985" s="18">
        <v>68948.55</v>
      </c>
      <c r="I985" s="19"/>
    </row>
    <row r="986" spans="1:9" x14ac:dyDescent="0.25">
      <c r="A986" s="14" t="s">
        <v>1208</v>
      </c>
      <c r="B986" s="15"/>
      <c r="C986" s="15"/>
      <c r="D986" s="15"/>
      <c r="E986" s="3">
        <v>178900.07</v>
      </c>
      <c r="F986" s="3">
        <v>115079.76</v>
      </c>
      <c r="G986" s="3">
        <v>156615.63</v>
      </c>
      <c r="H986" s="18">
        <v>450595.46</v>
      </c>
      <c r="I986" s="19"/>
    </row>
    <row r="987" spans="1:9" x14ac:dyDescent="0.25">
      <c r="A987" s="14" t="s">
        <v>1209</v>
      </c>
      <c r="B987" s="15"/>
      <c r="C987" s="15"/>
      <c r="D987" s="15"/>
      <c r="E987" s="3">
        <v>1001965.96</v>
      </c>
      <c r="F987" s="3">
        <v>474308.84</v>
      </c>
      <c r="G987" s="3">
        <v>674431.61</v>
      </c>
      <c r="H987" s="18">
        <v>2150706.41</v>
      </c>
      <c r="I987" s="19"/>
    </row>
    <row r="988" spans="1:9" x14ac:dyDescent="0.25">
      <c r="A988" s="14" t="s">
        <v>1210</v>
      </c>
      <c r="B988" s="15"/>
      <c r="C988" s="15"/>
      <c r="D988" s="15"/>
      <c r="E988" s="3">
        <v>1974113.98</v>
      </c>
      <c r="F988" s="3">
        <v>3898535.72</v>
      </c>
      <c r="G988" s="3">
        <v>1278790.67</v>
      </c>
      <c r="H988" s="18">
        <v>7151440.3700000001</v>
      </c>
      <c r="I988" s="19"/>
    </row>
    <row r="989" spans="1:9" x14ac:dyDescent="0.25">
      <c r="A989" s="14" t="s">
        <v>1211</v>
      </c>
      <c r="B989" s="15"/>
      <c r="C989" s="15"/>
      <c r="D989" s="15"/>
      <c r="E989" s="3">
        <v>357673.16</v>
      </c>
      <c r="F989" s="3">
        <v>230488.17</v>
      </c>
      <c r="G989" s="3">
        <v>418781.28</v>
      </c>
      <c r="H989" s="18">
        <v>1006942.61</v>
      </c>
      <c r="I989" s="19"/>
    </row>
    <row r="990" spans="1:9" x14ac:dyDescent="0.25">
      <c r="A990" s="14" t="s">
        <v>1212</v>
      </c>
      <c r="B990" s="15"/>
      <c r="C990" s="15"/>
      <c r="D990" s="15"/>
      <c r="E990" s="3">
        <v>366792.39</v>
      </c>
      <c r="F990" s="3">
        <v>194948.4</v>
      </c>
      <c r="G990" s="3">
        <v>259264.49</v>
      </c>
      <c r="H990" s="18">
        <v>821005.28</v>
      </c>
      <c r="I990" s="19"/>
    </row>
    <row r="991" spans="1:9" x14ac:dyDescent="0.25">
      <c r="A991" s="14" t="s">
        <v>1213</v>
      </c>
      <c r="B991" s="15"/>
      <c r="C991" s="15"/>
      <c r="D991" s="15"/>
      <c r="E991" s="3">
        <v>14257.71</v>
      </c>
      <c r="F991" s="3">
        <v>2265.88</v>
      </c>
      <c r="G991" s="3">
        <v>17021.099999999999</v>
      </c>
      <c r="H991" s="18">
        <v>33544.69</v>
      </c>
      <c r="I991" s="19"/>
    </row>
    <row r="992" spans="1:9" x14ac:dyDescent="0.25">
      <c r="A992" s="14" t="s">
        <v>1214</v>
      </c>
      <c r="B992" s="15"/>
      <c r="C992" s="15"/>
      <c r="D992" s="15"/>
      <c r="E992" s="3">
        <v>368969.57</v>
      </c>
      <c r="F992" s="3">
        <v>280908.84000000003</v>
      </c>
      <c r="G992" s="3">
        <v>254344.26</v>
      </c>
      <c r="H992" s="18">
        <v>904222.67</v>
      </c>
      <c r="I992" s="19"/>
    </row>
    <row r="993" spans="1:9" x14ac:dyDescent="0.25">
      <c r="A993" s="14" t="s">
        <v>1215</v>
      </c>
      <c r="B993" s="15"/>
      <c r="C993" s="15"/>
      <c r="D993" s="15"/>
      <c r="E993" s="5"/>
      <c r="F993" s="3">
        <v>82.51</v>
      </c>
      <c r="G993" s="3">
        <v>23221.31</v>
      </c>
      <c r="H993" s="18">
        <v>23303.82</v>
      </c>
      <c r="I993" s="19"/>
    </row>
    <row r="994" spans="1:9" x14ac:dyDescent="0.25">
      <c r="A994" s="14" t="s">
        <v>1216</v>
      </c>
      <c r="B994" s="15"/>
      <c r="C994" s="15"/>
      <c r="D994" s="15"/>
      <c r="E994" s="3">
        <v>87794.57</v>
      </c>
      <c r="F994" s="3">
        <v>56677.81</v>
      </c>
      <c r="G994" s="3">
        <v>53747.65</v>
      </c>
      <c r="H994" s="18">
        <v>198220.03</v>
      </c>
      <c r="I994" s="19"/>
    </row>
    <row r="995" spans="1:9" x14ac:dyDescent="0.25">
      <c r="A995" s="14" t="s">
        <v>1217</v>
      </c>
      <c r="B995" s="15"/>
      <c r="C995" s="15"/>
      <c r="D995" s="15"/>
      <c r="E995" s="3">
        <v>940635.6</v>
      </c>
      <c r="F995" s="3">
        <v>920195.84</v>
      </c>
      <c r="G995" s="3">
        <v>662300.49</v>
      </c>
      <c r="H995" s="18">
        <v>2523131.9300000002</v>
      </c>
      <c r="I995" s="19"/>
    </row>
    <row r="996" spans="1:9" x14ac:dyDescent="0.25">
      <c r="A996" s="14" t="s">
        <v>1218</v>
      </c>
      <c r="B996" s="15"/>
      <c r="C996" s="15"/>
      <c r="D996" s="15"/>
      <c r="E996" s="3">
        <v>124507.7</v>
      </c>
      <c r="F996" s="3">
        <v>64275.62</v>
      </c>
      <c r="G996" s="3">
        <v>70757.850000000006</v>
      </c>
      <c r="H996" s="18">
        <v>259541.17</v>
      </c>
      <c r="I996" s="19"/>
    </row>
    <row r="997" spans="1:9" x14ac:dyDescent="0.25">
      <c r="A997" s="14" t="s">
        <v>1219</v>
      </c>
      <c r="B997" s="15"/>
      <c r="C997" s="15"/>
      <c r="D997" s="15"/>
      <c r="E997" s="3">
        <v>84299.3</v>
      </c>
      <c r="F997" s="3">
        <v>185621.39</v>
      </c>
      <c r="G997" s="3">
        <v>91947.48</v>
      </c>
      <c r="H997" s="18">
        <v>361868.17</v>
      </c>
      <c r="I997" s="19"/>
    </row>
    <row r="998" spans="1:9" x14ac:dyDescent="0.25">
      <c r="A998" s="14" t="s">
        <v>1220</v>
      </c>
      <c r="B998" s="15"/>
      <c r="C998" s="15"/>
      <c r="D998" s="15"/>
      <c r="E998" s="3">
        <v>39163.03</v>
      </c>
      <c r="F998" s="3">
        <v>26808.99</v>
      </c>
      <c r="G998" s="3">
        <v>58996.05</v>
      </c>
      <c r="H998" s="18">
        <v>124968.07</v>
      </c>
      <c r="I998" s="19"/>
    </row>
    <row r="999" spans="1:9" x14ac:dyDescent="0.25">
      <c r="A999" s="14" t="s">
        <v>1221</v>
      </c>
      <c r="B999" s="15"/>
      <c r="C999" s="15"/>
      <c r="D999" s="15"/>
      <c r="E999" s="3">
        <v>134991.98000000001</v>
      </c>
      <c r="F999" s="3">
        <v>96220.85</v>
      </c>
      <c r="G999" s="3">
        <v>201909.87</v>
      </c>
      <c r="H999" s="18">
        <v>433122.7</v>
      </c>
      <c r="I999" s="19"/>
    </row>
    <row r="1000" spans="1:9" x14ac:dyDescent="0.25">
      <c r="A1000" s="14" t="s">
        <v>1222</v>
      </c>
      <c r="B1000" s="15"/>
      <c r="C1000" s="15"/>
      <c r="D1000" s="15"/>
      <c r="E1000" s="3">
        <v>383484.1</v>
      </c>
      <c r="F1000" s="3">
        <v>316453.78999999998</v>
      </c>
      <c r="G1000" s="3">
        <v>195619.53</v>
      </c>
      <c r="H1000" s="18">
        <v>895557.42</v>
      </c>
      <c r="I1000" s="19"/>
    </row>
    <row r="1001" spans="1:9" x14ac:dyDescent="0.25">
      <c r="A1001" s="14" t="s">
        <v>1223</v>
      </c>
      <c r="B1001" s="15"/>
      <c r="C1001" s="15"/>
      <c r="D1001" s="15"/>
      <c r="E1001" s="3">
        <v>140665.57999999999</v>
      </c>
      <c r="F1001" s="3">
        <v>99456.16</v>
      </c>
      <c r="G1001" s="3">
        <v>725401.16</v>
      </c>
      <c r="H1001" s="18">
        <v>965522.9</v>
      </c>
      <c r="I1001" s="19"/>
    </row>
    <row r="1002" spans="1:9" x14ac:dyDescent="0.25">
      <c r="A1002" s="14" t="s">
        <v>1224</v>
      </c>
      <c r="B1002" s="15"/>
      <c r="C1002" s="15"/>
      <c r="D1002" s="15"/>
      <c r="E1002" s="3">
        <v>534819.83999999997</v>
      </c>
      <c r="F1002" s="3">
        <v>428937.4</v>
      </c>
      <c r="G1002" s="3">
        <v>227462.9</v>
      </c>
      <c r="H1002" s="18">
        <v>1191220.1399999999</v>
      </c>
      <c r="I1002" s="19"/>
    </row>
    <row r="1003" spans="1:9" x14ac:dyDescent="0.25">
      <c r="A1003" s="14" t="s">
        <v>1225</v>
      </c>
      <c r="B1003" s="15"/>
      <c r="C1003" s="15"/>
      <c r="D1003" s="15"/>
      <c r="E1003" s="3">
        <v>11749.93</v>
      </c>
      <c r="F1003" s="3">
        <v>36015.68</v>
      </c>
      <c r="G1003" s="3">
        <v>30873.84</v>
      </c>
      <c r="H1003" s="18">
        <v>78639.45</v>
      </c>
      <c r="I1003" s="19"/>
    </row>
    <row r="1004" spans="1:9" x14ac:dyDescent="0.25">
      <c r="A1004" s="14" t="s">
        <v>1226</v>
      </c>
      <c r="B1004" s="15"/>
      <c r="C1004" s="15"/>
      <c r="D1004" s="15"/>
      <c r="E1004" s="3">
        <v>21817.22</v>
      </c>
      <c r="F1004" s="3">
        <v>74464.679999999993</v>
      </c>
      <c r="G1004" s="3">
        <v>24530.25</v>
      </c>
      <c r="H1004" s="18">
        <v>120812.15</v>
      </c>
      <c r="I1004" s="19"/>
    </row>
    <row r="1005" spans="1:9" x14ac:dyDescent="0.25">
      <c r="A1005" s="14" t="s">
        <v>1227</v>
      </c>
      <c r="B1005" s="15"/>
      <c r="C1005" s="15"/>
      <c r="D1005" s="15"/>
      <c r="E1005" s="3">
        <v>319702.26</v>
      </c>
      <c r="F1005" s="3">
        <v>401285.78</v>
      </c>
      <c r="G1005" s="3">
        <v>202668.55</v>
      </c>
      <c r="H1005" s="18">
        <v>923656.59</v>
      </c>
      <c r="I1005" s="19"/>
    </row>
    <row r="1006" spans="1:9" x14ac:dyDescent="0.25">
      <c r="A1006" s="14" t="s">
        <v>1228</v>
      </c>
      <c r="B1006" s="15"/>
      <c r="C1006" s="15"/>
      <c r="D1006" s="15"/>
      <c r="E1006" s="3">
        <v>1475.86</v>
      </c>
      <c r="F1006" s="3">
        <v>5239.95</v>
      </c>
      <c r="G1006" s="3">
        <v>152.43</v>
      </c>
      <c r="H1006" s="18">
        <v>6868.24</v>
      </c>
      <c r="I1006" s="19"/>
    </row>
    <row r="1007" spans="1:9" x14ac:dyDescent="0.25">
      <c r="A1007" s="14" t="s">
        <v>1229</v>
      </c>
      <c r="B1007" s="15"/>
      <c r="C1007" s="15"/>
      <c r="D1007" s="15"/>
      <c r="E1007" s="5"/>
      <c r="F1007" s="3">
        <v>1131.76</v>
      </c>
      <c r="G1007" s="5"/>
      <c r="H1007" s="18">
        <v>1131.76</v>
      </c>
      <c r="I1007" s="19"/>
    </row>
    <row r="1008" spans="1:9" x14ac:dyDescent="0.25">
      <c r="A1008" s="14" t="s">
        <v>1230</v>
      </c>
      <c r="B1008" s="15"/>
      <c r="C1008" s="15"/>
      <c r="D1008" s="15"/>
      <c r="E1008" s="5"/>
      <c r="F1008" s="3">
        <v>2975.23</v>
      </c>
      <c r="G1008" s="5"/>
      <c r="H1008" s="18">
        <v>2975.23</v>
      </c>
      <c r="I1008" s="19"/>
    </row>
    <row r="1009" spans="1:9" x14ac:dyDescent="0.25">
      <c r="A1009" s="14" t="s">
        <v>1231</v>
      </c>
      <c r="B1009" s="15"/>
      <c r="C1009" s="15"/>
      <c r="D1009" s="15"/>
      <c r="E1009" s="5"/>
      <c r="F1009" s="3">
        <v>1196.75</v>
      </c>
      <c r="G1009" s="5"/>
      <c r="H1009" s="18">
        <v>1196.75</v>
      </c>
      <c r="I1009" s="19"/>
    </row>
    <row r="1010" spans="1:9" x14ac:dyDescent="0.25">
      <c r="A1010" s="14" t="s">
        <v>1232</v>
      </c>
      <c r="B1010" s="15"/>
      <c r="C1010" s="15"/>
      <c r="D1010" s="15"/>
      <c r="E1010" s="3">
        <v>105717.41</v>
      </c>
      <c r="F1010" s="3">
        <v>48513.95</v>
      </c>
      <c r="G1010" s="3">
        <v>148991.03</v>
      </c>
      <c r="H1010" s="18">
        <v>303222.39</v>
      </c>
      <c r="I1010" s="19"/>
    </row>
    <row r="1011" spans="1:9" x14ac:dyDescent="0.25">
      <c r="A1011" s="14" t="s">
        <v>1233</v>
      </c>
      <c r="B1011" s="15"/>
      <c r="C1011" s="15"/>
      <c r="D1011" s="15"/>
      <c r="E1011" s="3">
        <v>274726.15000000002</v>
      </c>
      <c r="F1011" s="3">
        <v>176145.03</v>
      </c>
      <c r="G1011" s="3">
        <v>333676.76</v>
      </c>
      <c r="H1011" s="18">
        <v>784547.94</v>
      </c>
      <c r="I1011" s="19"/>
    </row>
    <row r="1012" spans="1:9" x14ac:dyDescent="0.25">
      <c r="A1012" s="14" t="s">
        <v>1234</v>
      </c>
      <c r="B1012" s="15"/>
      <c r="C1012" s="15"/>
      <c r="D1012" s="15"/>
      <c r="E1012" s="3">
        <v>124019.56</v>
      </c>
      <c r="F1012" s="3">
        <v>54021.15</v>
      </c>
      <c r="G1012" s="3">
        <v>166244.24</v>
      </c>
      <c r="H1012" s="18">
        <v>344284.95</v>
      </c>
      <c r="I1012" s="19"/>
    </row>
    <row r="1013" spans="1:9" x14ac:dyDescent="0.25">
      <c r="A1013" s="14" t="s">
        <v>1235</v>
      </c>
      <c r="B1013" s="15"/>
      <c r="C1013" s="15"/>
      <c r="D1013" s="15"/>
      <c r="E1013" s="3">
        <v>450767.18</v>
      </c>
      <c r="F1013" s="3">
        <v>263890.14</v>
      </c>
      <c r="G1013" s="3">
        <v>490779.22</v>
      </c>
      <c r="H1013" s="18">
        <v>1205436.54</v>
      </c>
      <c r="I1013" s="19"/>
    </row>
    <row r="1014" spans="1:9" x14ac:dyDescent="0.25">
      <c r="A1014" s="14" t="s">
        <v>1236</v>
      </c>
      <c r="B1014" s="15"/>
      <c r="C1014" s="15"/>
      <c r="D1014" s="15"/>
      <c r="E1014" s="3">
        <v>679466.6</v>
      </c>
      <c r="F1014" s="3">
        <v>297676.48</v>
      </c>
      <c r="G1014" s="3">
        <v>442078.42</v>
      </c>
      <c r="H1014" s="18">
        <v>1419221.5</v>
      </c>
      <c r="I1014" s="19"/>
    </row>
    <row r="1015" spans="1:9" x14ac:dyDescent="0.25">
      <c r="A1015" s="14" t="s">
        <v>1237</v>
      </c>
      <c r="B1015" s="15"/>
      <c r="C1015" s="15"/>
      <c r="D1015" s="15"/>
      <c r="E1015" s="3">
        <v>102539.72</v>
      </c>
      <c r="F1015" s="3">
        <v>30267.88</v>
      </c>
      <c r="G1015" s="3">
        <v>75353.789999999994</v>
      </c>
      <c r="H1015" s="18">
        <v>208161.39</v>
      </c>
      <c r="I1015" s="19"/>
    </row>
    <row r="1016" spans="1:9" x14ac:dyDescent="0.25">
      <c r="A1016" s="14" t="s">
        <v>1238</v>
      </c>
      <c r="B1016" s="15"/>
      <c r="C1016" s="15"/>
      <c r="D1016" s="15"/>
      <c r="E1016" s="3">
        <v>193891.38</v>
      </c>
      <c r="F1016" s="3">
        <v>117213.93</v>
      </c>
      <c r="G1016" s="3">
        <v>202455.06</v>
      </c>
      <c r="H1016" s="18">
        <v>513560.37</v>
      </c>
      <c r="I1016" s="19"/>
    </row>
    <row r="1017" spans="1:9" x14ac:dyDescent="0.25">
      <c r="A1017" s="14" t="s">
        <v>1239</v>
      </c>
      <c r="B1017" s="15"/>
      <c r="C1017" s="15"/>
      <c r="D1017" s="15"/>
      <c r="E1017" s="3">
        <v>647614.81999999995</v>
      </c>
      <c r="F1017" s="3">
        <v>496113.07</v>
      </c>
      <c r="G1017" s="3">
        <v>801777.47</v>
      </c>
      <c r="H1017" s="18">
        <v>1945505.36</v>
      </c>
      <c r="I1017" s="19"/>
    </row>
    <row r="1018" spans="1:9" x14ac:dyDescent="0.25">
      <c r="A1018" s="14" t="s">
        <v>1240</v>
      </c>
      <c r="B1018" s="15"/>
      <c r="C1018" s="15"/>
      <c r="D1018" s="15"/>
      <c r="E1018" s="3">
        <v>423249.9</v>
      </c>
      <c r="F1018" s="3">
        <v>178483.72</v>
      </c>
      <c r="G1018" s="3">
        <v>425050.58</v>
      </c>
      <c r="H1018" s="18">
        <v>1026784.2</v>
      </c>
      <c r="I1018" s="19"/>
    </row>
    <row r="1019" spans="1:9" x14ac:dyDescent="0.25">
      <c r="A1019" s="14" t="s">
        <v>1241</v>
      </c>
      <c r="B1019" s="15"/>
      <c r="C1019" s="15"/>
      <c r="D1019" s="15"/>
      <c r="E1019" s="3">
        <v>3600.04</v>
      </c>
      <c r="F1019" s="3">
        <v>8800.18</v>
      </c>
      <c r="G1019" s="3">
        <v>30472.05</v>
      </c>
      <c r="H1019" s="18">
        <v>42872.27</v>
      </c>
      <c r="I1019" s="19"/>
    </row>
    <row r="1020" spans="1:9" x14ac:dyDescent="0.25">
      <c r="A1020" s="14" t="s">
        <v>1242</v>
      </c>
      <c r="B1020" s="15"/>
      <c r="C1020" s="15"/>
      <c r="D1020" s="15"/>
      <c r="E1020" s="3">
        <v>11361.5</v>
      </c>
      <c r="F1020" s="3">
        <v>3790.05</v>
      </c>
      <c r="G1020" s="3">
        <v>24810.98</v>
      </c>
      <c r="H1020" s="18">
        <v>39962.53</v>
      </c>
      <c r="I1020" s="19"/>
    </row>
    <row r="1021" spans="1:9" x14ac:dyDescent="0.25">
      <c r="A1021" s="14" t="s">
        <v>1243</v>
      </c>
      <c r="B1021" s="15"/>
      <c r="C1021" s="15"/>
      <c r="D1021" s="15"/>
      <c r="E1021" s="3">
        <v>76697.539999999994</v>
      </c>
      <c r="F1021" s="3">
        <v>62049.27</v>
      </c>
      <c r="G1021" s="3">
        <v>45753.21</v>
      </c>
      <c r="H1021" s="18">
        <v>184500.02</v>
      </c>
      <c r="I1021" s="19"/>
    </row>
    <row r="1022" spans="1:9" x14ac:dyDescent="0.25">
      <c r="A1022" s="14" t="s">
        <v>1244</v>
      </c>
      <c r="B1022" s="15"/>
      <c r="C1022" s="15"/>
      <c r="D1022" s="15"/>
      <c r="E1022" s="3">
        <v>819714.97</v>
      </c>
      <c r="F1022" s="3">
        <v>365346.54</v>
      </c>
      <c r="G1022" s="3">
        <v>295144.84000000003</v>
      </c>
      <c r="H1022" s="18">
        <v>1480206.35</v>
      </c>
      <c r="I1022" s="19"/>
    </row>
    <row r="1023" spans="1:9" x14ac:dyDescent="0.25">
      <c r="A1023" s="14" t="s">
        <v>1245</v>
      </c>
      <c r="B1023" s="15"/>
      <c r="C1023" s="15"/>
      <c r="D1023" s="15"/>
      <c r="E1023" s="3">
        <v>822765.45</v>
      </c>
      <c r="F1023" s="3">
        <v>770748.78</v>
      </c>
      <c r="G1023" s="3">
        <v>460207.61</v>
      </c>
      <c r="H1023" s="18">
        <v>2053721.84</v>
      </c>
      <c r="I1023" s="19"/>
    </row>
    <row r="1024" spans="1:9" x14ac:dyDescent="0.25">
      <c r="A1024" s="14" t="s">
        <v>1246</v>
      </c>
      <c r="B1024" s="15"/>
      <c r="C1024" s="15"/>
      <c r="D1024" s="15"/>
      <c r="E1024" s="3">
        <v>985686.47</v>
      </c>
      <c r="F1024" s="3">
        <v>1220058.28</v>
      </c>
      <c r="G1024" s="3">
        <v>687419.51</v>
      </c>
      <c r="H1024" s="18">
        <v>2893164.26</v>
      </c>
      <c r="I1024" s="19"/>
    </row>
    <row r="1025" spans="1:9" x14ac:dyDescent="0.25">
      <c r="A1025" s="14" t="s">
        <v>1247</v>
      </c>
      <c r="B1025" s="15"/>
      <c r="C1025" s="15"/>
      <c r="D1025" s="15"/>
      <c r="E1025" s="3">
        <v>257662.56</v>
      </c>
      <c r="F1025" s="3">
        <v>210046.28</v>
      </c>
      <c r="G1025" s="3">
        <v>236328.82</v>
      </c>
      <c r="H1025" s="18">
        <v>704037.66</v>
      </c>
      <c r="I1025" s="19"/>
    </row>
    <row r="1026" spans="1:9" x14ac:dyDescent="0.25">
      <c r="A1026" s="14" t="s">
        <v>1248</v>
      </c>
      <c r="B1026" s="15"/>
      <c r="C1026" s="15"/>
      <c r="D1026" s="15"/>
      <c r="E1026" s="3">
        <v>1150695.6100000001</v>
      </c>
      <c r="F1026" s="3">
        <v>1024580.62</v>
      </c>
      <c r="G1026" s="3">
        <v>778436.56</v>
      </c>
      <c r="H1026" s="18">
        <v>2953712.79</v>
      </c>
      <c r="I1026" s="19"/>
    </row>
    <row r="1027" spans="1:9" x14ac:dyDescent="0.25">
      <c r="A1027" s="14" t="s">
        <v>1249</v>
      </c>
      <c r="B1027" s="15"/>
      <c r="C1027" s="15"/>
      <c r="D1027" s="15"/>
      <c r="E1027" s="3">
        <v>145614.78</v>
      </c>
      <c r="F1027" s="3">
        <v>129577.56</v>
      </c>
      <c r="G1027" s="3">
        <v>102837.34</v>
      </c>
      <c r="H1027" s="18">
        <v>378029.68</v>
      </c>
      <c r="I1027" s="19"/>
    </row>
    <row r="1028" spans="1:9" x14ac:dyDescent="0.25">
      <c r="A1028" s="14" t="s">
        <v>1250</v>
      </c>
      <c r="B1028" s="15"/>
      <c r="C1028" s="15"/>
      <c r="D1028" s="15"/>
      <c r="E1028" s="3">
        <v>41340.959999999999</v>
      </c>
      <c r="F1028" s="3">
        <v>14804.51</v>
      </c>
      <c r="G1028" s="3">
        <v>6468.01</v>
      </c>
      <c r="H1028" s="18">
        <v>62613.48</v>
      </c>
      <c r="I1028" s="19"/>
    </row>
    <row r="1029" spans="1:9" x14ac:dyDescent="0.25">
      <c r="A1029" s="14" t="s">
        <v>1251</v>
      </c>
      <c r="B1029" s="15"/>
      <c r="C1029" s="15"/>
      <c r="D1029" s="15"/>
      <c r="E1029" s="3">
        <v>9825.66</v>
      </c>
      <c r="F1029" s="3">
        <v>14964</v>
      </c>
      <c r="G1029" s="3">
        <v>16669.349999999999</v>
      </c>
      <c r="H1029" s="18">
        <v>41459.01</v>
      </c>
      <c r="I1029" s="19"/>
    </row>
    <row r="1030" spans="1:9" x14ac:dyDescent="0.25">
      <c r="A1030" s="14" t="s">
        <v>1252</v>
      </c>
      <c r="B1030" s="15"/>
      <c r="C1030" s="15"/>
      <c r="D1030" s="15"/>
      <c r="E1030" s="3">
        <v>425022.88</v>
      </c>
      <c r="F1030" s="3">
        <v>562946.41</v>
      </c>
      <c r="G1030" s="3">
        <v>275579</v>
      </c>
      <c r="H1030" s="18">
        <v>1263548.29</v>
      </c>
      <c r="I1030" s="19"/>
    </row>
    <row r="1031" spans="1:9" x14ac:dyDescent="0.25">
      <c r="A1031" s="14" t="s">
        <v>1253</v>
      </c>
      <c r="B1031" s="15"/>
      <c r="C1031" s="15"/>
      <c r="D1031" s="15"/>
      <c r="E1031" s="3">
        <v>44000.21</v>
      </c>
      <c r="F1031" s="3">
        <v>12883.33</v>
      </c>
      <c r="G1031" s="3">
        <v>13646.22</v>
      </c>
      <c r="H1031" s="18">
        <v>70529.759999999995</v>
      </c>
      <c r="I1031" s="19"/>
    </row>
    <row r="1032" spans="1:9" x14ac:dyDescent="0.25">
      <c r="A1032" s="14" t="s">
        <v>1254</v>
      </c>
      <c r="B1032" s="15"/>
      <c r="C1032" s="15"/>
      <c r="D1032" s="15"/>
      <c r="E1032" s="3">
        <v>1285747.3400000001</v>
      </c>
      <c r="F1032" s="3">
        <v>1277097.06</v>
      </c>
      <c r="G1032" s="3">
        <v>927313.22</v>
      </c>
      <c r="H1032" s="18">
        <v>3490157.62</v>
      </c>
      <c r="I1032" s="19"/>
    </row>
    <row r="1033" spans="1:9" x14ac:dyDescent="0.25">
      <c r="A1033" s="14" t="s">
        <v>1255</v>
      </c>
      <c r="B1033" s="15"/>
      <c r="C1033" s="15"/>
      <c r="D1033" s="15"/>
      <c r="E1033" s="3">
        <v>1263043.68</v>
      </c>
      <c r="F1033" s="3">
        <v>807733.46</v>
      </c>
      <c r="G1033" s="3">
        <v>673990.07</v>
      </c>
      <c r="H1033" s="18">
        <v>2744767.21</v>
      </c>
      <c r="I1033" s="19"/>
    </row>
    <row r="1034" spans="1:9" x14ac:dyDescent="0.25">
      <c r="A1034" s="14" t="s">
        <v>1256</v>
      </c>
      <c r="B1034" s="15"/>
      <c r="C1034" s="15"/>
      <c r="D1034" s="15"/>
      <c r="E1034" s="3">
        <v>35168.559999999998</v>
      </c>
      <c r="F1034" s="3">
        <v>23119.99</v>
      </c>
      <c r="G1034" s="3">
        <v>19626.89</v>
      </c>
      <c r="H1034" s="18">
        <v>77915.44</v>
      </c>
      <c r="I1034" s="19"/>
    </row>
    <row r="1035" spans="1:9" x14ac:dyDescent="0.25">
      <c r="A1035" s="14" t="s">
        <v>1257</v>
      </c>
      <c r="B1035" s="15"/>
      <c r="C1035" s="15"/>
      <c r="D1035" s="15"/>
      <c r="E1035" s="3">
        <v>1056632.47</v>
      </c>
      <c r="F1035" s="3">
        <v>468283.19</v>
      </c>
      <c r="G1035" s="3">
        <v>545345.49</v>
      </c>
      <c r="H1035" s="18">
        <v>2070261.15</v>
      </c>
      <c r="I1035" s="19"/>
    </row>
    <row r="1036" spans="1:9" x14ac:dyDescent="0.25">
      <c r="A1036" s="14" t="s">
        <v>1258</v>
      </c>
      <c r="B1036" s="15"/>
      <c r="C1036" s="15"/>
      <c r="D1036" s="15"/>
      <c r="E1036" s="3">
        <v>170546.59</v>
      </c>
      <c r="F1036" s="3">
        <v>120787.61</v>
      </c>
      <c r="G1036" s="3">
        <v>109134.73</v>
      </c>
      <c r="H1036" s="18">
        <v>400468.93</v>
      </c>
      <c r="I1036" s="19"/>
    </row>
    <row r="1037" spans="1:9" x14ac:dyDescent="0.25">
      <c r="A1037" s="14" t="s">
        <v>1259</v>
      </c>
      <c r="B1037" s="15"/>
      <c r="C1037" s="15"/>
      <c r="D1037" s="15"/>
      <c r="E1037" s="3">
        <v>139233.03</v>
      </c>
      <c r="F1037" s="3">
        <v>91593.47</v>
      </c>
      <c r="G1037" s="3">
        <v>118764.64</v>
      </c>
      <c r="H1037" s="18">
        <v>349591.14</v>
      </c>
      <c r="I1037" s="19"/>
    </row>
    <row r="1038" spans="1:9" x14ac:dyDescent="0.25">
      <c r="A1038" s="14" t="s">
        <v>1260</v>
      </c>
      <c r="B1038" s="15"/>
      <c r="C1038" s="15"/>
      <c r="D1038" s="15"/>
      <c r="E1038" s="3">
        <v>81674.009999999995</v>
      </c>
      <c r="F1038" s="3">
        <v>79144.490000000005</v>
      </c>
      <c r="G1038" s="3">
        <v>97139.12</v>
      </c>
      <c r="H1038" s="18">
        <v>257957.62</v>
      </c>
      <c r="I1038" s="19"/>
    </row>
    <row r="1039" spans="1:9" x14ac:dyDescent="0.25">
      <c r="A1039" s="14" t="s">
        <v>1261</v>
      </c>
      <c r="B1039" s="15"/>
      <c r="C1039" s="15"/>
      <c r="D1039" s="15"/>
      <c r="E1039" s="3">
        <v>42623.3</v>
      </c>
      <c r="F1039" s="3">
        <v>40248.76</v>
      </c>
      <c r="G1039" s="3">
        <v>54321.22</v>
      </c>
      <c r="H1039" s="18">
        <v>137193.28</v>
      </c>
      <c r="I1039" s="19"/>
    </row>
    <row r="1040" spans="1:9" x14ac:dyDescent="0.25">
      <c r="A1040" s="14" t="s">
        <v>1262</v>
      </c>
      <c r="B1040" s="15"/>
      <c r="C1040" s="15"/>
      <c r="D1040" s="15"/>
      <c r="E1040" s="3">
        <v>4722.95</v>
      </c>
      <c r="F1040" s="3">
        <v>7539.78</v>
      </c>
      <c r="G1040" s="3">
        <v>6292.32</v>
      </c>
      <c r="H1040" s="18">
        <v>18555.05</v>
      </c>
      <c r="I1040" s="19"/>
    </row>
    <row r="1041" spans="1:9" x14ac:dyDescent="0.25">
      <c r="A1041" s="14" t="s">
        <v>1263</v>
      </c>
      <c r="B1041" s="15"/>
      <c r="C1041" s="15"/>
      <c r="D1041" s="15"/>
      <c r="E1041" s="3">
        <v>12865.5</v>
      </c>
      <c r="F1041" s="5"/>
      <c r="G1041" s="5"/>
      <c r="H1041" s="18">
        <v>12865.5</v>
      </c>
      <c r="I1041" s="19"/>
    </row>
    <row r="1042" spans="1:9" x14ac:dyDescent="0.25">
      <c r="A1042" s="14" t="s">
        <v>1264</v>
      </c>
      <c r="B1042" s="15"/>
      <c r="C1042" s="15"/>
      <c r="D1042" s="15"/>
      <c r="E1042" s="3">
        <v>395904.94</v>
      </c>
      <c r="F1042" s="3">
        <v>325055.28000000003</v>
      </c>
      <c r="G1042" s="3">
        <v>559947.72</v>
      </c>
      <c r="H1042" s="18">
        <v>1280907.94</v>
      </c>
      <c r="I1042" s="19"/>
    </row>
    <row r="1043" spans="1:9" x14ac:dyDescent="0.25">
      <c r="A1043" s="14" t="s">
        <v>1265</v>
      </c>
      <c r="B1043" s="15"/>
      <c r="C1043" s="15"/>
      <c r="D1043" s="15"/>
      <c r="E1043" s="3">
        <v>988151.28</v>
      </c>
      <c r="F1043" s="3">
        <v>2441816.5</v>
      </c>
      <c r="G1043" s="3">
        <v>844472.75</v>
      </c>
      <c r="H1043" s="18">
        <v>4274440.53</v>
      </c>
      <c r="I1043" s="19"/>
    </row>
    <row r="1044" spans="1:9" x14ac:dyDescent="0.25">
      <c r="A1044" s="14" t="s">
        <v>1266</v>
      </c>
      <c r="B1044" s="15"/>
      <c r="C1044" s="15"/>
      <c r="D1044" s="15"/>
      <c r="E1044" s="3">
        <v>25794.46</v>
      </c>
      <c r="F1044" s="3">
        <v>99931.33</v>
      </c>
      <c r="G1044" s="3">
        <v>6935.52</v>
      </c>
      <c r="H1044" s="18">
        <v>132661.31</v>
      </c>
      <c r="I1044" s="19"/>
    </row>
    <row r="1045" spans="1:9" x14ac:dyDescent="0.25">
      <c r="A1045" s="14" t="s">
        <v>1267</v>
      </c>
      <c r="B1045" s="15"/>
      <c r="C1045" s="15"/>
      <c r="D1045" s="15"/>
      <c r="E1045" s="3">
        <v>7520.38</v>
      </c>
      <c r="F1045" s="5"/>
      <c r="G1045" s="5"/>
      <c r="H1045" s="18">
        <v>7520.38</v>
      </c>
      <c r="I1045" s="19"/>
    </row>
    <row r="1046" spans="1:9" x14ac:dyDescent="0.25">
      <c r="A1046" s="14" t="s">
        <v>1268</v>
      </c>
      <c r="B1046" s="15"/>
      <c r="C1046" s="15"/>
      <c r="D1046" s="15"/>
      <c r="E1046" s="3">
        <v>192878.91</v>
      </c>
      <c r="F1046" s="3">
        <v>445141.56</v>
      </c>
      <c r="G1046" s="3">
        <v>454597</v>
      </c>
      <c r="H1046" s="18">
        <v>1092617.47</v>
      </c>
      <c r="I1046" s="19"/>
    </row>
    <row r="1047" spans="1:9" x14ac:dyDescent="0.25">
      <c r="A1047" s="14" t="s">
        <v>1269</v>
      </c>
      <c r="B1047" s="15"/>
      <c r="C1047" s="15"/>
      <c r="D1047" s="15"/>
      <c r="E1047" s="3">
        <v>213205.73</v>
      </c>
      <c r="F1047" s="3">
        <v>221636.06</v>
      </c>
      <c r="G1047" s="3">
        <v>220980.55</v>
      </c>
      <c r="H1047" s="18">
        <v>655822.34</v>
      </c>
      <c r="I1047" s="19"/>
    </row>
    <row r="1048" spans="1:9" x14ac:dyDescent="0.25">
      <c r="A1048" s="14" t="s">
        <v>1270</v>
      </c>
      <c r="B1048" s="15"/>
      <c r="C1048" s="15"/>
      <c r="D1048" s="15"/>
      <c r="E1048" s="3">
        <v>181398.09</v>
      </c>
      <c r="F1048" s="3">
        <v>149093.72</v>
      </c>
      <c r="G1048" s="3">
        <v>206389.41</v>
      </c>
      <c r="H1048" s="18">
        <v>536881.22</v>
      </c>
      <c r="I1048" s="19"/>
    </row>
    <row r="1049" spans="1:9" x14ac:dyDescent="0.25">
      <c r="A1049" s="14" t="s">
        <v>1271</v>
      </c>
      <c r="B1049" s="15"/>
      <c r="C1049" s="15"/>
      <c r="D1049" s="15"/>
      <c r="E1049" s="3">
        <v>25021.06</v>
      </c>
      <c r="F1049" s="3">
        <v>18146.919999999998</v>
      </c>
      <c r="G1049" s="3">
        <v>82223.77</v>
      </c>
      <c r="H1049" s="18">
        <v>125391.75</v>
      </c>
      <c r="I1049" s="19"/>
    </row>
    <row r="1050" spans="1:9" x14ac:dyDescent="0.25">
      <c r="A1050" s="14" t="s">
        <v>1272</v>
      </c>
      <c r="B1050" s="15"/>
      <c r="C1050" s="15"/>
      <c r="D1050" s="15"/>
      <c r="E1050" s="3">
        <v>75002.78</v>
      </c>
      <c r="F1050" s="3">
        <v>22741.63</v>
      </c>
      <c r="G1050" s="3">
        <v>73483.53</v>
      </c>
      <c r="H1050" s="18">
        <v>171227.94</v>
      </c>
      <c r="I1050" s="19"/>
    </row>
    <row r="1051" spans="1:9" x14ac:dyDescent="0.25">
      <c r="A1051" s="14" t="s">
        <v>1273</v>
      </c>
      <c r="B1051" s="15"/>
      <c r="C1051" s="15"/>
      <c r="D1051" s="15"/>
      <c r="E1051" s="3">
        <v>409772.49</v>
      </c>
      <c r="F1051" s="3">
        <v>510363.61</v>
      </c>
      <c r="G1051" s="3">
        <v>456015.22</v>
      </c>
      <c r="H1051" s="18">
        <v>1376151.32</v>
      </c>
      <c r="I1051" s="19"/>
    </row>
    <row r="1052" spans="1:9" x14ac:dyDescent="0.25">
      <c r="A1052" s="14" t="s">
        <v>1274</v>
      </c>
      <c r="B1052" s="15"/>
      <c r="C1052" s="15"/>
      <c r="D1052" s="15"/>
      <c r="E1052" s="3">
        <v>107746.83</v>
      </c>
      <c r="F1052" s="3">
        <v>91775.06</v>
      </c>
      <c r="G1052" s="3">
        <v>53734.07</v>
      </c>
      <c r="H1052" s="18">
        <v>253255.96</v>
      </c>
      <c r="I1052" s="19"/>
    </row>
    <row r="1053" spans="1:9" x14ac:dyDescent="0.25">
      <c r="A1053" s="14" t="s">
        <v>1275</v>
      </c>
      <c r="B1053" s="15"/>
      <c r="C1053" s="15"/>
      <c r="D1053" s="15"/>
      <c r="E1053" s="3">
        <v>106293.18</v>
      </c>
      <c r="F1053" s="3">
        <v>160603</v>
      </c>
      <c r="G1053" s="3">
        <v>68073.179999999993</v>
      </c>
      <c r="H1053" s="18">
        <v>334969.36</v>
      </c>
      <c r="I1053" s="19"/>
    </row>
    <row r="1054" spans="1:9" x14ac:dyDescent="0.25">
      <c r="A1054" s="14" t="s">
        <v>1276</v>
      </c>
      <c r="B1054" s="15"/>
      <c r="C1054" s="15"/>
      <c r="D1054" s="15"/>
      <c r="E1054" s="3">
        <v>48178.87</v>
      </c>
      <c r="F1054" s="3">
        <v>29466.95</v>
      </c>
      <c r="G1054" s="3">
        <v>181450.38</v>
      </c>
      <c r="H1054" s="18">
        <v>259096.2</v>
      </c>
      <c r="I1054" s="19"/>
    </row>
    <row r="1055" spans="1:9" x14ac:dyDescent="0.25">
      <c r="A1055" s="14" t="s">
        <v>1277</v>
      </c>
      <c r="B1055" s="15"/>
      <c r="C1055" s="15"/>
      <c r="D1055" s="15"/>
      <c r="E1055" s="3">
        <v>118929.3</v>
      </c>
      <c r="F1055" s="3">
        <v>124572.25</v>
      </c>
      <c r="G1055" s="3">
        <v>199229.26</v>
      </c>
      <c r="H1055" s="18">
        <v>442730.81</v>
      </c>
      <c r="I1055" s="19"/>
    </row>
    <row r="1056" spans="1:9" x14ac:dyDescent="0.25">
      <c r="A1056" s="14" t="s">
        <v>1278</v>
      </c>
      <c r="B1056" s="15"/>
      <c r="C1056" s="15"/>
      <c r="D1056" s="15"/>
      <c r="E1056" s="5"/>
      <c r="F1056" s="3">
        <v>54532.46</v>
      </c>
      <c r="G1056" s="3">
        <v>16834.77</v>
      </c>
      <c r="H1056" s="18">
        <v>71367.23</v>
      </c>
      <c r="I1056" s="19"/>
    </row>
    <row r="1057" spans="1:9" x14ac:dyDescent="0.25">
      <c r="A1057" s="14" t="s">
        <v>1279</v>
      </c>
      <c r="B1057" s="15"/>
      <c r="C1057" s="15"/>
      <c r="D1057" s="15"/>
      <c r="E1057" s="3">
        <v>153275.84</v>
      </c>
      <c r="F1057" s="3">
        <v>100463.15</v>
      </c>
      <c r="G1057" s="3">
        <v>138281.45000000001</v>
      </c>
      <c r="H1057" s="18">
        <v>392020.44</v>
      </c>
      <c r="I1057" s="19"/>
    </row>
    <row r="1058" spans="1:9" x14ac:dyDescent="0.25">
      <c r="A1058" s="14" t="s">
        <v>1280</v>
      </c>
      <c r="B1058" s="15"/>
      <c r="C1058" s="15"/>
      <c r="D1058" s="15"/>
      <c r="E1058" s="3">
        <v>101766.86</v>
      </c>
      <c r="F1058" s="3">
        <v>71994.22</v>
      </c>
      <c r="G1058" s="3">
        <v>141037.91</v>
      </c>
      <c r="H1058" s="18">
        <v>314798.99</v>
      </c>
      <c r="I1058" s="19"/>
    </row>
    <row r="1059" spans="1:9" x14ac:dyDescent="0.25">
      <c r="A1059" s="14" t="s">
        <v>1281</v>
      </c>
      <c r="B1059" s="15"/>
      <c r="C1059" s="15"/>
      <c r="D1059" s="15"/>
      <c r="E1059" s="3">
        <v>240098.38</v>
      </c>
      <c r="F1059" s="3">
        <v>143258.88</v>
      </c>
      <c r="G1059" s="3">
        <v>187465.26</v>
      </c>
      <c r="H1059" s="18">
        <v>570822.52</v>
      </c>
      <c r="I1059" s="19"/>
    </row>
    <row r="1060" spans="1:9" x14ac:dyDescent="0.25">
      <c r="A1060" s="14" t="s">
        <v>1282</v>
      </c>
      <c r="B1060" s="15"/>
      <c r="C1060" s="15"/>
      <c r="D1060" s="15"/>
      <c r="E1060" s="3">
        <v>640202.99</v>
      </c>
      <c r="F1060" s="3">
        <v>583399.25</v>
      </c>
      <c r="G1060" s="3">
        <v>486603.09</v>
      </c>
      <c r="H1060" s="18">
        <v>1710205.33</v>
      </c>
      <c r="I1060" s="19"/>
    </row>
    <row r="1061" spans="1:9" x14ac:dyDescent="0.25">
      <c r="A1061" s="14" t="s">
        <v>1283</v>
      </c>
      <c r="B1061" s="15"/>
      <c r="C1061" s="15"/>
      <c r="D1061" s="15"/>
      <c r="E1061" s="3">
        <v>82736.789999999994</v>
      </c>
      <c r="F1061" s="4" t="s">
        <v>1284</v>
      </c>
      <c r="G1061" s="3">
        <v>163777.37</v>
      </c>
      <c r="H1061" s="18">
        <v>242639.51</v>
      </c>
      <c r="I1061" s="19"/>
    </row>
    <row r="1062" spans="1:9" x14ac:dyDescent="0.25">
      <c r="A1062" s="14" t="s">
        <v>1285</v>
      </c>
      <c r="B1062" s="15"/>
      <c r="C1062" s="15"/>
      <c r="D1062" s="15"/>
      <c r="E1062" s="3">
        <v>102748</v>
      </c>
      <c r="F1062" s="3">
        <v>11777.6</v>
      </c>
      <c r="G1062" s="3">
        <v>66921.679999999993</v>
      </c>
      <c r="H1062" s="18">
        <v>181447.28</v>
      </c>
      <c r="I1062" s="19"/>
    </row>
    <row r="1063" spans="1:9" x14ac:dyDescent="0.25">
      <c r="A1063" s="14" t="s">
        <v>1286</v>
      </c>
      <c r="B1063" s="15"/>
      <c r="C1063" s="15"/>
      <c r="D1063" s="15"/>
      <c r="E1063" s="3">
        <v>169391.23</v>
      </c>
      <c r="F1063" s="3">
        <v>79433.94</v>
      </c>
      <c r="G1063" s="3">
        <v>224480.97</v>
      </c>
      <c r="H1063" s="18">
        <v>473306.14</v>
      </c>
      <c r="I1063" s="19"/>
    </row>
    <row r="1064" spans="1:9" x14ac:dyDescent="0.25">
      <c r="A1064" s="14" t="s">
        <v>1287</v>
      </c>
      <c r="B1064" s="15"/>
      <c r="C1064" s="15"/>
      <c r="D1064" s="15"/>
      <c r="E1064" s="3">
        <v>164694.46</v>
      </c>
      <c r="F1064" s="3">
        <v>60735.64</v>
      </c>
      <c r="G1064" s="3">
        <v>189951.62</v>
      </c>
      <c r="H1064" s="18">
        <v>415381.72</v>
      </c>
      <c r="I1064" s="19"/>
    </row>
    <row r="1065" spans="1:9" x14ac:dyDescent="0.25">
      <c r="A1065" s="14" t="s">
        <v>1288</v>
      </c>
      <c r="B1065" s="15"/>
      <c r="C1065" s="15"/>
      <c r="D1065" s="15"/>
      <c r="E1065" s="3">
        <v>134383.53</v>
      </c>
      <c r="F1065" s="3">
        <v>96317.95</v>
      </c>
      <c r="G1065" s="3">
        <v>167015.39000000001</v>
      </c>
      <c r="H1065" s="18">
        <v>397716.87</v>
      </c>
      <c r="I1065" s="19"/>
    </row>
    <row r="1066" spans="1:9" x14ac:dyDescent="0.25">
      <c r="A1066" s="14" t="s">
        <v>1289</v>
      </c>
      <c r="B1066" s="15"/>
      <c r="C1066" s="15"/>
      <c r="D1066" s="15"/>
      <c r="E1066" s="3">
        <v>243259.04</v>
      </c>
      <c r="F1066" s="3">
        <v>86808.97</v>
      </c>
      <c r="G1066" s="3">
        <v>236878.97</v>
      </c>
      <c r="H1066" s="18">
        <v>566946.98</v>
      </c>
      <c r="I1066" s="19"/>
    </row>
    <row r="1067" spans="1:9" x14ac:dyDescent="0.25">
      <c r="A1067" s="14" t="s">
        <v>1290</v>
      </c>
      <c r="B1067" s="15"/>
      <c r="C1067" s="15"/>
      <c r="D1067" s="15"/>
      <c r="E1067" s="3">
        <v>259276.17</v>
      </c>
      <c r="F1067" s="3">
        <v>154053.81</v>
      </c>
      <c r="G1067" s="3">
        <v>278456.09999999998</v>
      </c>
      <c r="H1067" s="18">
        <v>691786.08</v>
      </c>
      <c r="I1067" s="19"/>
    </row>
    <row r="1068" spans="1:9" x14ac:dyDescent="0.25">
      <c r="A1068" s="14" t="s">
        <v>1291</v>
      </c>
      <c r="B1068" s="15"/>
      <c r="C1068" s="15"/>
      <c r="D1068" s="15"/>
      <c r="E1068" s="3">
        <v>556028.76</v>
      </c>
      <c r="F1068" s="3">
        <v>472702.43</v>
      </c>
      <c r="G1068" s="3">
        <v>445318.56</v>
      </c>
      <c r="H1068" s="18">
        <v>1474049.75</v>
      </c>
      <c r="I1068" s="19"/>
    </row>
    <row r="1069" spans="1:9" x14ac:dyDescent="0.25">
      <c r="A1069" s="14" t="s">
        <v>1292</v>
      </c>
      <c r="B1069" s="15"/>
      <c r="C1069" s="15"/>
      <c r="D1069" s="15"/>
      <c r="E1069" s="3">
        <v>388294.8</v>
      </c>
      <c r="F1069" s="3">
        <v>192360.48</v>
      </c>
      <c r="G1069" s="3">
        <v>332826.71000000002</v>
      </c>
      <c r="H1069" s="18">
        <v>913481.99</v>
      </c>
      <c r="I1069" s="19"/>
    </row>
    <row r="1070" spans="1:9" x14ac:dyDescent="0.25">
      <c r="A1070" s="14" t="s">
        <v>1293</v>
      </c>
      <c r="B1070" s="15"/>
      <c r="C1070" s="15"/>
      <c r="D1070" s="15"/>
      <c r="E1070" s="3">
        <v>34559.58</v>
      </c>
      <c r="F1070" s="3">
        <v>32437.64</v>
      </c>
      <c r="G1070" s="3">
        <v>92853.14</v>
      </c>
      <c r="H1070" s="18">
        <v>159850.35999999999</v>
      </c>
      <c r="I1070" s="19"/>
    </row>
    <row r="1071" spans="1:9" x14ac:dyDescent="0.25">
      <c r="A1071" s="14" t="s">
        <v>1294</v>
      </c>
      <c r="B1071" s="15"/>
      <c r="C1071" s="15"/>
      <c r="D1071" s="15"/>
      <c r="E1071" s="3">
        <v>34853.06</v>
      </c>
      <c r="F1071" s="3">
        <v>17716.68</v>
      </c>
      <c r="G1071" s="3">
        <v>77515.38</v>
      </c>
      <c r="H1071" s="18">
        <v>130085.12</v>
      </c>
      <c r="I1071" s="19"/>
    </row>
    <row r="1072" spans="1:9" x14ac:dyDescent="0.25">
      <c r="A1072" s="14" t="s">
        <v>1295</v>
      </c>
      <c r="B1072" s="15"/>
      <c r="C1072" s="15"/>
      <c r="D1072" s="15"/>
      <c r="E1072" s="3">
        <v>245689.43</v>
      </c>
      <c r="F1072" s="3">
        <v>159278.31</v>
      </c>
      <c r="G1072" s="3">
        <v>180088.46</v>
      </c>
      <c r="H1072" s="18">
        <v>585056.19999999995</v>
      </c>
      <c r="I1072" s="19"/>
    </row>
    <row r="1073" spans="1:9" x14ac:dyDescent="0.25">
      <c r="A1073" s="14" t="s">
        <v>1296</v>
      </c>
      <c r="B1073" s="15"/>
      <c r="C1073" s="15"/>
      <c r="D1073" s="15"/>
      <c r="E1073" s="5"/>
      <c r="F1073" s="3">
        <v>10137.64</v>
      </c>
      <c r="G1073" s="5"/>
      <c r="H1073" s="18">
        <v>10137.64</v>
      </c>
      <c r="I1073" s="19"/>
    </row>
    <row r="1074" spans="1:9" x14ac:dyDescent="0.25">
      <c r="A1074" s="14" t="s">
        <v>1297</v>
      </c>
      <c r="B1074" s="15"/>
      <c r="C1074" s="15"/>
      <c r="D1074" s="15"/>
      <c r="E1074" s="5"/>
      <c r="F1074" s="3">
        <v>4799.09</v>
      </c>
      <c r="G1074" s="5"/>
      <c r="H1074" s="18">
        <v>4799.09</v>
      </c>
      <c r="I1074" s="19"/>
    </row>
    <row r="1075" spans="1:9" x14ac:dyDescent="0.25">
      <c r="A1075" s="14" t="s">
        <v>1298</v>
      </c>
      <c r="B1075" s="15"/>
      <c r="C1075" s="15"/>
      <c r="D1075" s="15"/>
      <c r="E1075" s="5"/>
      <c r="F1075" s="3">
        <v>6246.81</v>
      </c>
      <c r="G1075" s="3">
        <v>25450.42</v>
      </c>
      <c r="H1075" s="18">
        <v>31697.23</v>
      </c>
      <c r="I1075" s="19"/>
    </row>
    <row r="1076" spans="1:9" x14ac:dyDescent="0.25">
      <c r="A1076" s="14" t="s">
        <v>1299</v>
      </c>
      <c r="B1076" s="15"/>
      <c r="C1076" s="15"/>
      <c r="D1076" s="15"/>
      <c r="E1076" s="3">
        <v>116081.52</v>
      </c>
      <c r="F1076" s="3">
        <v>74793.429999999993</v>
      </c>
      <c r="G1076" s="3">
        <v>156302.1</v>
      </c>
      <c r="H1076" s="18">
        <v>347177.05</v>
      </c>
      <c r="I1076" s="19"/>
    </row>
    <row r="1077" spans="1:9" x14ac:dyDescent="0.25">
      <c r="A1077" s="14" t="s">
        <v>1300</v>
      </c>
      <c r="B1077" s="15"/>
      <c r="C1077" s="15"/>
      <c r="D1077" s="15"/>
      <c r="E1077" s="3">
        <v>504369.39</v>
      </c>
      <c r="F1077" s="3">
        <v>524485.9</v>
      </c>
      <c r="G1077" s="3">
        <v>375474.7</v>
      </c>
      <c r="H1077" s="18">
        <v>1404329.99</v>
      </c>
      <c r="I1077" s="19"/>
    </row>
    <row r="1078" spans="1:9" x14ac:dyDescent="0.25">
      <c r="A1078" s="14" t="s">
        <v>1301</v>
      </c>
      <c r="B1078" s="15"/>
      <c r="C1078" s="15"/>
      <c r="D1078" s="15"/>
      <c r="E1078" s="3">
        <v>248847.18</v>
      </c>
      <c r="F1078" s="3">
        <v>145967.87</v>
      </c>
      <c r="G1078" s="3">
        <v>252104.93</v>
      </c>
      <c r="H1078" s="18">
        <v>646919.98</v>
      </c>
      <c r="I1078" s="19"/>
    </row>
    <row r="1079" spans="1:9" x14ac:dyDescent="0.25">
      <c r="A1079" s="14" t="s">
        <v>1302</v>
      </c>
      <c r="B1079" s="15"/>
      <c r="C1079" s="15"/>
      <c r="D1079" s="15"/>
      <c r="E1079" s="3">
        <v>654757.13</v>
      </c>
      <c r="F1079" s="3">
        <v>574629.64</v>
      </c>
      <c r="G1079" s="3">
        <v>590516.44999999995</v>
      </c>
      <c r="H1079" s="18">
        <v>1819903.22</v>
      </c>
      <c r="I1079" s="19"/>
    </row>
    <row r="1080" spans="1:9" x14ac:dyDescent="0.25">
      <c r="A1080" s="14" t="s">
        <v>1303</v>
      </c>
      <c r="B1080" s="15"/>
      <c r="C1080" s="15"/>
      <c r="D1080" s="15"/>
      <c r="E1080" s="3">
        <v>120213.06</v>
      </c>
      <c r="F1080" s="3">
        <v>26308.37</v>
      </c>
      <c r="G1080" s="3">
        <v>221821.15</v>
      </c>
      <c r="H1080" s="18">
        <v>368342.58</v>
      </c>
      <c r="I1080" s="19"/>
    </row>
    <row r="1081" spans="1:9" x14ac:dyDescent="0.25">
      <c r="A1081" s="14" t="s">
        <v>1304</v>
      </c>
      <c r="B1081" s="15"/>
      <c r="C1081" s="15"/>
      <c r="D1081" s="15"/>
      <c r="E1081" s="5"/>
      <c r="F1081" s="5"/>
      <c r="G1081" s="3">
        <v>10554.72</v>
      </c>
      <c r="H1081" s="18">
        <v>10554.72</v>
      </c>
      <c r="I1081" s="19"/>
    </row>
    <row r="1082" spans="1:9" x14ac:dyDescent="0.25">
      <c r="A1082" s="14" t="s">
        <v>1305</v>
      </c>
      <c r="B1082" s="15"/>
      <c r="C1082" s="15"/>
      <c r="D1082" s="15"/>
      <c r="E1082" s="3">
        <v>421902.39</v>
      </c>
      <c r="F1082" s="3">
        <v>229020.21</v>
      </c>
      <c r="G1082" s="3">
        <v>315884.69</v>
      </c>
      <c r="H1082" s="18">
        <v>966807.29</v>
      </c>
      <c r="I1082" s="19"/>
    </row>
    <row r="1083" spans="1:9" x14ac:dyDescent="0.25">
      <c r="A1083" s="14" t="s">
        <v>1306</v>
      </c>
      <c r="B1083" s="15"/>
      <c r="C1083" s="15"/>
      <c r="D1083" s="15"/>
      <c r="E1083" s="3">
        <v>27055.82</v>
      </c>
      <c r="F1083" s="3">
        <v>2843.33</v>
      </c>
      <c r="G1083" s="3">
        <v>52993.11</v>
      </c>
      <c r="H1083" s="18">
        <v>82892.259999999995</v>
      </c>
      <c r="I1083" s="19"/>
    </row>
    <row r="1084" spans="1:9" x14ac:dyDescent="0.25">
      <c r="A1084" s="14" t="s">
        <v>1307</v>
      </c>
      <c r="B1084" s="15"/>
      <c r="C1084" s="15"/>
      <c r="D1084" s="15"/>
      <c r="E1084" s="3">
        <v>94853.01</v>
      </c>
      <c r="F1084" s="3">
        <v>82380.56</v>
      </c>
      <c r="G1084" s="3">
        <v>129546.43</v>
      </c>
      <c r="H1084" s="18">
        <v>306780</v>
      </c>
      <c r="I1084" s="19"/>
    </row>
    <row r="1085" spans="1:9" x14ac:dyDescent="0.25">
      <c r="A1085" s="14" t="s">
        <v>1308</v>
      </c>
      <c r="B1085" s="15"/>
      <c r="C1085" s="15"/>
      <c r="D1085" s="15"/>
      <c r="E1085" s="3">
        <v>20151.32</v>
      </c>
      <c r="F1085" s="3">
        <v>43225.17</v>
      </c>
      <c r="G1085" s="3">
        <v>71805.490000000005</v>
      </c>
      <c r="H1085" s="18">
        <v>135181.98000000001</v>
      </c>
      <c r="I1085" s="19"/>
    </row>
    <row r="1086" spans="1:9" x14ac:dyDescent="0.25">
      <c r="A1086" s="14" t="s">
        <v>1309</v>
      </c>
      <c r="B1086" s="15"/>
      <c r="C1086" s="15"/>
      <c r="D1086" s="15"/>
      <c r="E1086" s="3">
        <v>196127.37</v>
      </c>
      <c r="F1086" s="3">
        <v>137402.35</v>
      </c>
      <c r="G1086" s="3">
        <v>204616.04</v>
      </c>
      <c r="H1086" s="18">
        <v>538145.76</v>
      </c>
      <c r="I1086" s="19"/>
    </row>
    <row r="1087" spans="1:9" x14ac:dyDescent="0.25">
      <c r="A1087" s="14" t="s">
        <v>1310</v>
      </c>
      <c r="B1087" s="15"/>
      <c r="C1087" s="15"/>
      <c r="D1087" s="15"/>
      <c r="E1087" s="4" t="s">
        <v>1311</v>
      </c>
      <c r="F1087" s="3">
        <v>7834.2</v>
      </c>
      <c r="G1087" s="4" t="s">
        <v>1312</v>
      </c>
      <c r="H1087" s="20" t="s">
        <v>1313</v>
      </c>
      <c r="I1087" s="21"/>
    </row>
    <row r="1088" spans="1:9" x14ac:dyDescent="0.25">
      <c r="A1088" s="14" t="s">
        <v>1314</v>
      </c>
      <c r="B1088" s="15"/>
      <c r="C1088" s="15"/>
      <c r="D1088" s="15"/>
      <c r="E1088" s="3">
        <v>12528</v>
      </c>
      <c r="F1088" s="3">
        <v>454.32</v>
      </c>
      <c r="G1088" s="3">
        <v>12538.09</v>
      </c>
      <c r="H1088" s="18">
        <v>25520.41</v>
      </c>
      <c r="I1088" s="19"/>
    </row>
    <row r="1089" spans="1:9" x14ac:dyDescent="0.25">
      <c r="A1089" s="14" t="s">
        <v>1315</v>
      </c>
      <c r="B1089" s="15"/>
      <c r="C1089" s="15"/>
      <c r="D1089" s="15"/>
      <c r="E1089" s="3">
        <v>89643.35</v>
      </c>
      <c r="F1089" s="5"/>
      <c r="G1089" s="3">
        <v>89714.57</v>
      </c>
      <c r="H1089" s="18">
        <v>179357.92</v>
      </c>
      <c r="I1089" s="19"/>
    </row>
    <row r="1090" spans="1:9" x14ac:dyDescent="0.25">
      <c r="A1090" s="14" t="s">
        <v>1316</v>
      </c>
      <c r="B1090" s="15"/>
      <c r="C1090" s="15"/>
      <c r="D1090" s="15"/>
      <c r="E1090" s="3">
        <v>6811.29</v>
      </c>
      <c r="F1090" s="3">
        <v>378.84</v>
      </c>
      <c r="G1090" s="3">
        <v>6816.8</v>
      </c>
      <c r="H1090" s="18">
        <v>14006.93</v>
      </c>
      <c r="I1090" s="19"/>
    </row>
    <row r="1091" spans="1:9" x14ac:dyDescent="0.25">
      <c r="A1091" s="14" t="s">
        <v>1317</v>
      </c>
      <c r="B1091" s="15"/>
      <c r="C1091" s="15"/>
      <c r="D1091" s="15"/>
      <c r="E1091" s="3">
        <v>9376.83</v>
      </c>
      <c r="F1091" s="5"/>
      <c r="G1091" s="3">
        <v>9384.3700000000008</v>
      </c>
      <c r="H1091" s="18">
        <v>18761.2</v>
      </c>
      <c r="I1091" s="19"/>
    </row>
    <row r="1092" spans="1:9" x14ac:dyDescent="0.25">
      <c r="A1092" s="14" t="s">
        <v>1318</v>
      </c>
      <c r="B1092" s="15"/>
      <c r="C1092" s="15"/>
      <c r="D1092" s="15"/>
      <c r="E1092" s="3">
        <v>39860.559999999998</v>
      </c>
      <c r="F1092" s="3">
        <v>382.4</v>
      </c>
      <c r="G1092" s="3">
        <v>39892.769999999997</v>
      </c>
      <c r="H1092" s="18">
        <v>80135.73</v>
      </c>
      <c r="I1092" s="19"/>
    </row>
    <row r="1093" spans="1:9" x14ac:dyDescent="0.25">
      <c r="A1093" s="14" t="s">
        <v>1319</v>
      </c>
      <c r="B1093" s="15"/>
      <c r="C1093" s="15"/>
      <c r="D1093" s="15"/>
      <c r="E1093" s="3">
        <v>248897.23</v>
      </c>
      <c r="F1093" s="3">
        <v>123132.33</v>
      </c>
      <c r="G1093" s="3">
        <v>511787.48</v>
      </c>
      <c r="H1093" s="18">
        <v>883817.04</v>
      </c>
      <c r="I1093" s="19"/>
    </row>
    <row r="1094" spans="1:9" x14ac:dyDescent="0.25">
      <c r="A1094" s="14" t="s">
        <v>1320</v>
      </c>
      <c r="B1094" s="15"/>
      <c r="C1094" s="15"/>
      <c r="D1094" s="15"/>
      <c r="E1094" s="3">
        <v>349166</v>
      </c>
      <c r="F1094" s="3">
        <v>285053.17</v>
      </c>
      <c r="G1094" s="3">
        <v>356632.04</v>
      </c>
      <c r="H1094" s="18">
        <v>990851.21</v>
      </c>
      <c r="I1094" s="19"/>
    </row>
    <row r="1095" spans="1:9" x14ac:dyDescent="0.25">
      <c r="A1095" s="14" t="s">
        <v>1321</v>
      </c>
      <c r="B1095" s="15"/>
      <c r="C1095" s="15"/>
      <c r="D1095" s="15"/>
      <c r="E1095" s="3">
        <v>121510.61</v>
      </c>
      <c r="F1095" s="3">
        <v>150658.59</v>
      </c>
      <c r="G1095" s="3">
        <v>146057.60000000001</v>
      </c>
      <c r="H1095" s="18">
        <v>418226.8</v>
      </c>
      <c r="I1095" s="19"/>
    </row>
    <row r="1096" spans="1:9" x14ac:dyDescent="0.25">
      <c r="A1096" s="14" t="s">
        <v>1322</v>
      </c>
      <c r="B1096" s="15"/>
      <c r="C1096" s="15"/>
      <c r="D1096" s="15"/>
      <c r="E1096" s="4" t="s">
        <v>865</v>
      </c>
      <c r="F1096" s="3">
        <v>33974.17</v>
      </c>
      <c r="G1096" s="4" t="s">
        <v>1323</v>
      </c>
      <c r="H1096" s="18">
        <v>32622.59</v>
      </c>
      <c r="I1096" s="19"/>
    </row>
    <row r="1097" spans="1:9" x14ac:dyDescent="0.25">
      <c r="A1097" s="14" t="s">
        <v>1324</v>
      </c>
      <c r="B1097" s="15"/>
      <c r="C1097" s="15"/>
      <c r="D1097" s="15"/>
      <c r="E1097" s="3">
        <v>181222.61</v>
      </c>
      <c r="F1097" s="3">
        <v>116457.13</v>
      </c>
      <c r="G1097" s="3">
        <v>221090.94</v>
      </c>
      <c r="H1097" s="18">
        <v>518770.68</v>
      </c>
      <c r="I1097" s="19"/>
    </row>
    <row r="1098" spans="1:9" x14ac:dyDescent="0.25">
      <c r="A1098" s="14" t="s">
        <v>1325</v>
      </c>
      <c r="B1098" s="15"/>
      <c r="C1098" s="15"/>
      <c r="D1098" s="15"/>
      <c r="E1098" s="3">
        <v>144414.17000000001</v>
      </c>
      <c r="F1098" s="4" t="s">
        <v>1326</v>
      </c>
      <c r="G1098" s="3">
        <v>233627.88</v>
      </c>
      <c r="H1098" s="18">
        <v>304538.52</v>
      </c>
      <c r="I1098" s="19"/>
    </row>
    <row r="1099" spans="1:9" x14ac:dyDescent="0.25">
      <c r="A1099" s="14" t="s">
        <v>1327</v>
      </c>
      <c r="B1099" s="15"/>
      <c r="C1099" s="15"/>
      <c r="D1099" s="15"/>
      <c r="E1099" s="3">
        <v>205949.14</v>
      </c>
      <c r="F1099" s="3">
        <v>50167.74</v>
      </c>
      <c r="G1099" s="3">
        <v>237936.41</v>
      </c>
      <c r="H1099" s="18">
        <v>494053.29</v>
      </c>
      <c r="I1099" s="19"/>
    </row>
    <row r="1100" spans="1:9" x14ac:dyDescent="0.25">
      <c r="A1100" s="14" t="s">
        <v>1328</v>
      </c>
      <c r="B1100" s="15"/>
      <c r="C1100" s="15"/>
      <c r="D1100" s="15"/>
      <c r="E1100" s="4" t="s">
        <v>1329</v>
      </c>
      <c r="F1100" s="4" t="s">
        <v>1330</v>
      </c>
      <c r="G1100" s="3">
        <v>995.98000000000195</v>
      </c>
      <c r="H1100" s="20" t="s">
        <v>1331</v>
      </c>
      <c r="I1100" s="21"/>
    </row>
    <row r="1101" spans="1:9" x14ac:dyDescent="0.25">
      <c r="A1101" s="14" t="s">
        <v>1332</v>
      </c>
      <c r="B1101" s="15"/>
      <c r="C1101" s="15"/>
      <c r="D1101" s="15"/>
      <c r="E1101" s="3">
        <v>27667.24</v>
      </c>
      <c r="F1101" s="3">
        <v>23631.41</v>
      </c>
      <c r="G1101" s="3">
        <v>50959.12</v>
      </c>
      <c r="H1101" s="18">
        <v>102257.77</v>
      </c>
      <c r="I1101" s="19"/>
    </row>
    <row r="1102" spans="1:9" x14ac:dyDescent="0.25">
      <c r="A1102" s="14" t="s">
        <v>1333</v>
      </c>
      <c r="B1102" s="15"/>
      <c r="C1102" s="15"/>
      <c r="D1102" s="15"/>
      <c r="E1102" s="3">
        <v>33098.22</v>
      </c>
      <c r="F1102" s="3">
        <v>22944.43</v>
      </c>
      <c r="G1102" s="3">
        <v>62136.36</v>
      </c>
      <c r="H1102" s="18">
        <v>118179.01</v>
      </c>
      <c r="I1102" s="19"/>
    </row>
    <row r="1103" spans="1:9" x14ac:dyDescent="0.25">
      <c r="A1103" s="14" t="s">
        <v>1334</v>
      </c>
      <c r="B1103" s="15"/>
      <c r="C1103" s="15"/>
      <c r="D1103" s="15"/>
      <c r="E1103" s="3">
        <v>55243.3</v>
      </c>
      <c r="F1103" s="3">
        <v>40680.559999999998</v>
      </c>
      <c r="G1103" s="3">
        <v>91720.71</v>
      </c>
      <c r="H1103" s="18">
        <v>187644.57</v>
      </c>
      <c r="I1103" s="19"/>
    </row>
    <row r="1104" spans="1:9" x14ac:dyDescent="0.25">
      <c r="A1104" s="14" t="s">
        <v>1335</v>
      </c>
      <c r="B1104" s="15"/>
      <c r="C1104" s="15"/>
      <c r="D1104" s="15"/>
      <c r="E1104" s="3">
        <v>291844.34000000003</v>
      </c>
      <c r="F1104" s="3">
        <v>146135.42000000001</v>
      </c>
      <c r="G1104" s="3">
        <v>356780.37</v>
      </c>
      <c r="H1104" s="18">
        <v>794760.13</v>
      </c>
      <c r="I1104" s="19"/>
    </row>
    <row r="1105" spans="1:9" x14ac:dyDescent="0.25">
      <c r="A1105" s="14" t="s">
        <v>1336</v>
      </c>
      <c r="B1105" s="15"/>
      <c r="C1105" s="15"/>
      <c r="D1105" s="15"/>
      <c r="E1105" s="3">
        <v>86176.76</v>
      </c>
      <c r="F1105" s="3">
        <v>50647.73</v>
      </c>
      <c r="G1105" s="3">
        <v>116757.75999999999</v>
      </c>
      <c r="H1105" s="18">
        <v>253582.25</v>
      </c>
      <c r="I1105" s="19"/>
    </row>
    <row r="1106" spans="1:9" x14ac:dyDescent="0.25">
      <c r="A1106" s="14" t="s">
        <v>1337</v>
      </c>
      <c r="B1106" s="15"/>
      <c r="C1106" s="15"/>
      <c r="D1106" s="15"/>
      <c r="E1106" s="3">
        <v>96661.71</v>
      </c>
      <c r="F1106" s="4" t="s">
        <v>1338</v>
      </c>
      <c r="G1106" s="3">
        <v>190460.52</v>
      </c>
      <c r="H1106" s="18">
        <v>272072.42</v>
      </c>
      <c r="I1106" s="19"/>
    </row>
    <row r="1107" spans="1:9" x14ac:dyDescent="0.25">
      <c r="A1107" s="14" t="s">
        <v>1339</v>
      </c>
      <c r="B1107" s="15"/>
      <c r="C1107" s="15"/>
      <c r="D1107" s="15"/>
      <c r="E1107" s="4" t="s">
        <v>1340</v>
      </c>
      <c r="F1107" s="3">
        <v>30935</v>
      </c>
      <c r="G1107" s="4" t="s">
        <v>1341</v>
      </c>
      <c r="H1107" s="20" t="s">
        <v>1342</v>
      </c>
      <c r="I1107" s="21"/>
    </row>
    <row r="1108" spans="1:9" x14ac:dyDescent="0.25">
      <c r="A1108" s="14" t="s">
        <v>1343</v>
      </c>
      <c r="B1108" s="15"/>
      <c r="C1108" s="15"/>
      <c r="D1108" s="15"/>
      <c r="E1108" s="3">
        <v>50257.599999999999</v>
      </c>
      <c r="F1108" s="3">
        <v>29771.47</v>
      </c>
      <c r="G1108" s="3">
        <v>65170.11</v>
      </c>
      <c r="H1108" s="18">
        <v>145199.18</v>
      </c>
      <c r="I1108" s="19"/>
    </row>
    <row r="1109" spans="1:9" x14ac:dyDescent="0.25">
      <c r="A1109" s="14" t="s">
        <v>1344</v>
      </c>
      <c r="B1109" s="15"/>
      <c r="C1109" s="15"/>
      <c r="D1109" s="15"/>
      <c r="E1109" s="3">
        <v>768432.17</v>
      </c>
      <c r="F1109" s="3">
        <v>491615.25</v>
      </c>
      <c r="G1109" s="3">
        <v>846475.17</v>
      </c>
      <c r="H1109" s="18">
        <v>2106522.59</v>
      </c>
      <c r="I1109" s="19"/>
    </row>
    <row r="1110" spans="1:9" x14ac:dyDescent="0.25">
      <c r="A1110" s="14" t="s">
        <v>1345</v>
      </c>
      <c r="B1110" s="15"/>
      <c r="C1110" s="15"/>
      <c r="D1110" s="15"/>
      <c r="E1110" s="3">
        <v>166942.87</v>
      </c>
      <c r="F1110" s="3">
        <v>76659.8</v>
      </c>
      <c r="G1110" s="3">
        <v>206542.77</v>
      </c>
      <c r="H1110" s="18">
        <v>450145.44</v>
      </c>
      <c r="I1110" s="19"/>
    </row>
    <row r="1111" spans="1:9" x14ac:dyDescent="0.25">
      <c r="A1111" s="14" t="s">
        <v>1346</v>
      </c>
      <c r="B1111" s="15"/>
      <c r="C1111" s="15"/>
      <c r="D1111" s="15"/>
      <c r="E1111" s="3">
        <v>840354.43</v>
      </c>
      <c r="F1111" s="3">
        <v>706591.05</v>
      </c>
      <c r="G1111" s="3">
        <v>847564.77</v>
      </c>
      <c r="H1111" s="18">
        <v>2394510.25</v>
      </c>
      <c r="I1111" s="19"/>
    </row>
    <row r="1112" spans="1:9" x14ac:dyDescent="0.25">
      <c r="A1112" s="14" t="s">
        <v>1347</v>
      </c>
      <c r="B1112" s="15"/>
      <c r="C1112" s="15"/>
      <c r="D1112" s="15"/>
      <c r="E1112" s="3">
        <v>298134.25</v>
      </c>
      <c r="F1112" s="3">
        <v>81024.160000000003</v>
      </c>
      <c r="G1112" s="3">
        <v>310135.82</v>
      </c>
      <c r="H1112" s="18">
        <v>689294.23</v>
      </c>
      <c r="I1112" s="19"/>
    </row>
    <row r="1113" spans="1:9" x14ac:dyDescent="0.25">
      <c r="A1113" s="14" t="s">
        <v>1348</v>
      </c>
      <c r="B1113" s="15"/>
      <c r="C1113" s="15"/>
      <c r="D1113" s="15"/>
      <c r="E1113" s="3">
        <v>256463.56</v>
      </c>
      <c r="F1113" s="3">
        <v>184500.4</v>
      </c>
      <c r="G1113" s="3">
        <v>572755.41</v>
      </c>
      <c r="H1113" s="18">
        <v>1013719.37</v>
      </c>
      <c r="I1113" s="19"/>
    </row>
    <row r="1114" spans="1:9" x14ac:dyDescent="0.25">
      <c r="A1114" s="14" t="s">
        <v>1349</v>
      </c>
      <c r="B1114" s="15"/>
      <c r="C1114" s="15"/>
      <c r="D1114" s="15"/>
      <c r="E1114" s="3">
        <v>11670</v>
      </c>
      <c r="F1114" s="3">
        <v>11678.66</v>
      </c>
      <c r="G1114" s="3">
        <v>20169.830000000002</v>
      </c>
      <c r="H1114" s="18">
        <v>43518.49</v>
      </c>
      <c r="I1114" s="19"/>
    </row>
    <row r="1115" spans="1:9" x14ac:dyDescent="0.25">
      <c r="A1115" s="14" t="s">
        <v>1350</v>
      </c>
      <c r="B1115" s="15"/>
      <c r="C1115" s="15"/>
      <c r="D1115" s="15"/>
      <c r="E1115" s="3">
        <v>22697.040000000001</v>
      </c>
      <c r="F1115" s="3">
        <v>28642.26</v>
      </c>
      <c r="G1115" s="3">
        <v>75137.86</v>
      </c>
      <c r="H1115" s="18">
        <v>126477.16</v>
      </c>
      <c r="I1115" s="19"/>
    </row>
    <row r="1116" spans="1:9" x14ac:dyDescent="0.25">
      <c r="A1116" s="14" t="s">
        <v>1351</v>
      </c>
      <c r="B1116" s="15"/>
      <c r="C1116" s="15"/>
      <c r="D1116" s="15"/>
      <c r="E1116" s="3">
        <v>238501</v>
      </c>
      <c r="F1116" s="3">
        <v>322083.59999999998</v>
      </c>
      <c r="G1116" s="3">
        <v>223920.11</v>
      </c>
      <c r="H1116" s="18">
        <v>784504.71</v>
      </c>
      <c r="I1116" s="19"/>
    </row>
    <row r="1117" spans="1:9" x14ac:dyDescent="0.25">
      <c r="A1117" s="14" t="s">
        <v>1352</v>
      </c>
      <c r="B1117" s="15"/>
      <c r="C1117" s="15"/>
      <c r="D1117" s="15"/>
      <c r="E1117" s="3">
        <v>89077.17</v>
      </c>
      <c r="F1117" s="3">
        <v>63476.51</v>
      </c>
      <c r="G1117" s="3">
        <v>154295.22</v>
      </c>
      <c r="H1117" s="18">
        <v>306848.90000000002</v>
      </c>
      <c r="I1117" s="19"/>
    </row>
    <row r="1118" spans="1:9" x14ac:dyDescent="0.25">
      <c r="A1118" s="14" t="s">
        <v>1353</v>
      </c>
      <c r="B1118" s="15"/>
      <c r="C1118" s="15"/>
      <c r="D1118" s="15"/>
      <c r="E1118" s="3">
        <v>175407.24</v>
      </c>
      <c r="F1118" s="3">
        <v>199030.93</v>
      </c>
      <c r="G1118" s="3">
        <v>189314.74</v>
      </c>
      <c r="H1118" s="18">
        <v>563752.91</v>
      </c>
      <c r="I1118" s="19"/>
    </row>
    <row r="1119" spans="1:9" x14ac:dyDescent="0.25">
      <c r="A1119" s="14" t="s">
        <v>1354</v>
      </c>
      <c r="B1119" s="15"/>
      <c r="C1119" s="15"/>
      <c r="D1119" s="15"/>
      <c r="E1119" s="4" t="s">
        <v>1355</v>
      </c>
      <c r="F1119" s="4" t="s">
        <v>1356</v>
      </c>
      <c r="G1119" s="4" t="s">
        <v>1357</v>
      </c>
      <c r="H1119" s="20" t="s">
        <v>1358</v>
      </c>
      <c r="I1119" s="21"/>
    </row>
    <row r="1120" spans="1:9" x14ac:dyDescent="0.25">
      <c r="A1120" s="14" t="s">
        <v>1359</v>
      </c>
      <c r="B1120" s="15"/>
      <c r="C1120" s="15"/>
      <c r="D1120" s="15"/>
      <c r="E1120" s="3">
        <v>1144707.1200000001</v>
      </c>
      <c r="F1120" s="3">
        <v>804437.85</v>
      </c>
      <c r="G1120" s="3">
        <v>1153161.77</v>
      </c>
      <c r="H1120" s="18">
        <v>3102306.74</v>
      </c>
      <c r="I1120" s="19"/>
    </row>
    <row r="1121" spans="1:9" x14ac:dyDescent="0.25">
      <c r="A1121" s="14" t="s">
        <v>1360</v>
      </c>
      <c r="B1121" s="15"/>
      <c r="C1121" s="15"/>
      <c r="D1121" s="15"/>
      <c r="E1121" s="3">
        <v>389576.01</v>
      </c>
      <c r="F1121" s="3">
        <v>195650.12</v>
      </c>
      <c r="G1121" s="3">
        <v>446937.81</v>
      </c>
      <c r="H1121" s="18">
        <v>1032163.94</v>
      </c>
      <c r="I1121" s="19"/>
    </row>
    <row r="1122" spans="1:9" x14ac:dyDescent="0.25">
      <c r="A1122" s="14" t="s">
        <v>1361</v>
      </c>
      <c r="B1122" s="15"/>
      <c r="C1122" s="15"/>
      <c r="D1122" s="15"/>
      <c r="E1122" s="3">
        <v>4144.42</v>
      </c>
      <c r="F1122" s="3">
        <v>3484.97</v>
      </c>
      <c r="G1122" s="3">
        <v>2311.86</v>
      </c>
      <c r="H1122" s="18">
        <v>9941.25</v>
      </c>
      <c r="I1122" s="19"/>
    </row>
    <row r="1123" spans="1:9" x14ac:dyDescent="0.25">
      <c r="A1123" s="14" t="s">
        <v>1362</v>
      </c>
      <c r="B1123" s="15"/>
      <c r="C1123" s="15"/>
      <c r="D1123" s="15"/>
      <c r="E1123" s="3">
        <v>348599.44</v>
      </c>
      <c r="F1123" s="3">
        <v>234901.47</v>
      </c>
      <c r="G1123" s="3">
        <v>562826.88</v>
      </c>
      <c r="H1123" s="18">
        <v>1146327.79</v>
      </c>
      <c r="I1123" s="19"/>
    </row>
    <row r="1124" spans="1:9" x14ac:dyDescent="0.25">
      <c r="A1124" s="14" t="s">
        <v>1363</v>
      </c>
      <c r="B1124" s="15"/>
      <c r="C1124" s="15"/>
      <c r="D1124" s="15"/>
      <c r="E1124" s="3">
        <v>474903</v>
      </c>
      <c r="F1124" s="3">
        <v>361789.37</v>
      </c>
      <c r="G1124" s="3">
        <v>662408.81000000006</v>
      </c>
      <c r="H1124" s="18">
        <v>1499101.18</v>
      </c>
      <c r="I1124" s="19"/>
    </row>
    <row r="1125" spans="1:9" x14ac:dyDescent="0.25">
      <c r="A1125" s="14" t="s">
        <v>1364</v>
      </c>
      <c r="B1125" s="15"/>
      <c r="C1125" s="15"/>
      <c r="D1125" s="15"/>
      <c r="E1125" s="4" t="s">
        <v>1365</v>
      </c>
      <c r="F1125" s="4" t="s">
        <v>1366</v>
      </c>
      <c r="G1125" s="4" t="s">
        <v>1367</v>
      </c>
      <c r="H1125" s="20" t="s">
        <v>1368</v>
      </c>
      <c r="I1125" s="21"/>
    </row>
    <row r="1126" spans="1:9" x14ac:dyDescent="0.25">
      <c r="A1126" s="14" t="s">
        <v>1369</v>
      </c>
      <c r="B1126" s="15"/>
      <c r="C1126" s="15"/>
      <c r="D1126" s="15"/>
      <c r="E1126" s="3">
        <v>332987.73</v>
      </c>
      <c r="F1126" s="3">
        <v>261786.71</v>
      </c>
      <c r="G1126" s="3">
        <v>492693.1</v>
      </c>
      <c r="H1126" s="18">
        <v>1087467.54</v>
      </c>
      <c r="I1126" s="19"/>
    </row>
    <row r="1127" spans="1:9" x14ac:dyDescent="0.25">
      <c r="A1127" s="14" t="s">
        <v>1370</v>
      </c>
      <c r="B1127" s="15"/>
      <c r="C1127" s="15"/>
      <c r="D1127" s="15"/>
      <c r="E1127" s="4" t="s">
        <v>1371</v>
      </c>
      <c r="F1127" s="4" t="s">
        <v>1372</v>
      </c>
      <c r="G1127" s="4" t="s">
        <v>1373</v>
      </c>
      <c r="H1127" s="20" t="s">
        <v>1374</v>
      </c>
      <c r="I1127" s="21"/>
    </row>
    <row r="1128" spans="1:9" x14ac:dyDescent="0.25">
      <c r="A1128" s="14" t="s">
        <v>1375</v>
      </c>
      <c r="B1128" s="15"/>
      <c r="C1128" s="15"/>
      <c r="D1128" s="15"/>
      <c r="E1128" s="3">
        <v>10457.77</v>
      </c>
      <c r="F1128" s="5"/>
      <c r="G1128" s="3">
        <v>3127.66</v>
      </c>
      <c r="H1128" s="18">
        <v>13585.43</v>
      </c>
      <c r="I1128" s="19"/>
    </row>
    <row r="1129" spans="1:9" x14ac:dyDescent="0.25">
      <c r="A1129" s="14" t="s">
        <v>1376</v>
      </c>
      <c r="B1129" s="15"/>
      <c r="C1129" s="15"/>
      <c r="D1129" s="15"/>
      <c r="E1129" s="3">
        <v>191393.56</v>
      </c>
      <c r="F1129" s="3">
        <v>149875.79999999999</v>
      </c>
      <c r="G1129" s="3">
        <v>230103.78</v>
      </c>
      <c r="H1129" s="18">
        <v>571373.14</v>
      </c>
      <c r="I1129" s="19"/>
    </row>
    <row r="1130" spans="1:9" x14ac:dyDescent="0.25">
      <c r="A1130" s="14" t="s">
        <v>1377</v>
      </c>
      <c r="B1130" s="15"/>
      <c r="C1130" s="15"/>
      <c r="D1130" s="15"/>
      <c r="E1130" s="4" t="s">
        <v>1378</v>
      </c>
      <c r="F1130" s="3">
        <v>10027.93</v>
      </c>
      <c r="G1130" s="4" t="s">
        <v>1379</v>
      </c>
      <c r="H1130" s="20" t="s">
        <v>1380</v>
      </c>
      <c r="I1130" s="21"/>
    </row>
    <row r="1131" spans="1:9" x14ac:dyDescent="0.25">
      <c r="A1131" s="14" t="s">
        <v>1381</v>
      </c>
      <c r="B1131" s="15"/>
      <c r="C1131" s="15"/>
      <c r="D1131" s="15"/>
      <c r="E1131" s="3">
        <v>210384.75</v>
      </c>
      <c r="F1131" s="3">
        <v>270053.86</v>
      </c>
      <c r="G1131" s="3">
        <v>292591.99</v>
      </c>
      <c r="H1131" s="18">
        <v>773030.6</v>
      </c>
      <c r="I1131" s="19"/>
    </row>
    <row r="1132" spans="1:9" x14ac:dyDescent="0.25">
      <c r="A1132" s="14" t="s">
        <v>1382</v>
      </c>
      <c r="B1132" s="15"/>
      <c r="C1132" s="15"/>
      <c r="D1132" s="15"/>
      <c r="E1132" s="3">
        <v>233412.76</v>
      </c>
      <c r="F1132" s="3">
        <v>217347.96</v>
      </c>
      <c r="G1132" s="3">
        <v>120774.76</v>
      </c>
      <c r="H1132" s="18">
        <v>571535.48</v>
      </c>
      <c r="I1132" s="19"/>
    </row>
    <row r="1133" spans="1:9" x14ac:dyDescent="0.25">
      <c r="A1133" s="14" t="s">
        <v>1383</v>
      </c>
      <c r="B1133" s="15"/>
      <c r="C1133" s="15"/>
      <c r="D1133" s="15"/>
      <c r="E1133" s="4" t="s">
        <v>1384</v>
      </c>
      <c r="F1133" s="3">
        <v>89358.03</v>
      </c>
      <c r="G1133" s="4" t="s">
        <v>1385</v>
      </c>
      <c r="H1133" s="20" t="s">
        <v>1386</v>
      </c>
      <c r="I1133" s="21"/>
    </row>
    <row r="1134" spans="1:9" x14ac:dyDescent="0.25">
      <c r="A1134" s="14" t="s">
        <v>1387</v>
      </c>
      <c r="B1134" s="15"/>
      <c r="C1134" s="15"/>
      <c r="D1134" s="15"/>
      <c r="E1134" s="3">
        <v>280995.55</v>
      </c>
      <c r="F1134" s="3">
        <v>380831.3</v>
      </c>
      <c r="G1134" s="3">
        <v>276731.90000000002</v>
      </c>
      <c r="H1134" s="18">
        <v>938558.75</v>
      </c>
      <c r="I1134" s="19"/>
    </row>
    <row r="1135" spans="1:9" x14ac:dyDescent="0.25">
      <c r="A1135" s="14" t="s">
        <v>1388</v>
      </c>
      <c r="B1135" s="15"/>
      <c r="C1135" s="15"/>
      <c r="D1135" s="15"/>
      <c r="E1135" s="3">
        <v>70375.31</v>
      </c>
      <c r="F1135" s="5"/>
      <c r="G1135" s="3">
        <v>149942.35</v>
      </c>
      <c r="H1135" s="18">
        <v>220317.66</v>
      </c>
      <c r="I1135" s="19"/>
    </row>
    <row r="1136" spans="1:9" x14ac:dyDescent="0.25">
      <c r="A1136" s="14" t="s">
        <v>1389</v>
      </c>
      <c r="B1136" s="15"/>
      <c r="C1136" s="15"/>
      <c r="D1136" s="15"/>
      <c r="E1136" s="3">
        <v>153219.20000000001</v>
      </c>
      <c r="F1136" s="5"/>
      <c r="G1136" s="3">
        <v>78752.73</v>
      </c>
      <c r="H1136" s="18">
        <v>231971.93</v>
      </c>
      <c r="I1136" s="19"/>
    </row>
    <row r="1137" spans="1:9" x14ac:dyDescent="0.25">
      <c r="A1137" s="14" t="s">
        <v>1390</v>
      </c>
      <c r="B1137" s="15"/>
      <c r="C1137" s="15"/>
      <c r="D1137" s="15"/>
      <c r="E1137" s="3">
        <v>152295.39000000001</v>
      </c>
      <c r="F1137" s="5"/>
      <c r="G1137" s="3">
        <v>78542.850000000006</v>
      </c>
      <c r="H1137" s="18">
        <v>230838.24</v>
      </c>
      <c r="I1137" s="19"/>
    </row>
    <row r="1138" spans="1:9" x14ac:dyDescent="0.25">
      <c r="A1138" s="14" t="s">
        <v>1391</v>
      </c>
      <c r="B1138" s="15"/>
      <c r="C1138" s="15"/>
      <c r="D1138" s="15"/>
      <c r="E1138" s="3">
        <v>20996</v>
      </c>
      <c r="F1138" s="5"/>
      <c r="G1138" s="3">
        <v>33487.449999999997</v>
      </c>
      <c r="H1138" s="18">
        <v>54483.45</v>
      </c>
      <c r="I1138" s="19"/>
    </row>
    <row r="1139" spans="1:9" x14ac:dyDescent="0.25">
      <c r="A1139" s="14" t="s">
        <v>1392</v>
      </c>
      <c r="B1139" s="15"/>
      <c r="C1139" s="15"/>
      <c r="D1139" s="15"/>
      <c r="E1139" s="3">
        <v>128766.38</v>
      </c>
      <c r="F1139" s="5"/>
      <c r="G1139" s="3">
        <v>66184.320000000007</v>
      </c>
      <c r="H1139" s="18">
        <v>194950.7</v>
      </c>
      <c r="I1139" s="19"/>
    </row>
    <row r="1140" spans="1:9" x14ac:dyDescent="0.25">
      <c r="A1140" s="14" t="s">
        <v>1393</v>
      </c>
      <c r="B1140" s="15"/>
      <c r="C1140" s="15"/>
      <c r="D1140" s="15"/>
      <c r="E1140" s="3">
        <v>1998.33</v>
      </c>
      <c r="F1140" s="5"/>
      <c r="G1140" s="3">
        <v>1027.1400000000001</v>
      </c>
      <c r="H1140" s="18">
        <v>3025.47</v>
      </c>
      <c r="I1140" s="19"/>
    </row>
    <row r="1141" spans="1:9" x14ac:dyDescent="0.25">
      <c r="A1141" s="14" t="s">
        <v>1394</v>
      </c>
      <c r="B1141" s="15"/>
      <c r="C1141" s="15"/>
      <c r="D1141" s="15"/>
      <c r="E1141" s="3">
        <v>7084.34</v>
      </c>
      <c r="F1141" s="5"/>
      <c r="G1141" s="3">
        <v>3641.27</v>
      </c>
      <c r="H1141" s="18">
        <v>10725.61</v>
      </c>
      <c r="I1141" s="19"/>
    </row>
    <row r="1142" spans="1:9" x14ac:dyDescent="0.25">
      <c r="A1142" s="14" t="s">
        <v>1395</v>
      </c>
      <c r="B1142" s="15"/>
      <c r="C1142" s="15"/>
      <c r="D1142" s="15"/>
      <c r="E1142" s="3">
        <v>10262.91</v>
      </c>
      <c r="F1142" s="5"/>
      <c r="G1142" s="3">
        <v>5274.99</v>
      </c>
      <c r="H1142" s="18">
        <v>15537.9</v>
      </c>
      <c r="I1142" s="19"/>
    </row>
    <row r="1143" spans="1:9" x14ac:dyDescent="0.25">
      <c r="A1143" s="14" t="s">
        <v>1396</v>
      </c>
      <c r="B1143" s="15"/>
      <c r="C1143" s="15"/>
      <c r="D1143" s="15"/>
      <c r="E1143" s="3">
        <v>114.31</v>
      </c>
      <c r="F1143" s="5"/>
      <c r="G1143" s="3">
        <v>58.75</v>
      </c>
      <c r="H1143" s="18">
        <v>173.06</v>
      </c>
      <c r="I1143" s="19"/>
    </row>
    <row r="1144" spans="1:9" x14ac:dyDescent="0.25">
      <c r="A1144" s="14" t="s">
        <v>1397</v>
      </c>
      <c r="B1144" s="15"/>
      <c r="C1144" s="15"/>
      <c r="D1144" s="15"/>
      <c r="E1144" s="3">
        <v>16088.67</v>
      </c>
      <c r="F1144" s="5"/>
      <c r="G1144" s="3">
        <v>7137.79</v>
      </c>
      <c r="H1144" s="18">
        <v>23226.46</v>
      </c>
      <c r="I1144" s="19"/>
    </row>
    <row r="1145" spans="1:9" x14ac:dyDescent="0.25">
      <c r="A1145" s="14" t="s">
        <v>1398</v>
      </c>
      <c r="B1145" s="15"/>
      <c r="C1145" s="15"/>
      <c r="D1145" s="15"/>
      <c r="E1145" s="3">
        <v>227.24</v>
      </c>
      <c r="F1145" s="5"/>
      <c r="G1145" s="3">
        <v>100.8</v>
      </c>
      <c r="H1145" s="18">
        <v>328.04</v>
      </c>
      <c r="I1145" s="19"/>
    </row>
    <row r="1146" spans="1:9" x14ac:dyDescent="0.25">
      <c r="A1146" s="14" t="s">
        <v>1399</v>
      </c>
      <c r="B1146" s="15"/>
      <c r="C1146" s="15"/>
      <c r="D1146" s="15"/>
      <c r="E1146" s="3">
        <v>41076.71</v>
      </c>
      <c r="F1146" s="5"/>
      <c r="G1146" s="3">
        <v>18223.91</v>
      </c>
      <c r="H1146" s="18">
        <v>59300.62</v>
      </c>
      <c r="I1146" s="19"/>
    </row>
    <row r="1147" spans="1:9" x14ac:dyDescent="0.25">
      <c r="A1147" s="14" t="s">
        <v>1400</v>
      </c>
      <c r="B1147" s="15"/>
      <c r="C1147" s="15"/>
      <c r="D1147" s="15"/>
      <c r="E1147" s="3">
        <v>11309.92</v>
      </c>
      <c r="F1147" s="5"/>
      <c r="G1147" s="3">
        <v>42939.57</v>
      </c>
      <c r="H1147" s="18">
        <v>54249.49</v>
      </c>
      <c r="I1147" s="19"/>
    </row>
    <row r="1148" spans="1:9" x14ac:dyDescent="0.25">
      <c r="A1148" s="14" t="s">
        <v>1401</v>
      </c>
      <c r="B1148" s="15"/>
      <c r="C1148" s="15"/>
      <c r="D1148" s="15"/>
      <c r="E1148" s="3">
        <v>17837.09</v>
      </c>
      <c r="F1148" s="5"/>
      <c r="G1148" s="3">
        <v>7913.52</v>
      </c>
      <c r="H1148" s="18">
        <v>25750.61</v>
      </c>
      <c r="I1148" s="19"/>
    </row>
    <row r="1149" spans="1:9" x14ac:dyDescent="0.25">
      <c r="A1149" s="14" t="s">
        <v>1402</v>
      </c>
      <c r="B1149" s="15"/>
      <c r="C1149" s="15"/>
      <c r="D1149" s="15"/>
      <c r="E1149" s="3">
        <v>3665.38</v>
      </c>
      <c r="F1149" s="5"/>
      <c r="G1149" s="3">
        <v>1626.14</v>
      </c>
      <c r="H1149" s="18">
        <v>5291.52</v>
      </c>
      <c r="I1149" s="19"/>
    </row>
    <row r="1150" spans="1:9" x14ac:dyDescent="0.25">
      <c r="A1150" s="14" t="s">
        <v>1403</v>
      </c>
      <c r="B1150" s="15"/>
      <c r="C1150" s="15"/>
      <c r="D1150" s="15"/>
      <c r="E1150" s="3">
        <v>146254.72</v>
      </c>
      <c r="F1150" s="5"/>
      <c r="G1150" s="3">
        <v>64886.66</v>
      </c>
      <c r="H1150" s="18">
        <v>211141.38</v>
      </c>
      <c r="I1150" s="19"/>
    </row>
    <row r="1151" spans="1:9" x14ac:dyDescent="0.25">
      <c r="A1151" s="14" t="s">
        <v>1404</v>
      </c>
      <c r="B1151" s="15"/>
      <c r="C1151" s="15"/>
      <c r="D1151" s="15"/>
      <c r="E1151" s="3">
        <v>9167.14</v>
      </c>
      <c r="F1151" s="5"/>
      <c r="G1151" s="3">
        <v>4067.02</v>
      </c>
      <c r="H1151" s="18">
        <v>13234.16</v>
      </c>
      <c r="I1151" s="19"/>
    </row>
    <row r="1152" spans="1:9" x14ac:dyDescent="0.25">
      <c r="A1152" s="14" t="s">
        <v>1405</v>
      </c>
      <c r="B1152" s="15"/>
      <c r="C1152" s="15"/>
      <c r="D1152" s="15"/>
      <c r="E1152" s="3">
        <v>6967</v>
      </c>
      <c r="F1152" s="5"/>
      <c r="G1152" s="3">
        <v>3091</v>
      </c>
      <c r="H1152" s="18">
        <v>10058</v>
      </c>
      <c r="I1152" s="19"/>
    </row>
    <row r="1153" spans="1:9" x14ac:dyDescent="0.25">
      <c r="A1153" s="14" t="s">
        <v>1406</v>
      </c>
      <c r="B1153" s="15"/>
      <c r="C1153" s="15"/>
      <c r="D1153" s="15"/>
      <c r="E1153" s="3">
        <v>171.88</v>
      </c>
      <c r="F1153" s="5"/>
      <c r="G1153" s="3">
        <v>76.25</v>
      </c>
      <c r="H1153" s="18">
        <v>248.13</v>
      </c>
      <c r="I1153" s="19"/>
    </row>
    <row r="1154" spans="1:9" x14ac:dyDescent="0.25">
      <c r="A1154" s="14" t="s">
        <v>1407</v>
      </c>
      <c r="B1154" s="15"/>
      <c r="C1154" s="15"/>
      <c r="D1154" s="15"/>
      <c r="E1154" s="3">
        <v>2505.67</v>
      </c>
      <c r="F1154" s="5"/>
      <c r="G1154" s="3">
        <v>1111.6300000000001</v>
      </c>
      <c r="H1154" s="18">
        <v>3617.3</v>
      </c>
      <c r="I1154" s="19"/>
    </row>
    <row r="1155" spans="1:9" x14ac:dyDescent="0.25">
      <c r="A1155" s="14" t="s">
        <v>1408</v>
      </c>
      <c r="B1155" s="15"/>
      <c r="C1155" s="15"/>
      <c r="D1155" s="15"/>
      <c r="E1155" s="4" t="s">
        <v>1409</v>
      </c>
      <c r="F1155" s="4" t="s">
        <v>1410</v>
      </c>
      <c r="G1155" s="3">
        <v>220.22</v>
      </c>
      <c r="H1155" s="20" t="s">
        <v>1411</v>
      </c>
      <c r="I1155" s="21"/>
    </row>
    <row r="1156" spans="1:9" x14ac:dyDescent="0.25">
      <c r="A1156" s="14" t="s">
        <v>1412</v>
      </c>
      <c r="B1156" s="15"/>
      <c r="C1156" s="15"/>
      <c r="D1156" s="15"/>
      <c r="E1156" s="3">
        <v>3164.53</v>
      </c>
      <c r="F1156" s="5"/>
      <c r="G1156" s="3">
        <v>986.96</v>
      </c>
      <c r="H1156" s="18">
        <v>4151.49</v>
      </c>
      <c r="I1156" s="19"/>
    </row>
    <row r="1157" spans="1:9" x14ac:dyDescent="0.25">
      <c r="A1157" s="14" t="s">
        <v>1413</v>
      </c>
      <c r="B1157" s="15"/>
      <c r="C1157" s="15"/>
      <c r="D1157" s="15"/>
      <c r="E1157" s="3">
        <v>6350.21</v>
      </c>
      <c r="F1157" s="5"/>
      <c r="G1157" s="3">
        <v>19592.53</v>
      </c>
      <c r="H1157" s="18">
        <v>25942.74</v>
      </c>
      <c r="I1157" s="19"/>
    </row>
    <row r="1158" spans="1:9" x14ac:dyDescent="0.25">
      <c r="A1158" s="14" t="s">
        <v>1414</v>
      </c>
      <c r="B1158" s="15"/>
      <c r="C1158" s="15"/>
      <c r="D1158" s="15"/>
      <c r="E1158" s="3">
        <v>2393.2800000000002</v>
      </c>
      <c r="F1158" s="5"/>
      <c r="G1158" s="3">
        <v>2393.2800000000002</v>
      </c>
      <c r="H1158" s="18">
        <v>4786.5600000000004</v>
      </c>
      <c r="I1158" s="19"/>
    </row>
    <row r="1159" spans="1:9" x14ac:dyDescent="0.25">
      <c r="A1159" s="14" t="s">
        <v>1415</v>
      </c>
      <c r="B1159" s="15"/>
      <c r="C1159" s="15"/>
      <c r="D1159" s="15"/>
      <c r="E1159" s="3">
        <v>3298.89</v>
      </c>
      <c r="F1159" s="5"/>
      <c r="G1159" s="3">
        <v>3298.89</v>
      </c>
      <c r="H1159" s="18">
        <v>6597.78</v>
      </c>
      <c r="I1159" s="19"/>
    </row>
    <row r="1160" spans="1:9" x14ac:dyDescent="0.25">
      <c r="A1160" s="14" t="s">
        <v>1416</v>
      </c>
      <c r="B1160" s="15"/>
      <c r="C1160" s="15"/>
      <c r="D1160" s="15"/>
      <c r="E1160" s="3">
        <v>21466.44</v>
      </c>
      <c r="F1160" s="5"/>
      <c r="G1160" s="3">
        <v>21466.49</v>
      </c>
      <c r="H1160" s="18">
        <v>42932.93</v>
      </c>
      <c r="I1160" s="19"/>
    </row>
    <row r="1161" spans="1:9" x14ac:dyDescent="0.25">
      <c r="A1161" s="14" t="s">
        <v>1417</v>
      </c>
      <c r="B1161" s="15"/>
      <c r="C1161" s="15"/>
      <c r="D1161" s="15"/>
      <c r="E1161" s="3">
        <v>9799.59</v>
      </c>
      <c r="F1161" s="5"/>
      <c r="G1161" s="3">
        <v>9799.59</v>
      </c>
      <c r="H1161" s="18">
        <v>19599.18</v>
      </c>
      <c r="I1161" s="19"/>
    </row>
    <row r="1162" spans="1:9" x14ac:dyDescent="0.25">
      <c r="A1162" s="14" t="s">
        <v>1418</v>
      </c>
      <c r="B1162" s="15"/>
      <c r="C1162" s="15"/>
      <c r="D1162" s="15"/>
      <c r="E1162" s="3">
        <v>216.25</v>
      </c>
      <c r="F1162" s="5"/>
      <c r="G1162" s="3">
        <v>216.25</v>
      </c>
      <c r="H1162" s="18">
        <v>432.5</v>
      </c>
      <c r="I1162" s="19"/>
    </row>
    <row r="1163" spans="1:9" x14ac:dyDescent="0.25">
      <c r="A1163" s="14" t="s">
        <v>1419</v>
      </c>
      <c r="B1163" s="15"/>
      <c r="C1163" s="15"/>
      <c r="D1163" s="15"/>
      <c r="E1163" s="3">
        <v>236535.79</v>
      </c>
      <c r="F1163" s="5"/>
      <c r="G1163" s="3">
        <v>316433.19</v>
      </c>
      <c r="H1163" s="18">
        <v>552968.98</v>
      </c>
      <c r="I1163" s="19"/>
    </row>
    <row r="1164" spans="1:9" x14ac:dyDescent="0.25">
      <c r="A1164" s="14" t="s">
        <v>1420</v>
      </c>
      <c r="B1164" s="15"/>
      <c r="C1164" s="15"/>
      <c r="D1164" s="15"/>
      <c r="E1164" s="3">
        <v>72497.67</v>
      </c>
      <c r="F1164" s="5"/>
      <c r="G1164" s="3">
        <v>72497.73</v>
      </c>
      <c r="H1164" s="18">
        <v>144995.4</v>
      </c>
      <c r="I1164" s="19"/>
    </row>
    <row r="1165" spans="1:9" x14ac:dyDescent="0.25">
      <c r="A1165" s="14" t="s">
        <v>1421</v>
      </c>
      <c r="B1165" s="15"/>
      <c r="C1165" s="15"/>
      <c r="D1165" s="15"/>
      <c r="E1165" s="3">
        <v>21294.74</v>
      </c>
      <c r="F1165" s="5"/>
      <c r="G1165" s="3">
        <v>21294.73</v>
      </c>
      <c r="H1165" s="18">
        <v>42589.47</v>
      </c>
      <c r="I1165" s="19"/>
    </row>
    <row r="1166" spans="1:9" x14ac:dyDescent="0.25">
      <c r="A1166" s="14" t="s">
        <v>1422</v>
      </c>
      <c r="B1166" s="15"/>
      <c r="C1166" s="15"/>
      <c r="D1166" s="15"/>
      <c r="E1166" s="3">
        <v>13230.04</v>
      </c>
      <c r="F1166" s="5"/>
      <c r="G1166" s="3">
        <v>13230.04</v>
      </c>
      <c r="H1166" s="18">
        <v>26460.080000000002</v>
      </c>
      <c r="I1166" s="19"/>
    </row>
    <row r="1167" spans="1:9" x14ac:dyDescent="0.25">
      <c r="A1167" s="14" t="s">
        <v>1423</v>
      </c>
      <c r="B1167" s="15"/>
      <c r="C1167" s="15"/>
      <c r="D1167" s="15"/>
      <c r="E1167" s="3">
        <v>9445.32</v>
      </c>
      <c r="F1167" s="5"/>
      <c r="G1167" s="3">
        <v>9445.32</v>
      </c>
      <c r="H1167" s="18">
        <v>18890.64</v>
      </c>
      <c r="I1167" s="19"/>
    </row>
    <row r="1168" spans="1:9" x14ac:dyDescent="0.25">
      <c r="A1168" s="14" t="s">
        <v>1424</v>
      </c>
      <c r="B1168" s="15"/>
      <c r="C1168" s="15"/>
      <c r="D1168" s="15"/>
      <c r="E1168" s="3">
        <v>14249.57</v>
      </c>
      <c r="F1168" s="5"/>
      <c r="G1168" s="3">
        <v>14249.57</v>
      </c>
      <c r="H1168" s="18">
        <v>28499.14</v>
      </c>
      <c r="I1168" s="19"/>
    </row>
    <row r="1169" spans="1:9" x14ac:dyDescent="0.25">
      <c r="A1169" s="14" t="s">
        <v>1425</v>
      </c>
      <c r="B1169" s="15"/>
      <c r="C1169" s="15"/>
      <c r="D1169" s="15"/>
      <c r="E1169" s="3">
        <v>8188.18</v>
      </c>
      <c r="F1169" s="3">
        <v>7957.36</v>
      </c>
      <c r="G1169" s="3">
        <v>8188.17</v>
      </c>
      <c r="H1169" s="18">
        <v>24333.71</v>
      </c>
      <c r="I1169" s="19"/>
    </row>
    <row r="1170" spans="1:9" x14ac:dyDescent="0.25">
      <c r="A1170" s="14" t="s">
        <v>1426</v>
      </c>
      <c r="B1170" s="15"/>
      <c r="C1170" s="15"/>
      <c r="D1170" s="15"/>
      <c r="E1170" s="3">
        <v>3443.12</v>
      </c>
      <c r="F1170" s="5"/>
      <c r="G1170" s="3">
        <v>3443.12</v>
      </c>
      <c r="H1170" s="18">
        <v>6886.24</v>
      </c>
      <c r="I1170" s="19"/>
    </row>
    <row r="1171" spans="1:9" x14ac:dyDescent="0.25">
      <c r="A1171" s="14" t="s">
        <v>1427</v>
      </c>
      <c r="B1171" s="15"/>
      <c r="C1171" s="15"/>
      <c r="D1171" s="15"/>
      <c r="E1171" s="3">
        <v>3484.64</v>
      </c>
      <c r="F1171" s="4" t="s">
        <v>1428</v>
      </c>
      <c r="G1171" s="4" t="s">
        <v>1429</v>
      </c>
      <c r="H1171" s="20" t="s">
        <v>1430</v>
      </c>
      <c r="I1171" s="21"/>
    </row>
    <row r="1172" spans="1:9" x14ac:dyDescent="0.25">
      <c r="A1172" s="14" t="s">
        <v>1431</v>
      </c>
      <c r="B1172" s="15"/>
      <c r="C1172" s="15"/>
      <c r="D1172" s="15"/>
      <c r="E1172" s="3">
        <v>10505.09</v>
      </c>
      <c r="F1172" s="3">
        <v>6678.43</v>
      </c>
      <c r="G1172" s="3">
        <v>1399.11</v>
      </c>
      <c r="H1172" s="18">
        <v>18582.63</v>
      </c>
      <c r="I1172" s="19"/>
    </row>
    <row r="1173" spans="1:9" x14ac:dyDescent="0.25">
      <c r="A1173" s="14" t="s">
        <v>1432</v>
      </c>
      <c r="B1173" s="15"/>
      <c r="C1173" s="15"/>
      <c r="D1173" s="15"/>
      <c r="E1173" s="3">
        <v>5283.67</v>
      </c>
      <c r="F1173" s="3">
        <v>444.8</v>
      </c>
      <c r="G1173" s="3">
        <v>1648.31</v>
      </c>
      <c r="H1173" s="18">
        <v>7376.78</v>
      </c>
      <c r="I1173" s="19"/>
    </row>
    <row r="1174" spans="1:9" x14ac:dyDescent="0.25">
      <c r="A1174" s="14" t="s">
        <v>1433</v>
      </c>
      <c r="B1174" s="15"/>
      <c r="C1174" s="15"/>
      <c r="D1174" s="15"/>
      <c r="E1174" s="3">
        <v>31458.33</v>
      </c>
      <c r="F1174" s="3">
        <v>40656.11</v>
      </c>
      <c r="G1174" s="3">
        <v>9813.7199999999993</v>
      </c>
      <c r="H1174" s="18">
        <v>81928.160000000003</v>
      </c>
      <c r="I1174" s="19"/>
    </row>
    <row r="1175" spans="1:9" x14ac:dyDescent="0.25">
      <c r="A1175" s="14" t="s">
        <v>1434</v>
      </c>
      <c r="B1175" s="15"/>
      <c r="C1175" s="15"/>
      <c r="D1175" s="15"/>
      <c r="E1175" s="3">
        <v>108101.78</v>
      </c>
      <c r="F1175" s="3">
        <v>21013.18</v>
      </c>
      <c r="G1175" s="3">
        <v>33723.440000000002</v>
      </c>
      <c r="H1175" s="18">
        <v>162838.39999999999</v>
      </c>
      <c r="I1175" s="19"/>
    </row>
    <row r="1176" spans="1:9" x14ac:dyDescent="0.25">
      <c r="A1176" s="14" t="s">
        <v>1435</v>
      </c>
      <c r="B1176" s="15"/>
      <c r="C1176" s="15"/>
      <c r="D1176" s="15"/>
      <c r="E1176" s="3">
        <v>352870.24</v>
      </c>
      <c r="F1176" s="3">
        <v>444300.49</v>
      </c>
      <c r="G1176" s="3">
        <v>652931.31999999995</v>
      </c>
      <c r="H1176" s="18">
        <v>1450102.05</v>
      </c>
      <c r="I1176" s="19"/>
    </row>
    <row r="1177" spans="1:9" x14ac:dyDescent="0.25">
      <c r="A1177" s="14" t="s">
        <v>1436</v>
      </c>
      <c r="B1177" s="15"/>
      <c r="C1177" s="15"/>
      <c r="D1177" s="15"/>
      <c r="E1177" s="4" t="s">
        <v>1437</v>
      </c>
      <c r="F1177" s="4" t="s">
        <v>1438</v>
      </c>
      <c r="G1177" s="4" t="s">
        <v>1439</v>
      </c>
      <c r="H1177" s="20" t="s">
        <v>1440</v>
      </c>
      <c r="I1177" s="21"/>
    </row>
    <row r="1178" spans="1:9" x14ac:dyDescent="0.25">
      <c r="A1178" s="14" t="s">
        <v>1441</v>
      </c>
      <c r="B1178" s="15"/>
      <c r="C1178" s="15"/>
      <c r="D1178" s="15"/>
      <c r="E1178" s="3">
        <v>16039.64</v>
      </c>
      <c r="F1178" s="3">
        <v>549.61</v>
      </c>
      <c r="G1178" s="3">
        <v>5003.7299999999996</v>
      </c>
      <c r="H1178" s="18">
        <v>21592.98</v>
      </c>
      <c r="I1178" s="19"/>
    </row>
    <row r="1179" spans="1:9" x14ac:dyDescent="0.25">
      <c r="A1179" s="14" t="s">
        <v>1442</v>
      </c>
      <c r="B1179" s="15"/>
      <c r="C1179" s="15"/>
      <c r="D1179" s="15"/>
      <c r="E1179" s="3">
        <v>885</v>
      </c>
      <c r="F1179" s="5"/>
      <c r="G1179" s="3">
        <v>276.13</v>
      </c>
      <c r="H1179" s="18">
        <v>1161.1300000000001</v>
      </c>
      <c r="I1179" s="19"/>
    </row>
    <row r="1180" spans="1:9" x14ac:dyDescent="0.25">
      <c r="A1180" s="14" t="s">
        <v>1443</v>
      </c>
      <c r="B1180" s="15"/>
      <c r="C1180" s="15"/>
      <c r="D1180" s="15"/>
      <c r="E1180" s="3">
        <v>89232.05</v>
      </c>
      <c r="F1180" s="5"/>
      <c r="G1180" s="3">
        <v>27836.81</v>
      </c>
      <c r="H1180" s="18">
        <v>117068.86</v>
      </c>
      <c r="I1180" s="19"/>
    </row>
    <row r="1181" spans="1:9" x14ac:dyDescent="0.25">
      <c r="A1181" s="14" t="s">
        <v>1444</v>
      </c>
      <c r="B1181" s="15"/>
      <c r="C1181" s="15"/>
      <c r="D1181" s="15"/>
      <c r="E1181" s="3">
        <v>126547.74</v>
      </c>
      <c r="F1181" s="5"/>
      <c r="G1181" s="3">
        <v>39477.760000000002</v>
      </c>
      <c r="H1181" s="18">
        <v>166025.5</v>
      </c>
      <c r="I1181" s="19"/>
    </row>
    <row r="1182" spans="1:9" x14ac:dyDescent="0.25">
      <c r="A1182" s="14" t="s">
        <v>1445</v>
      </c>
      <c r="B1182" s="15"/>
      <c r="C1182" s="15"/>
      <c r="D1182" s="15"/>
      <c r="E1182" s="3">
        <v>60012.03</v>
      </c>
      <c r="F1182" s="3">
        <v>552.9</v>
      </c>
      <c r="G1182" s="3">
        <v>18721.310000000001</v>
      </c>
      <c r="H1182" s="18">
        <v>79286.240000000005</v>
      </c>
      <c r="I1182" s="19"/>
    </row>
    <row r="1183" spans="1:9" x14ac:dyDescent="0.25">
      <c r="A1183" s="14" t="s">
        <v>1446</v>
      </c>
      <c r="B1183" s="15"/>
      <c r="C1183" s="15"/>
      <c r="D1183" s="15"/>
      <c r="E1183" s="3">
        <v>6664.57</v>
      </c>
      <c r="F1183" s="5"/>
      <c r="G1183" s="3">
        <v>2079.09</v>
      </c>
      <c r="H1183" s="18">
        <v>8743.66</v>
      </c>
      <c r="I1183" s="19"/>
    </row>
    <row r="1184" spans="1:9" x14ac:dyDescent="0.25">
      <c r="A1184" s="14" t="s">
        <v>1447</v>
      </c>
      <c r="B1184" s="15"/>
      <c r="C1184" s="15"/>
      <c r="D1184" s="15"/>
      <c r="E1184" s="4" t="s">
        <v>1448</v>
      </c>
      <c r="F1184" s="3">
        <v>4264.49</v>
      </c>
      <c r="G1184" s="4" t="s">
        <v>1449</v>
      </c>
      <c r="H1184" s="20" t="s">
        <v>1450</v>
      </c>
      <c r="I1184" s="21"/>
    </row>
    <row r="1185" spans="1:9" x14ac:dyDescent="0.25">
      <c r="A1185" s="14" t="s">
        <v>1451</v>
      </c>
      <c r="B1185" s="15"/>
      <c r="C1185" s="15"/>
      <c r="D1185" s="15"/>
      <c r="E1185" s="3">
        <v>2564.08</v>
      </c>
      <c r="F1185" s="5"/>
      <c r="G1185" s="3">
        <v>60.86</v>
      </c>
      <c r="H1185" s="18">
        <v>2624.94</v>
      </c>
      <c r="I1185" s="19"/>
    </row>
    <row r="1186" spans="1:9" x14ac:dyDescent="0.25">
      <c r="A1186" s="14" t="s">
        <v>1452</v>
      </c>
      <c r="B1186" s="15"/>
      <c r="C1186" s="15"/>
      <c r="D1186" s="15"/>
      <c r="E1186" s="3">
        <v>532.84</v>
      </c>
      <c r="F1186" s="5"/>
      <c r="G1186" s="3">
        <v>12.64</v>
      </c>
      <c r="H1186" s="18">
        <v>545.48</v>
      </c>
      <c r="I1186" s="19"/>
    </row>
    <row r="1187" spans="1:9" x14ac:dyDescent="0.25">
      <c r="A1187" s="14" t="s">
        <v>1453</v>
      </c>
      <c r="B1187" s="15"/>
      <c r="C1187" s="15"/>
      <c r="D1187" s="15"/>
      <c r="E1187" s="3">
        <v>1067.28</v>
      </c>
      <c r="F1187" s="5"/>
      <c r="G1187" s="3">
        <v>25.33</v>
      </c>
      <c r="H1187" s="18">
        <v>1092.6099999999999</v>
      </c>
      <c r="I1187" s="19"/>
    </row>
    <row r="1188" spans="1:9" x14ac:dyDescent="0.25">
      <c r="A1188" s="14" t="s">
        <v>1454</v>
      </c>
      <c r="B1188" s="15"/>
      <c r="C1188" s="15"/>
      <c r="D1188" s="15"/>
      <c r="E1188" s="3">
        <v>1357.27</v>
      </c>
      <c r="F1188" s="5"/>
      <c r="G1188" s="3">
        <v>32.22</v>
      </c>
      <c r="H1188" s="18">
        <v>1389.49</v>
      </c>
      <c r="I1188" s="19"/>
    </row>
    <row r="1189" spans="1:9" x14ac:dyDescent="0.25">
      <c r="A1189" s="14" t="s">
        <v>1455</v>
      </c>
      <c r="B1189" s="15"/>
      <c r="C1189" s="15"/>
      <c r="D1189" s="15"/>
      <c r="E1189" s="3">
        <v>478197.46</v>
      </c>
      <c r="F1189" s="3">
        <v>558210.13</v>
      </c>
      <c r="G1189" s="3">
        <v>496987.01</v>
      </c>
      <c r="H1189" s="18">
        <v>1533394.6</v>
      </c>
      <c r="I1189" s="19"/>
    </row>
    <row r="1190" spans="1:9" x14ac:dyDescent="0.25">
      <c r="A1190" s="14" t="s">
        <v>1456</v>
      </c>
      <c r="B1190" s="15"/>
      <c r="C1190" s="15"/>
      <c r="D1190" s="15"/>
      <c r="E1190" s="3">
        <v>708.3</v>
      </c>
      <c r="F1190" s="3">
        <v>57.75</v>
      </c>
      <c r="G1190" s="3">
        <v>667.32</v>
      </c>
      <c r="H1190" s="18">
        <v>1433.37</v>
      </c>
      <c r="I1190" s="19"/>
    </row>
    <row r="1191" spans="1:9" x14ac:dyDescent="0.25">
      <c r="A1191" s="14" t="s">
        <v>1457</v>
      </c>
      <c r="B1191" s="15"/>
      <c r="C1191" s="15"/>
      <c r="D1191" s="15"/>
      <c r="E1191" s="3">
        <v>28194.84</v>
      </c>
      <c r="F1191" s="3">
        <v>288.75</v>
      </c>
      <c r="G1191" s="3">
        <v>170730.95</v>
      </c>
      <c r="H1191" s="18">
        <v>199214.54</v>
      </c>
      <c r="I1191" s="19"/>
    </row>
    <row r="1192" spans="1:9" x14ac:dyDescent="0.25">
      <c r="A1192" s="14" t="s">
        <v>1458</v>
      </c>
      <c r="B1192" s="15"/>
      <c r="C1192" s="15"/>
      <c r="D1192" s="15"/>
      <c r="E1192" s="3">
        <v>15198.22</v>
      </c>
      <c r="F1192" s="5"/>
      <c r="G1192" s="3">
        <v>15198.22</v>
      </c>
      <c r="H1192" s="18">
        <v>30396.44</v>
      </c>
      <c r="I1192" s="19"/>
    </row>
    <row r="1193" spans="1:9" x14ac:dyDescent="0.25">
      <c r="A1193" s="14" t="s">
        <v>1459</v>
      </c>
      <c r="B1193" s="15"/>
      <c r="C1193" s="15"/>
      <c r="D1193" s="15"/>
      <c r="E1193" s="3">
        <v>45739.43</v>
      </c>
      <c r="F1193" s="3">
        <v>9046.81</v>
      </c>
      <c r="G1193" s="3">
        <v>63386.75</v>
      </c>
      <c r="H1193" s="18">
        <v>118172.99</v>
      </c>
      <c r="I1193" s="19"/>
    </row>
    <row r="1194" spans="1:9" x14ac:dyDescent="0.25">
      <c r="A1194" s="14" t="s">
        <v>1460</v>
      </c>
      <c r="B1194" s="15"/>
      <c r="C1194" s="15"/>
      <c r="D1194" s="15"/>
      <c r="E1194" s="3">
        <v>227047.18</v>
      </c>
      <c r="F1194" s="3">
        <v>345799.56</v>
      </c>
      <c r="G1194" s="3">
        <v>255266.34</v>
      </c>
      <c r="H1194" s="18">
        <v>828113.08</v>
      </c>
      <c r="I1194" s="19"/>
    </row>
    <row r="1195" spans="1:9" x14ac:dyDescent="0.25">
      <c r="A1195" s="14" t="s">
        <v>1461</v>
      </c>
      <c r="B1195" s="15"/>
      <c r="C1195" s="15"/>
      <c r="D1195" s="15"/>
      <c r="E1195" s="3">
        <v>160324.14000000001</v>
      </c>
      <c r="F1195" s="3">
        <v>211312.95</v>
      </c>
      <c r="G1195" s="3">
        <v>259168.17</v>
      </c>
      <c r="H1195" s="18">
        <v>630805.26</v>
      </c>
      <c r="I1195" s="19"/>
    </row>
    <row r="1196" spans="1:9" x14ac:dyDescent="0.25">
      <c r="A1196" s="14" t="s">
        <v>1462</v>
      </c>
      <c r="B1196" s="15"/>
      <c r="C1196" s="15"/>
      <c r="D1196" s="15"/>
      <c r="E1196" s="3">
        <v>23215.59</v>
      </c>
      <c r="F1196" s="3">
        <v>34703.26</v>
      </c>
      <c r="G1196" s="3">
        <v>36787.22</v>
      </c>
      <c r="H1196" s="18">
        <v>94706.07</v>
      </c>
      <c r="I1196" s="19"/>
    </row>
    <row r="1197" spans="1:9" x14ac:dyDescent="0.25">
      <c r="A1197" s="14" t="s">
        <v>1463</v>
      </c>
      <c r="B1197" s="15"/>
      <c r="C1197" s="15"/>
      <c r="D1197" s="15"/>
      <c r="E1197" s="3">
        <v>12144.8</v>
      </c>
      <c r="F1197" s="5"/>
      <c r="G1197" s="3">
        <v>3788.69</v>
      </c>
      <c r="H1197" s="18">
        <v>15933.49</v>
      </c>
      <c r="I1197" s="19"/>
    </row>
    <row r="1198" spans="1:9" x14ac:dyDescent="0.25">
      <c r="A1198" s="14" t="s">
        <v>1464</v>
      </c>
      <c r="B1198" s="15"/>
      <c r="C1198" s="15"/>
      <c r="D1198" s="15"/>
      <c r="E1198" s="3">
        <v>6011.92</v>
      </c>
      <c r="F1198" s="5"/>
      <c r="G1198" s="3">
        <v>1875.5</v>
      </c>
      <c r="H1198" s="18">
        <v>7887.42</v>
      </c>
      <c r="I1198" s="19"/>
    </row>
    <row r="1199" spans="1:9" x14ac:dyDescent="0.25">
      <c r="A1199" s="14" t="s">
        <v>1465</v>
      </c>
      <c r="B1199" s="15"/>
      <c r="C1199" s="15"/>
      <c r="D1199" s="15"/>
      <c r="E1199" s="3">
        <v>5071.62</v>
      </c>
      <c r="F1199" s="5"/>
      <c r="G1199" s="3">
        <v>1582.12</v>
      </c>
      <c r="H1199" s="18">
        <v>6653.74</v>
      </c>
      <c r="I1199" s="19"/>
    </row>
    <row r="1200" spans="1:9" x14ac:dyDescent="0.25">
      <c r="A1200" s="14" t="s">
        <v>1466</v>
      </c>
      <c r="B1200" s="15"/>
      <c r="C1200" s="15"/>
      <c r="D1200" s="15"/>
      <c r="E1200" s="3">
        <v>15010.01</v>
      </c>
      <c r="F1200" s="5"/>
      <c r="G1200" s="3">
        <v>4682.55</v>
      </c>
      <c r="H1200" s="18">
        <v>19692.560000000001</v>
      </c>
      <c r="I1200" s="19"/>
    </row>
    <row r="1201" spans="1:9" x14ac:dyDescent="0.25">
      <c r="A1201" s="14" t="s">
        <v>1467</v>
      </c>
      <c r="B1201" s="15"/>
      <c r="C1201" s="15"/>
      <c r="D1201" s="15"/>
      <c r="E1201" s="3">
        <v>3661.93</v>
      </c>
      <c r="F1201" s="5"/>
      <c r="G1201" s="3">
        <v>1142.3800000000001</v>
      </c>
      <c r="H1201" s="18">
        <v>4804.3100000000004</v>
      </c>
      <c r="I1201" s="19"/>
    </row>
    <row r="1202" spans="1:9" x14ac:dyDescent="0.25">
      <c r="A1202" s="14" t="s">
        <v>1468</v>
      </c>
      <c r="B1202" s="15"/>
      <c r="C1202" s="15"/>
      <c r="D1202" s="15"/>
      <c r="E1202" s="3">
        <v>8769.99</v>
      </c>
      <c r="F1202" s="3">
        <v>66302.600000000006</v>
      </c>
      <c r="G1202" s="3">
        <v>22509.63</v>
      </c>
      <c r="H1202" s="18">
        <v>97582.22</v>
      </c>
      <c r="I1202" s="19"/>
    </row>
    <row r="1203" spans="1:9" x14ac:dyDescent="0.25">
      <c r="A1203" s="14" t="s">
        <v>1469</v>
      </c>
      <c r="B1203" s="15"/>
      <c r="C1203" s="15"/>
      <c r="D1203" s="15"/>
      <c r="E1203" s="3">
        <v>13525.76</v>
      </c>
      <c r="F1203" s="5"/>
      <c r="G1203" s="3">
        <v>14619.33</v>
      </c>
      <c r="H1203" s="18">
        <v>28145.09</v>
      </c>
      <c r="I1203" s="19"/>
    </row>
    <row r="1204" spans="1:9" x14ac:dyDescent="0.25">
      <c r="A1204" s="14" t="s">
        <v>1470</v>
      </c>
      <c r="B1204" s="15"/>
      <c r="C1204" s="15"/>
      <c r="D1204" s="15"/>
      <c r="E1204" s="3">
        <v>9423.36</v>
      </c>
      <c r="F1204" s="5"/>
      <c r="G1204" s="3">
        <v>14657.55</v>
      </c>
      <c r="H1204" s="18">
        <v>24080.91</v>
      </c>
      <c r="I1204" s="19"/>
    </row>
    <row r="1205" spans="1:9" x14ac:dyDescent="0.25">
      <c r="A1205" s="14" t="s">
        <v>1471</v>
      </c>
      <c r="B1205" s="15"/>
      <c r="C1205" s="15"/>
      <c r="D1205" s="15"/>
      <c r="E1205" s="3">
        <v>18217.419999999998</v>
      </c>
      <c r="F1205" s="3">
        <v>15319.11</v>
      </c>
      <c r="G1205" s="3">
        <v>10552.15</v>
      </c>
      <c r="H1205" s="18">
        <v>44088.68</v>
      </c>
      <c r="I1205" s="19"/>
    </row>
    <row r="1206" spans="1:9" x14ac:dyDescent="0.25">
      <c r="A1206" s="14" t="s">
        <v>1472</v>
      </c>
      <c r="B1206" s="15"/>
      <c r="C1206" s="15"/>
      <c r="D1206" s="15"/>
      <c r="E1206" s="3">
        <v>15076.86</v>
      </c>
      <c r="F1206" s="3">
        <v>12678.14</v>
      </c>
      <c r="G1206" s="3">
        <v>8410.39</v>
      </c>
      <c r="H1206" s="18">
        <v>36165.39</v>
      </c>
      <c r="I1206" s="19"/>
    </row>
    <row r="1207" spans="1:9" x14ac:dyDescent="0.25">
      <c r="A1207" s="14" t="s">
        <v>1473</v>
      </c>
      <c r="B1207" s="15"/>
      <c r="C1207" s="15"/>
      <c r="D1207" s="15"/>
      <c r="E1207" s="3">
        <v>14342.36</v>
      </c>
      <c r="F1207" s="3">
        <v>12060.55</v>
      </c>
      <c r="G1207" s="3">
        <v>8000.75</v>
      </c>
      <c r="H1207" s="18">
        <v>34403.660000000003</v>
      </c>
      <c r="I1207" s="19"/>
    </row>
    <row r="1208" spans="1:9" x14ac:dyDescent="0.25">
      <c r="A1208" s="14" t="s">
        <v>1474</v>
      </c>
      <c r="B1208" s="15"/>
      <c r="C1208" s="15"/>
      <c r="D1208" s="15"/>
      <c r="E1208" s="3">
        <v>7735.39</v>
      </c>
      <c r="F1208" s="3">
        <v>6504.72</v>
      </c>
      <c r="G1208" s="3">
        <v>4315.09</v>
      </c>
      <c r="H1208" s="18">
        <v>18555.2</v>
      </c>
      <c r="I1208" s="19"/>
    </row>
    <row r="1209" spans="1:9" x14ac:dyDescent="0.25">
      <c r="A1209" s="14" t="s">
        <v>1475</v>
      </c>
      <c r="B1209" s="15"/>
      <c r="C1209" s="15"/>
      <c r="D1209" s="15"/>
      <c r="E1209" s="3">
        <v>7765.94</v>
      </c>
      <c r="F1209" s="3">
        <v>6565.77</v>
      </c>
      <c r="G1209" s="3">
        <v>7780.94</v>
      </c>
      <c r="H1209" s="18">
        <v>22112.65</v>
      </c>
      <c r="I1209" s="19"/>
    </row>
    <row r="1210" spans="1:9" x14ac:dyDescent="0.25">
      <c r="A1210" s="14" t="s">
        <v>1476</v>
      </c>
      <c r="B1210" s="15"/>
      <c r="C1210" s="15"/>
      <c r="D1210" s="15"/>
      <c r="E1210" s="3">
        <v>1834</v>
      </c>
      <c r="F1210" s="5"/>
      <c r="G1210" s="3">
        <v>1837.53</v>
      </c>
      <c r="H1210" s="18">
        <v>3671.53</v>
      </c>
      <c r="I1210" s="19"/>
    </row>
    <row r="1211" spans="1:9" x14ac:dyDescent="0.25">
      <c r="A1211" s="14" t="s">
        <v>1477</v>
      </c>
      <c r="B1211" s="15"/>
      <c r="C1211" s="15"/>
      <c r="D1211" s="15"/>
      <c r="E1211" s="3">
        <v>1861.79</v>
      </c>
      <c r="F1211" s="5"/>
      <c r="G1211" s="3">
        <v>1865.38</v>
      </c>
      <c r="H1211" s="18">
        <v>3727.17</v>
      </c>
      <c r="I1211" s="19"/>
    </row>
    <row r="1212" spans="1:9" x14ac:dyDescent="0.25">
      <c r="A1212" s="14" t="s">
        <v>1478</v>
      </c>
      <c r="B1212" s="15"/>
      <c r="C1212" s="15"/>
      <c r="D1212" s="15"/>
      <c r="E1212" s="3">
        <v>93.91</v>
      </c>
      <c r="F1212" s="5"/>
      <c r="G1212" s="3">
        <v>48.26</v>
      </c>
      <c r="H1212" s="18">
        <v>142.16999999999999</v>
      </c>
      <c r="I1212" s="19"/>
    </row>
    <row r="1213" spans="1:9" x14ac:dyDescent="0.25">
      <c r="A1213" s="14" t="s">
        <v>1479</v>
      </c>
      <c r="B1213" s="15"/>
      <c r="C1213" s="15"/>
      <c r="D1213" s="15"/>
      <c r="E1213" s="3">
        <v>17146.86</v>
      </c>
      <c r="F1213" s="5"/>
      <c r="G1213" s="3">
        <v>8805.76</v>
      </c>
      <c r="H1213" s="18">
        <v>25952.62</v>
      </c>
      <c r="I1213" s="19"/>
    </row>
    <row r="1214" spans="1:9" x14ac:dyDescent="0.25">
      <c r="A1214" s="14" t="s">
        <v>1480</v>
      </c>
      <c r="B1214" s="15"/>
      <c r="C1214" s="15"/>
      <c r="D1214" s="15"/>
      <c r="E1214" s="3">
        <v>17146.86</v>
      </c>
      <c r="F1214" s="5"/>
      <c r="G1214" s="3">
        <v>8805.76</v>
      </c>
      <c r="H1214" s="18">
        <v>25952.62</v>
      </c>
      <c r="I1214" s="19"/>
    </row>
    <row r="1215" spans="1:9" x14ac:dyDescent="0.25">
      <c r="A1215" s="14" t="s">
        <v>1481</v>
      </c>
      <c r="B1215" s="15"/>
      <c r="C1215" s="15"/>
      <c r="D1215" s="15"/>
      <c r="E1215" s="4" t="s">
        <v>1482</v>
      </c>
      <c r="F1215" s="3">
        <v>67482.399999999994</v>
      </c>
      <c r="G1215" s="4" t="s">
        <v>1483</v>
      </c>
      <c r="H1215" s="20" t="s">
        <v>1484</v>
      </c>
      <c r="I1215" s="21"/>
    </row>
    <row r="1216" spans="1:9" x14ac:dyDescent="0.25">
      <c r="A1216" s="14" t="s">
        <v>1485</v>
      </c>
      <c r="B1216" s="15"/>
      <c r="C1216" s="15"/>
      <c r="D1216" s="15"/>
      <c r="E1216" s="3">
        <v>9425.64</v>
      </c>
      <c r="F1216" s="5"/>
      <c r="G1216" s="3">
        <v>4840.46</v>
      </c>
      <c r="H1216" s="18">
        <v>14266.1</v>
      </c>
      <c r="I1216" s="19"/>
    </row>
    <row r="1217" spans="1:9" x14ac:dyDescent="0.25">
      <c r="A1217" s="14" t="s">
        <v>1486</v>
      </c>
      <c r="B1217" s="15"/>
      <c r="C1217" s="15"/>
      <c r="D1217" s="15"/>
      <c r="E1217" s="3">
        <v>1682.76</v>
      </c>
      <c r="F1217" s="5"/>
      <c r="G1217" s="3">
        <v>864.17</v>
      </c>
      <c r="H1217" s="18">
        <v>2546.9299999999998</v>
      </c>
      <c r="I1217" s="19"/>
    </row>
    <row r="1218" spans="1:9" x14ac:dyDescent="0.25">
      <c r="A1218" s="14" t="s">
        <v>1487</v>
      </c>
      <c r="B1218" s="15"/>
      <c r="C1218" s="15"/>
      <c r="D1218" s="15"/>
      <c r="E1218" s="3">
        <v>2416.63</v>
      </c>
      <c r="F1218" s="5"/>
      <c r="G1218" s="3">
        <v>1241.05</v>
      </c>
      <c r="H1218" s="18">
        <v>3657.68</v>
      </c>
      <c r="I1218" s="19"/>
    </row>
    <row r="1219" spans="1:9" x14ac:dyDescent="0.25">
      <c r="A1219" s="14" t="s">
        <v>1488</v>
      </c>
      <c r="B1219" s="15"/>
      <c r="C1219" s="15"/>
      <c r="D1219" s="15"/>
      <c r="E1219" s="3">
        <v>2662.92</v>
      </c>
      <c r="F1219" s="5"/>
      <c r="G1219" s="3">
        <v>1367.55</v>
      </c>
      <c r="H1219" s="18">
        <v>4030.47</v>
      </c>
      <c r="I1219" s="19"/>
    </row>
    <row r="1220" spans="1:9" x14ac:dyDescent="0.25">
      <c r="A1220" s="14" t="s">
        <v>1489</v>
      </c>
      <c r="B1220" s="15"/>
      <c r="C1220" s="15"/>
      <c r="D1220" s="15"/>
      <c r="E1220" s="3">
        <v>341.06</v>
      </c>
      <c r="F1220" s="5"/>
      <c r="G1220" s="3">
        <v>175.1</v>
      </c>
      <c r="H1220" s="18">
        <v>516.16</v>
      </c>
      <c r="I1220" s="19"/>
    </row>
    <row r="1221" spans="1:9" x14ac:dyDescent="0.25">
      <c r="A1221" s="14" t="s">
        <v>1490</v>
      </c>
      <c r="B1221" s="15"/>
      <c r="C1221" s="15"/>
      <c r="D1221" s="15"/>
      <c r="E1221" s="3">
        <v>71706.3</v>
      </c>
      <c r="F1221" s="5"/>
      <c r="G1221" s="3">
        <v>57259.5</v>
      </c>
      <c r="H1221" s="18">
        <v>128965.8</v>
      </c>
      <c r="I1221" s="19"/>
    </row>
    <row r="1222" spans="1:9" x14ac:dyDescent="0.25">
      <c r="A1222" s="14" t="s">
        <v>1491</v>
      </c>
      <c r="B1222" s="15"/>
      <c r="C1222" s="15"/>
      <c r="D1222" s="15"/>
      <c r="E1222" s="3">
        <v>4710.51</v>
      </c>
      <c r="F1222" s="5"/>
      <c r="G1222" s="3">
        <v>2419.1</v>
      </c>
      <c r="H1222" s="18">
        <v>7129.61</v>
      </c>
      <c r="I1222" s="19"/>
    </row>
    <row r="1223" spans="1:9" x14ac:dyDescent="0.25">
      <c r="A1223" s="14" t="s">
        <v>1492</v>
      </c>
      <c r="B1223" s="15"/>
      <c r="C1223" s="15"/>
      <c r="D1223" s="15"/>
      <c r="E1223" s="3">
        <v>17777.39</v>
      </c>
      <c r="F1223" s="5"/>
      <c r="G1223" s="3">
        <v>9129.51</v>
      </c>
      <c r="H1223" s="18">
        <v>26906.9</v>
      </c>
      <c r="I1223" s="19"/>
    </row>
    <row r="1224" spans="1:9" x14ac:dyDescent="0.25">
      <c r="A1224" s="14" t="s">
        <v>1493</v>
      </c>
      <c r="B1224" s="15"/>
      <c r="C1224" s="15"/>
      <c r="D1224" s="15"/>
      <c r="E1224" s="3">
        <v>62437.760000000002</v>
      </c>
      <c r="F1224" s="5"/>
      <c r="G1224" s="3">
        <v>32064.71</v>
      </c>
      <c r="H1224" s="18">
        <v>94502.47</v>
      </c>
      <c r="I1224" s="19"/>
    </row>
    <row r="1225" spans="1:9" x14ac:dyDescent="0.25">
      <c r="A1225" s="14" t="s">
        <v>1494</v>
      </c>
      <c r="B1225" s="15"/>
      <c r="C1225" s="15"/>
      <c r="D1225" s="15"/>
      <c r="E1225" s="3">
        <v>5888.64</v>
      </c>
      <c r="F1225" s="5"/>
      <c r="G1225" s="3">
        <v>3024.12</v>
      </c>
      <c r="H1225" s="18">
        <v>8912.76</v>
      </c>
      <c r="I1225" s="19"/>
    </row>
    <row r="1226" spans="1:9" x14ac:dyDescent="0.25">
      <c r="A1226" s="14" t="s">
        <v>1495</v>
      </c>
      <c r="B1226" s="15"/>
      <c r="C1226" s="15"/>
      <c r="D1226" s="15"/>
      <c r="E1226" s="3">
        <v>7758.11</v>
      </c>
      <c r="F1226" s="5"/>
      <c r="G1226" s="3">
        <v>3984.14</v>
      </c>
      <c r="H1226" s="18">
        <v>11742.25</v>
      </c>
      <c r="I1226" s="19"/>
    </row>
    <row r="1227" spans="1:9" x14ac:dyDescent="0.25">
      <c r="A1227" s="14" t="s">
        <v>1496</v>
      </c>
      <c r="B1227" s="15"/>
      <c r="C1227" s="15"/>
      <c r="D1227" s="15"/>
      <c r="E1227" s="3">
        <v>10364.1</v>
      </c>
      <c r="F1227" s="5"/>
      <c r="G1227" s="3">
        <v>5322.44</v>
      </c>
      <c r="H1227" s="18">
        <v>15686.54</v>
      </c>
      <c r="I1227" s="19"/>
    </row>
    <row r="1228" spans="1:9" x14ac:dyDescent="0.25">
      <c r="A1228" s="14" t="s">
        <v>1497</v>
      </c>
      <c r="B1228" s="15"/>
      <c r="C1228" s="15"/>
      <c r="D1228" s="15"/>
      <c r="E1228" s="4" t="s">
        <v>1498</v>
      </c>
      <c r="F1228" s="5"/>
      <c r="G1228" s="5"/>
      <c r="H1228" s="20" t="s">
        <v>1498</v>
      </c>
      <c r="I1228" s="21"/>
    </row>
    <row r="1229" spans="1:9" x14ac:dyDescent="0.25">
      <c r="A1229" s="14" t="s">
        <v>1499</v>
      </c>
      <c r="B1229" s="15"/>
      <c r="C1229" s="15"/>
      <c r="D1229" s="15"/>
      <c r="E1229" s="3">
        <v>5531.43</v>
      </c>
      <c r="F1229" s="3">
        <v>10245.42</v>
      </c>
      <c r="G1229" s="3">
        <v>2840.67</v>
      </c>
      <c r="H1229" s="18">
        <v>18617.52</v>
      </c>
      <c r="I1229" s="19"/>
    </row>
    <row r="1230" spans="1:9" x14ac:dyDescent="0.25">
      <c r="A1230" s="14" t="s">
        <v>1500</v>
      </c>
      <c r="B1230" s="15"/>
      <c r="C1230" s="15"/>
      <c r="D1230" s="15"/>
      <c r="E1230" s="3">
        <v>334.60999999999899</v>
      </c>
      <c r="F1230" s="4" t="s">
        <v>1501</v>
      </c>
      <c r="G1230" s="3">
        <v>1892.42</v>
      </c>
      <c r="H1230" s="18">
        <v>1028.83</v>
      </c>
      <c r="I1230" s="19"/>
    </row>
    <row r="1231" spans="1:9" x14ac:dyDescent="0.25">
      <c r="A1231" s="14" t="s">
        <v>1502</v>
      </c>
      <c r="B1231" s="15"/>
      <c r="C1231" s="15"/>
      <c r="D1231" s="15"/>
      <c r="E1231" s="3">
        <v>2420.44</v>
      </c>
      <c r="F1231" s="5"/>
      <c r="G1231" s="3">
        <v>1243.02</v>
      </c>
      <c r="H1231" s="18">
        <v>3663.46</v>
      </c>
      <c r="I1231" s="19"/>
    </row>
    <row r="1232" spans="1:9" x14ac:dyDescent="0.25">
      <c r="A1232" s="14" t="s">
        <v>1503</v>
      </c>
      <c r="B1232" s="15"/>
      <c r="C1232" s="15"/>
      <c r="D1232" s="15"/>
      <c r="E1232" s="3">
        <v>8840.52</v>
      </c>
      <c r="F1232" s="5"/>
      <c r="G1232" s="3">
        <v>4539.99</v>
      </c>
      <c r="H1232" s="18">
        <v>13380.51</v>
      </c>
      <c r="I1232" s="19"/>
    </row>
    <row r="1233" spans="1:9" x14ac:dyDescent="0.25">
      <c r="A1233" s="14" t="s">
        <v>1504</v>
      </c>
      <c r="B1233" s="15"/>
      <c r="C1233" s="15"/>
      <c r="D1233" s="15"/>
      <c r="E1233" s="3">
        <v>1517.26</v>
      </c>
      <c r="F1233" s="5"/>
      <c r="G1233" s="3">
        <v>898.59</v>
      </c>
      <c r="H1233" s="18">
        <v>2415.85</v>
      </c>
      <c r="I1233" s="19"/>
    </row>
    <row r="1234" spans="1:9" x14ac:dyDescent="0.25">
      <c r="A1234" s="14" t="s">
        <v>1505</v>
      </c>
      <c r="B1234" s="15"/>
      <c r="C1234" s="15"/>
      <c r="D1234" s="15"/>
      <c r="E1234" s="3">
        <v>28209.439999999999</v>
      </c>
      <c r="F1234" s="5"/>
      <c r="G1234" s="3">
        <v>16707.169999999998</v>
      </c>
      <c r="H1234" s="18">
        <v>44916.61</v>
      </c>
      <c r="I1234" s="19"/>
    </row>
    <row r="1235" spans="1:9" x14ac:dyDescent="0.25">
      <c r="A1235" s="14" t="s">
        <v>1506</v>
      </c>
      <c r="B1235" s="15"/>
      <c r="C1235" s="15"/>
      <c r="D1235" s="15"/>
      <c r="E1235" s="3">
        <v>125153.16</v>
      </c>
      <c r="F1235" s="5"/>
      <c r="G1235" s="3">
        <v>74102.350000000006</v>
      </c>
      <c r="H1235" s="18">
        <v>199255.51</v>
      </c>
      <c r="I1235" s="19"/>
    </row>
    <row r="1236" spans="1:9" x14ac:dyDescent="0.25">
      <c r="A1236" s="14" t="s">
        <v>1507</v>
      </c>
      <c r="B1236" s="15"/>
      <c r="C1236" s="15"/>
      <c r="D1236" s="15"/>
      <c r="E1236" s="3">
        <v>132195.85</v>
      </c>
      <c r="F1236" s="5"/>
      <c r="G1236" s="3">
        <v>78293.62</v>
      </c>
      <c r="H1236" s="18">
        <v>210489.47</v>
      </c>
      <c r="I1236" s="19"/>
    </row>
    <row r="1237" spans="1:9" x14ac:dyDescent="0.25">
      <c r="A1237" s="14" t="s">
        <v>1508</v>
      </c>
      <c r="B1237" s="15"/>
      <c r="C1237" s="15"/>
      <c r="D1237" s="15"/>
      <c r="E1237" s="3">
        <v>21649.27</v>
      </c>
      <c r="F1237" s="5"/>
      <c r="G1237" s="3">
        <v>12821.92</v>
      </c>
      <c r="H1237" s="18">
        <v>34471.19</v>
      </c>
      <c r="I1237" s="19"/>
    </row>
    <row r="1238" spans="1:9" x14ac:dyDescent="0.25">
      <c r="A1238" s="14" t="s">
        <v>1509</v>
      </c>
      <c r="B1238" s="15"/>
      <c r="C1238" s="15"/>
      <c r="D1238" s="15"/>
      <c r="E1238" s="3">
        <v>1480.32</v>
      </c>
      <c r="F1238" s="5"/>
      <c r="G1238" s="3">
        <v>876.74</v>
      </c>
      <c r="H1238" s="18">
        <v>2357.06</v>
      </c>
      <c r="I1238" s="19"/>
    </row>
    <row r="1239" spans="1:9" x14ac:dyDescent="0.25">
      <c r="A1239" s="14" t="s">
        <v>1510</v>
      </c>
      <c r="B1239" s="15"/>
      <c r="C1239" s="15"/>
      <c r="D1239" s="15"/>
      <c r="E1239" s="3">
        <v>381.63</v>
      </c>
      <c r="F1239" s="5"/>
      <c r="G1239" s="3">
        <v>226.01</v>
      </c>
      <c r="H1239" s="18">
        <v>607.64</v>
      </c>
      <c r="I1239" s="19"/>
    </row>
    <row r="1240" spans="1:9" x14ac:dyDescent="0.25">
      <c r="A1240" s="14" t="s">
        <v>1511</v>
      </c>
      <c r="B1240" s="15"/>
      <c r="C1240" s="15"/>
      <c r="D1240" s="15"/>
      <c r="E1240" s="3">
        <v>3014.03</v>
      </c>
      <c r="F1240" s="5"/>
      <c r="G1240" s="3">
        <v>1620.49</v>
      </c>
      <c r="H1240" s="18">
        <v>4634.5200000000004</v>
      </c>
      <c r="I1240" s="19"/>
    </row>
    <row r="1241" spans="1:9" x14ac:dyDescent="0.25">
      <c r="A1241" s="14" t="s">
        <v>1512</v>
      </c>
      <c r="B1241" s="15"/>
      <c r="C1241" s="15"/>
      <c r="D1241" s="15"/>
      <c r="E1241" s="3">
        <v>48576.74</v>
      </c>
      <c r="F1241" s="5"/>
      <c r="G1241" s="3">
        <v>82410.100000000006</v>
      </c>
      <c r="H1241" s="18">
        <v>130986.84</v>
      </c>
      <c r="I1241" s="19"/>
    </row>
    <row r="1242" spans="1:9" x14ac:dyDescent="0.25">
      <c r="A1242" s="14" t="s">
        <v>1513</v>
      </c>
      <c r="B1242" s="15"/>
      <c r="C1242" s="15"/>
      <c r="D1242" s="15"/>
      <c r="E1242" s="3">
        <v>88506.76</v>
      </c>
      <c r="F1242" s="5"/>
      <c r="G1242" s="3">
        <v>66340.289999999994</v>
      </c>
      <c r="H1242" s="18">
        <v>154847.04999999999</v>
      </c>
      <c r="I1242" s="19"/>
    </row>
    <row r="1243" spans="1:9" x14ac:dyDescent="0.25">
      <c r="A1243" s="14" t="s">
        <v>1514</v>
      </c>
      <c r="B1243" s="15"/>
      <c r="C1243" s="15"/>
      <c r="D1243" s="15"/>
      <c r="E1243" s="3">
        <v>3700.88</v>
      </c>
      <c r="F1243" s="5"/>
      <c r="G1243" s="3">
        <v>2773.95</v>
      </c>
      <c r="H1243" s="18">
        <v>6474.83</v>
      </c>
      <c r="I1243" s="19"/>
    </row>
    <row r="1244" spans="1:9" x14ac:dyDescent="0.25">
      <c r="A1244" s="14" t="s">
        <v>1515</v>
      </c>
      <c r="B1244" s="15"/>
      <c r="C1244" s="15"/>
      <c r="D1244" s="15"/>
      <c r="E1244" s="3">
        <v>3390.07</v>
      </c>
      <c r="F1244" s="5"/>
      <c r="G1244" s="3">
        <v>2541.02</v>
      </c>
      <c r="H1244" s="18">
        <v>5931.09</v>
      </c>
      <c r="I1244" s="19"/>
    </row>
    <row r="1245" spans="1:9" x14ac:dyDescent="0.25">
      <c r="A1245" s="14" t="s">
        <v>1516</v>
      </c>
      <c r="B1245" s="15"/>
      <c r="C1245" s="15"/>
      <c r="D1245" s="15"/>
      <c r="E1245" s="3">
        <v>343.36</v>
      </c>
      <c r="F1245" s="5"/>
      <c r="G1245" s="3">
        <v>257.42</v>
      </c>
      <c r="H1245" s="18">
        <v>600.78</v>
      </c>
      <c r="I1245" s="19"/>
    </row>
    <row r="1246" spans="1:9" x14ac:dyDescent="0.25">
      <c r="A1246" s="14" t="s">
        <v>1517</v>
      </c>
      <c r="B1246" s="15"/>
      <c r="C1246" s="15"/>
      <c r="D1246" s="15"/>
      <c r="E1246" s="3">
        <v>2654.88</v>
      </c>
      <c r="F1246" s="5"/>
      <c r="G1246" s="3">
        <v>1523.75</v>
      </c>
      <c r="H1246" s="18">
        <v>4178.63</v>
      </c>
      <c r="I1246" s="19"/>
    </row>
    <row r="1247" spans="1:9" x14ac:dyDescent="0.25">
      <c r="A1247" s="14" t="s">
        <v>1518</v>
      </c>
      <c r="B1247" s="15"/>
      <c r="C1247" s="15"/>
      <c r="D1247" s="15"/>
      <c r="E1247" s="3">
        <v>21872.42</v>
      </c>
      <c r="F1247" s="5"/>
      <c r="G1247" s="3">
        <v>12553.42</v>
      </c>
      <c r="H1247" s="18">
        <v>34425.839999999997</v>
      </c>
      <c r="I1247" s="19"/>
    </row>
    <row r="1248" spans="1:9" x14ac:dyDescent="0.25">
      <c r="A1248" s="14" t="s">
        <v>1519</v>
      </c>
      <c r="B1248" s="15"/>
      <c r="C1248" s="15"/>
      <c r="D1248" s="15"/>
      <c r="E1248" s="3">
        <v>37403.599999999999</v>
      </c>
      <c r="F1248" s="5"/>
      <c r="G1248" s="3">
        <v>21467.39</v>
      </c>
      <c r="H1248" s="18">
        <v>58870.99</v>
      </c>
      <c r="I1248" s="19"/>
    </row>
    <row r="1249" spans="1:9" x14ac:dyDescent="0.25">
      <c r="A1249" s="14" t="s">
        <v>1520</v>
      </c>
      <c r="B1249" s="15"/>
      <c r="C1249" s="15"/>
      <c r="D1249" s="15"/>
      <c r="E1249" s="3">
        <v>510.35</v>
      </c>
      <c r="F1249" s="5"/>
      <c r="G1249" s="3">
        <v>292.92</v>
      </c>
      <c r="H1249" s="18">
        <v>803.27</v>
      </c>
      <c r="I1249" s="19"/>
    </row>
    <row r="1250" spans="1:9" x14ac:dyDescent="0.25">
      <c r="A1250" s="14" t="s">
        <v>1521</v>
      </c>
      <c r="B1250" s="15"/>
      <c r="C1250" s="15"/>
      <c r="D1250" s="15"/>
      <c r="E1250" s="3">
        <v>10103.9</v>
      </c>
      <c r="F1250" s="5"/>
      <c r="G1250" s="3">
        <v>5799.04</v>
      </c>
      <c r="H1250" s="18">
        <v>15902.94</v>
      </c>
      <c r="I1250" s="19"/>
    </row>
    <row r="1251" spans="1:9" x14ac:dyDescent="0.25">
      <c r="A1251" s="14" t="s">
        <v>1522</v>
      </c>
      <c r="B1251" s="15"/>
      <c r="C1251" s="15"/>
      <c r="D1251" s="15"/>
      <c r="E1251" s="3">
        <v>12738.13</v>
      </c>
      <c r="F1251" s="5"/>
      <c r="G1251" s="3">
        <v>7310.92</v>
      </c>
      <c r="H1251" s="18">
        <v>20049.05</v>
      </c>
      <c r="I1251" s="19"/>
    </row>
    <row r="1252" spans="1:9" x14ac:dyDescent="0.25">
      <c r="A1252" s="14" t="s">
        <v>1523</v>
      </c>
      <c r="B1252" s="15"/>
      <c r="C1252" s="15"/>
      <c r="D1252" s="15"/>
      <c r="E1252" s="3">
        <v>6945.16</v>
      </c>
      <c r="F1252" s="5"/>
      <c r="G1252" s="3">
        <v>3986.12</v>
      </c>
      <c r="H1252" s="18">
        <v>10931.28</v>
      </c>
      <c r="I1252" s="19"/>
    </row>
    <row r="1253" spans="1:9" x14ac:dyDescent="0.25">
      <c r="A1253" s="14" t="s">
        <v>1524</v>
      </c>
      <c r="B1253" s="15"/>
      <c r="C1253" s="15"/>
      <c r="D1253" s="15"/>
      <c r="E1253" s="3">
        <v>332412.15000000002</v>
      </c>
      <c r="F1253" s="5"/>
      <c r="G1253" s="3">
        <v>190784.34</v>
      </c>
      <c r="H1253" s="18">
        <v>523196.49</v>
      </c>
      <c r="I1253" s="19"/>
    </row>
    <row r="1254" spans="1:9" x14ac:dyDescent="0.25">
      <c r="A1254" s="14" t="s">
        <v>1525</v>
      </c>
      <c r="B1254" s="15"/>
      <c r="C1254" s="15"/>
      <c r="D1254" s="15"/>
      <c r="E1254" s="3">
        <v>29638.05</v>
      </c>
      <c r="F1254" s="5"/>
      <c r="G1254" s="3">
        <v>17010.43</v>
      </c>
      <c r="H1254" s="18">
        <v>46648.480000000003</v>
      </c>
      <c r="I1254" s="19"/>
    </row>
    <row r="1255" spans="1:9" x14ac:dyDescent="0.25">
      <c r="A1255" s="14" t="s">
        <v>1526</v>
      </c>
      <c r="B1255" s="15"/>
      <c r="C1255" s="15"/>
      <c r="D1255" s="15"/>
      <c r="E1255" s="3">
        <v>26500.47</v>
      </c>
      <c r="F1255" s="5"/>
      <c r="G1255" s="3">
        <v>15209.63</v>
      </c>
      <c r="H1255" s="18">
        <v>41710.1</v>
      </c>
      <c r="I1255" s="19"/>
    </row>
    <row r="1256" spans="1:9" x14ac:dyDescent="0.25">
      <c r="A1256" s="14" t="s">
        <v>1527</v>
      </c>
      <c r="B1256" s="15"/>
      <c r="C1256" s="15"/>
      <c r="D1256" s="15"/>
      <c r="E1256" s="3">
        <v>414.86</v>
      </c>
      <c r="F1256" s="5"/>
      <c r="G1256" s="3">
        <v>238.07</v>
      </c>
      <c r="H1256" s="18">
        <v>652.92999999999995</v>
      </c>
      <c r="I1256" s="19"/>
    </row>
    <row r="1257" spans="1:9" x14ac:dyDescent="0.25">
      <c r="A1257" s="14" t="s">
        <v>1528</v>
      </c>
      <c r="B1257" s="15"/>
      <c r="C1257" s="15"/>
      <c r="D1257" s="15"/>
      <c r="E1257" s="3">
        <v>225.75</v>
      </c>
      <c r="F1257" s="4" t="s">
        <v>1529</v>
      </c>
      <c r="G1257" s="4" t="s">
        <v>1530</v>
      </c>
      <c r="H1257" s="20" t="s">
        <v>1531</v>
      </c>
      <c r="I1257" s="21"/>
    </row>
    <row r="1258" spans="1:9" x14ac:dyDescent="0.25">
      <c r="A1258" s="14" t="s">
        <v>1532</v>
      </c>
      <c r="B1258" s="15"/>
      <c r="C1258" s="15"/>
      <c r="D1258" s="15"/>
      <c r="E1258" s="3">
        <v>11980.86</v>
      </c>
      <c r="F1258" s="5"/>
      <c r="G1258" s="3">
        <v>6875.59</v>
      </c>
      <c r="H1258" s="18">
        <v>18856.45</v>
      </c>
      <c r="I1258" s="19"/>
    </row>
    <row r="1259" spans="1:9" x14ac:dyDescent="0.25">
      <c r="A1259" s="14" t="s">
        <v>1533</v>
      </c>
      <c r="B1259" s="15"/>
      <c r="C1259" s="15"/>
      <c r="D1259" s="15"/>
      <c r="E1259" s="5"/>
      <c r="F1259" s="3">
        <v>9542.08</v>
      </c>
      <c r="G1259" s="5"/>
      <c r="H1259" s="18">
        <v>9542.08</v>
      </c>
      <c r="I1259" s="19"/>
    </row>
    <row r="1260" spans="1:9" x14ac:dyDescent="0.25">
      <c r="A1260" s="14" t="s">
        <v>1534</v>
      </c>
      <c r="B1260" s="15"/>
      <c r="C1260" s="15"/>
      <c r="D1260" s="15"/>
      <c r="E1260" s="4" t="s">
        <v>1535</v>
      </c>
      <c r="F1260" s="4" t="s">
        <v>1536</v>
      </c>
      <c r="G1260" s="4" t="s">
        <v>1537</v>
      </c>
      <c r="H1260" s="20" t="s">
        <v>1538</v>
      </c>
      <c r="I1260" s="21"/>
    </row>
    <row r="1261" spans="1:9" x14ac:dyDescent="0.25">
      <c r="A1261" s="14" t="s">
        <v>1539</v>
      </c>
      <c r="B1261" s="15"/>
      <c r="C1261" s="15"/>
      <c r="D1261" s="15"/>
      <c r="E1261" s="3">
        <v>45477.75</v>
      </c>
      <c r="F1261" s="5"/>
      <c r="G1261" s="3">
        <v>44719.49</v>
      </c>
      <c r="H1261" s="18">
        <v>90197.24</v>
      </c>
      <c r="I1261" s="19"/>
    </row>
    <row r="1262" spans="1:9" x14ac:dyDescent="0.25">
      <c r="A1262" s="14" t="s">
        <v>1540</v>
      </c>
      <c r="B1262" s="15"/>
      <c r="C1262" s="15"/>
      <c r="D1262" s="15"/>
      <c r="E1262" s="3">
        <v>7927.16</v>
      </c>
      <c r="F1262" s="5"/>
      <c r="G1262" s="3">
        <v>7794.98</v>
      </c>
      <c r="H1262" s="18">
        <v>15722.14</v>
      </c>
      <c r="I1262" s="19"/>
    </row>
    <row r="1263" spans="1:9" x14ac:dyDescent="0.25">
      <c r="A1263" s="14" t="s">
        <v>1541</v>
      </c>
      <c r="B1263" s="15"/>
      <c r="C1263" s="15"/>
      <c r="D1263" s="15"/>
      <c r="E1263" s="3">
        <v>7253.99</v>
      </c>
      <c r="F1263" s="5"/>
      <c r="G1263" s="3">
        <v>7133.06</v>
      </c>
      <c r="H1263" s="18">
        <v>14387.05</v>
      </c>
      <c r="I1263" s="19"/>
    </row>
    <row r="1264" spans="1:9" x14ac:dyDescent="0.25">
      <c r="A1264" s="14" t="s">
        <v>1542</v>
      </c>
      <c r="B1264" s="15"/>
      <c r="C1264" s="15"/>
      <c r="D1264" s="15"/>
      <c r="E1264" s="3">
        <v>10391.81</v>
      </c>
      <c r="F1264" s="5"/>
      <c r="G1264" s="3">
        <v>10218.540000000001</v>
      </c>
      <c r="H1264" s="18">
        <v>20610.349999999999</v>
      </c>
      <c r="I1264" s="19"/>
    </row>
    <row r="1265" spans="1:9" x14ac:dyDescent="0.25">
      <c r="A1265" s="14" t="s">
        <v>1543</v>
      </c>
      <c r="B1265" s="15"/>
      <c r="C1265" s="15"/>
      <c r="D1265" s="15"/>
      <c r="E1265" s="3">
        <v>9775.9699999999993</v>
      </c>
      <c r="F1265" s="5"/>
      <c r="G1265" s="3">
        <v>9612.9500000000007</v>
      </c>
      <c r="H1265" s="18">
        <v>19388.919999999998</v>
      </c>
      <c r="I1265" s="19"/>
    </row>
    <row r="1266" spans="1:9" x14ac:dyDescent="0.25">
      <c r="A1266" s="14" t="s">
        <v>1544</v>
      </c>
      <c r="B1266" s="15"/>
      <c r="C1266" s="15"/>
      <c r="D1266" s="15"/>
      <c r="E1266" s="3">
        <v>10301.35</v>
      </c>
      <c r="F1266" s="5"/>
      <c r="G1266" s="3">
        <v>10129.6</v>
      </c>
      <c r="H1266" s="18">
        <v>20430.95</v>
      </c>
      <c r="I1266" s="19"/>
    </row>
    <row r="1267" spans="1:9" x14ac:dyDescent="0.25">
      <c r="A1267" s="14" t="s">
        <v>1545</v>
      </c>
      <c r="B1267" s="15"/>
      <c r="C1267" s="15"/>
      <c r="D1267" s="15"/>
      <c r="E1267" s="3">
        <v>13830.64</v>
      </c>
      <c r="F1267" s="5"/>
      <c r="G1267" s="3">
        <v>13600</v>
      </c>
      <c r="H1267" s="18">
        <v>27430.639999999999</v>
      </c>
      <c r="I1267" s="19"/>
    </row>
    <row r="1268" spans="1:9" x14ac:dyDescent="0.25">
      <c r="A1268" s="14" t="s">
        <v>1546</v>
      </c>
      <c r="B1268" s="15"/>
      <c r="C1268" s="15"/>
      <c r="D1268" s="15"/>
      <c r="E1268" s="3">
        <v>412.73</v>
      </c>
      <c r="F1268" s="5"/>
      <c r="G1268" s="3">
        <v>405.85</v>
      </c>
      <c r="H1268" s="18">
        <v>818.58</v>
      </c>
      <c r="I1268" s="19"/>
    </row>
    <row r="1269" spans="1:9" x14ac:dyDescent="0.25">
      <c r="A1269" s="14" t="s">
        <v>1547</v>
      </c>
      <c r="B1269" s="15"/>
      <c r="C1269" s="15"/>
      <c r="D1269" s="15"/>
      <c r="E1269" s="3">
        <v>78.52</v>
      </c>
      <c r="F1269" s="5"/>
      <c r="G1269" s="3">
        <v>44.76</v>
      </c>
      <c r="H1269" s="18">
        <v>123.28</v>
      </c>
      <c r="I1269" s="19"/>
    </row>
    <row r="1270" spans="1:9" x14ac:dyDescent="0.25">
      <c r="A1270" s="14" t="s">
        <v>1548</v>
      </c>
      <c r="B1270" s="15"/>
      <c r="C1270" s="15"/>
      <c r="D1270" s="15"/>
      <c r="E1270" s="3">
        <v>3865.66</v>
      </c>
      <c r="F1270" s="5"/>
      <c r="G1270" s="3">
        <v>2202.9899999999998</v>
      </c>
      <c r="H1270" s="18">
        <v>6068.65</v>
      </c>
      <c r="I1270" s="19"/>
    </row>
    <row r="1271" spans="1:9" x14ac:dyDescent="0.25">
      <c r="A1271" s="14" t="s">
        <v>1549</v>
      </c>
      <c r="B1271" s="15"/>
      <c r="C1271" s="15"/>
      <c r="D1271" s="15"/>
      <c r="E1271" s="4" t="s">
        <v>1550</v>
      </c>
      <c r="F1271" s="4" t="s">
        <v>1551</v>
      </c>
      <c r="G1271" s="4" t="s">
        <v>1552</v>
      </c>
      <c r="H1271" s="20" t="s">
        <v>1553</v>
      </c>
      <c r="I1271" s="21"/>
    </row>
    <row r="1272" spans="1:9" x14ac:dyDescent="0.25">
      <c r="A1272" s="14" t="s">
        <v>1554</v>
      </c>
      <c r="B1272" s="15"/>
      <c r="C1272" s="15"/>
      <c r="D1272" s="15"/>
      <c r="E1272" s="3">
        <v>87322.84</v>
      </c>
      <c r="F1272" s="3">
        <v>49969.32</v>
      </c>
      <c r="G1272" s="3">
        <v>56551.45</v>
      </c>
      <c r="H1272" s="18">
        <v>193843.61</v>
      </c>
      <c r="I1272" s="19"/>
    </row>
    <row r="1273" spans="1:9" x14ac:dyDescent="0.25">
      <c r="A1273" s="14" t="s">
        <v>1555</v>
      </c>
      <c r="B1273" s="15"/>
      <c r="C1273" s="15"/>
      <c r="D1273" s="15"/>
      <c r="E1273" s="3">
        <v>12480.33</v>
      </c>
      <c r="F1273" s="5"/>
      <c r="G1273" s="3">
        <v>7112.42</v>
      </c>
      <c r="H1273" s="18">
        <v>19592.75</v>
      </c>
      <c r="I1273" s="19"/>
    </row>
    <row r="1274" spans="1:9" x14ac:dyDescent="0.25">
      <c r="A1274" s="14" t="s">
        <v>1556</v>
      </c>
      <c r="B1274" s="15"/>
      <c r="C1274" s="15"/>
      <c r="D1274" s="15"/>
      <c r="E1274" s="3">
        <v>10543.35</v>
      </c>
      <c r="F1274" s="3">
        <v>14016.81</v>
      </c>
      <c r="G1274" s="3">
        <v>7144.2</v>
      </c>
      <c r="H1274" s="18">
        <v>31704.36</v>
      </c>
      <c r="I1274" s="19"/>
    </row>
    <row r="1275" spans="1:9" x14ac:dyDescent="0.25">
      <c r="A1275" s="14" t="s">
        <v>1557</v>
      </c>
      <c r="B1275" s="15"/>
      <c r="C1275" s="15"/>
      <c r="D1275" s="15"/>
      <c r="E1275" s="3">
        <v>10980.98</v>
      </c>
      <c r="F1275" s="5"/>
      <c r="G1275" s="3">
        <v>6257.88</v>
      </c>
      <c r="H1275" s="18">
        <v>17238.86</v>
      </c>
      <c r="I1275" s="19"/>
    </row>
    <row r="1276" spans="1:9" x14ac:dyDescent="0.25">
      <c r="A1276" s="14" t="s">
        <v>1558</v>
      </c>
      <c r="B1276" s="15"/>
      <c r="C1276" s="15"/>
      <c r="D1276" s="15"/>
      <c r="E1276" s="3">
        <v>50424.77</v>
      </c>
      <c r="F1276" s="5"/>
      <c r="G1276" s="3">
        <v>28736.5</v>
      </c>
      <c r="H1276" s="18">
        <v>79161.27</v>
      </c>
      <c r="I1276" s="19"/>
    </row>
    <row r="1277" spans="1:9" x14ac:dyDescent="0.25">
      <c r="A1277" s="14" t="s">
        <v>1559</v>
      </c>
      <c r="B1277" s="15"/>
      <c r="C1277" s="15"/>
      <c r="D1277" s="15"/>
      <c r="E1277" s="3">
        <v>112914.72</v>
      </c>
      <c r="F1277" s="3">
        <v>87758.48</v>
      </c>
      <c r="G1277" s="3">
        <v>192887.88</v>
      </c>
      <c r="H1277" s="18">
        <v>393561.08</v>
      </c>
      <c r="I1277" s="19"/>
    </row>
    <row r="1278" spans="1:9" x14ac:dyDescent="0.25">
      <c r="A1278" s="14" t="s">
        <v>1560</v>
      </c>
      <c r="B1278" s="15"/>
      <c r="C1278" s="15"/>
      <c r="D1278" s="15"/>
      <c r="E1278" s="4" t="s">
        <v>1561</v>
      </c>
      <c r="F1278" s="3">
        <v>14701.48</v>
      </c>
      <c r="G1278" s="4" t="s">
        <v>1562</v>
      </c>
      <c r="H1278" s="18">
        <v>9737.77</v>
      </c>
      <c r="I1278" s="19"/>
    </row>
    <row r="1279" spans="1:9" x14ac:dyDescent="0.25">
      <c r="A1279" s="14" t="s">
        <v>1563</v>
      </c>
      <c r="B1279" s="15"/>
      <c r="C1279" s="15"/>
      <c r="D1279" s="15"/>
      <c r="E1279" s="3">
        <v>3669.35</v>
      </c>
      <c r="F1279" s="5"/>
      <c r="G1279" s="3">
        <v>3647.16</v>
      </c>
      <c r="H1279" s="18">
        <v>7316.51</v>
      </c>
      <c r="I1279" s="19"/>
    </row>
    <row r="1280" spans="1:9" x14ac:dyDescent="0.25">
      <c r="A1280" s="14" t="s">
        <v>1564</v>
      </c>
      <c r="B1280" s="15"/>
      <c r="C1280" s="15"/>
      <c r="D1280" s="15"/>
      <c r="E1280" s="3">
        <v>2617.27</v>
      </c>
      <c r="F1280" s="5"/>
      <c r="G1280" s="3">
        <v>2601.5100000000002</v>
      </c>
      <c r="H1280" s="18">
        <v>5218.78</v>
      </c>
      <c r="I1280" s="19"/>
    </row>
    <row r="1281" spans="1:9" x14ac:dyDescent="0.25">
      <c r="A1281" s="14" t="s">
        <v>1565</v>
      </c>
      <c r="B1281" s="15"/>
      <c r="C1281" s="15"/>
      <c r="D1281" s="15"/>
      <c r="E1281" s="3">
        <v>408.01</v>
      </c>
      <c r="F1281" s="5"/>
      <c r="G1281" s="3">
        <v>405.58</v>
      </c>
      <c r="H1281" s="18">
        <v>813.59</v>
      </c>
      <c r="I1281" s="19"/>
    </row>
    <row r="1282" spans="1:9" x14ac:dyDescent="0.25">
      <c r="A1282" s="14" t="s">
        <v>1566</v>
      </c>
      <c r="B1282" s="15"/>
      <c r="C1282" s="15"/>
      <c r="D1282" s="15"/>
      <c r="E1282" s="4" t="s">
        <v>1567</v>
      </c>
      <c r="F1282" s="3">
        <v>46853.65</v>
      </c>
      <c r="G1282" s="3">
        <v>31072.44</v>
      </c>
      <c r="H1282" s="18">
        <v>64494.03</v>
      </c>
      <c r="I1282" s="19"/>
    </row>
    <row r="1283" spans="1:9" x14ac:dyDescent="0.25">
      <c r="A1283" s="14" t="s">
        <v>1568</v>
      </c>
      <c r="B1283" s="15"/>
      <c r="C1283" s="15"/>
      <c r="D1283" s="15"/>
      <c r="E1283" s="3">
        <v>10505.72</v>
      </c>
      <c r="F1283" s="5"/>
      <c r="G1283" s="3">
        <v>16347.71</v>
      </c>
      <c r="H1283" s="18">
        <v>26853.43</v>
      </c>
      <c r="I1283" s="19"/>
    </row>
    <row r="1284" spans="1:9" x14ac:dyDescent="0.25">
      <c r="A1284" s="14" t="s">
        <v>1569</v>
      </c>
      <c r="B1284" s="15"/>
      <c r="C1284" s="15"/>
      <c r="D1284" s="15"/>
      <c r="E1284" s="3">
        <v>11769.1</v>
      </c>
      <c r="F1284" s="5"/>
      <c r="G1284" s="3">
        <v>18302.400000000001</v>
      </c>
      <c r="H1284" s="18">
        <v>30071.5</v>
      </c>
      <c r="I1284" s="19"/>
    </row>
    <row r="1285" spans="1:9" x14ac:dyDescent="0.25">
      <c r="A1285" s="14" t="s">
        <v>1570</v>
      </c>
      <c r="B1285" s="15"/>
      <c r="C1285" s="15"/>
      <c r="D1285" s="15"/>
      <c r="E1285" s="3">
        <v>31586.16</v>
      </c>
      <c r="F1285" s="5"/>
      <c r="G1285" s="3">
        <v>49214.31</v>
      </c>
      <c r="H1285" s="18">
        <v>80800.47</v>
      </c>
      <c r="I1285" s="19"/>
    </row>
    <row r="1286" spans="1:9" x14ac:dyDescent="0.25">
      <c r="A1286" s="14" t="s">
        <v>1571</v>
      </c>
      <c r="B1286" s="15"/>
      <c r="C1286" s="15"/>
      <c r="D1286" s="15"/>
      <c r="E1286" s="3">
        <v>22355.81</v>
      </c>
      <c r="F1286" s="5"/>
      <c r="G1286" s="3">
        <v>34804.080000000002</v>
      </c>
      <c r="H1286" s="18">
        <v>57159.89</v>
      </c>
      <c r="I1286" s="19"/>
    </row>
    <row r="1287" spans="1:9" x14ac:dyDescent="0.25">
      <c r="A1287" s="14" t="s">
        <v>1572</v>
      </c>
      <c r="B1287" s="15"/>
      <c r="C1287" s="15"/>
      <c r="D1287" s="15"/>
      <c r="E1287" s="3">
        <v>16936.849999999999</v>
      </c>
      <c r="F1287" s="5"/>
      <c r="G1287" s="3">
        <v>26279.87</v>
      </c>
      <c r="H1287" s="18">
        <v>43216.72</v>
      </c>
      <c r="I1287" s="19"/>
    </row>
    <row r="1288" spans="1:9" x14ac:dyDescent="0.25">
      <c r="A1288" s="14" t="s">
        <v>1573</v>
      </c>
      <c r="B1288" s="15"/>
      <c r="C1288" s="15"/>
      <c r="D1288" s="15"/>
      <c r="E1288" s="4" t="s">
        <v>1574</v>
      </c>
      <c r="F1288" s="4" t="s">
        <v>1575</v>
      </c>
      <c r="G1288" s="4" t="s">
        <v>1576</v>
      </c>
      <c r="H1288" s="20" t="s">
        <v>1577</v>
      </c>
      <c r="I1288" s="21"/>
    </row>
    <row r="1289" spans="1:9" x14ac:dyDescent="0.25">
      <c r="A1289" s="14" t="s">
        <v>1578</v>
      </c>
      <c r="B1289" s="15"/>
      <c r="C1289" s="15"/>
      <c r="D1289" s="15"/>
      <c r="E1289" s="3">
        <v>31685.67</v>
      </c>
      <c r="F1289" s="3">
        <v>24703.59</v>
      </c>
      <c r="G1289" s="3">
        <v>10426.56</v>
      </c>
      <c r="H1289" s="18">
        <v>66815.820000000007</v>
      </c>
      <c r="I1289" s="19"/>
    </row>
    <row r="1290" spans="1:9" x14ac:dyDescent="0.25">
      <c r="A1290" s="14" t="s">
        <v>1579</v>
      </c>
      <c r="B1290" s="15"/>
      <c r="C1290" s="15"/>
      <c r="D1290" s="15"/>
      <c r="E1290" s="3">
        <v>24423.81</v>
      </c>
      <c r="F1290" s="3">
        <v>1015.68</v>
      </c>
      <c r="G1290" s="3">
        <v>8036.99</v>
      </c>
      <c r="H1290" s="18">
        <v>33476.480000000003</v>
      </c>
      <c r="I1290" s="19"/>
    </row>
    <row r="1291" spans="1:9" x14ac:dyDescent="0.25">
      <c r="A1291" s="14" t="s">
        <v>1580</v>
      </c>
      <c r="B1291" s="15"/>
      <c r="C1291" s="15"/>
      <c r="D1291" s="15"/>
      <c r="E1291" s="3">
        <v>312058.58</v>
      </c>
      <c r="F1291" s="3">
        <v>3879.53</v>
      </c>
      <c r="G1291" s="3">
        <v>102499.19</v>
      </c>
      <c r="H1291" s="18">
        <v>418437.3</v>
      </c>
      <c r="I1291" s="19"/>
    </row>
    <row r="1292" spans="1:9" x14ac:dyDescent="0.25">
      <c r="A1292" s="14" t="s">
        <v>1581</v>
      </c>
      <c r="B1292" s="15"/>
      <c r="C1292" s="15"/>
      <c r="D1292" s="15"/>
      <c r="E1292" s="3">
        <v>3632.35</v>
      </c>
      <c r="F1292" s="3">
        <v>2824.5</v>
      </c>
      <c r="G1292" s="3">
        <v>11741.28</v>
      </c>
      <c r="H1292" s="18">
        <v>18198.13</v>
      </c>
      <c r="I1292" s="19"/>
    </row>
    <row r="1293" spans="1:9" x14ac:dyDescent="0.25">
      <c r="A1293" s="14" t="s">
        <v>1582</v>
      </c>
      <c r="B1293" s="15"/>
      <c r="C1293" s="15"/>
      <c r="D1293" s="15"/>
      <c r="E1293" s="3">
        <v>2867.35</v>
      </c>
      <c r="F1293" s="3">
        <v>19013.330000000002</v>
      </c>
      <c r="G1293" s="3">
        <v>943.56</v>
      </c>
      <c r="H1293" s="18">
        <v>22824.240000000002</v>
      </c>
      <c r="I1293" s="19"/>
    </row>
    <row r="1294" spans="1:9" x14ac:dyDescent="0.25">
      <c r="A1294" s="14" t="s">
        <v>1583</v>
      </c>
      <c r="B1294" s="15"/>
      <c r="C1294" s="15"/>
      <c r="D1294" s="15"/>
      <c r="E1294" s="3">
        <v>17149.3</v>
      </c>
      <c r="F1294" s="3">
        <v>162799.53</v>
      </c>
      <c r="G1294" s="3">
        <v>5643.19</v>
      </c>
      <c r="H1294" s="18">
        <v>185592.02</v>
      </c>
      <c r="I1294" s="19"/>
    </row>
    <row r="1295" spans="1:9" x14ac:dyDescent="0.25">
      <c r="A1295" s="14" t="s">
        <v>1584</v>
      </c>
      <c r="B1295" s="15"/>
      <c r="C1295" s="15"/>
      <c r="D1295" s="15"/>
      <c r="E1295" s="3">
        <v>8266.08</v>
      </c>
      <c r="F1295" s="4" t="s">
        <v>1585</v>
      </c>
      <c r="G1295" s="3">
        <v>991.2</v>
      </c>
      <c r="H1295" s="20" t="s">
        <v>1586</v>
      </c>
      <c r="I1295" s="21"/>
    </row>
    <row r="1296" spans="1:9" x14ac:dyDescent="0.25">
      <c r="A1296" s="14" t="s">
        <v>1587</v>
      </c>
      <c r="B1296" s="15"/>
      <c r="C1296" s="15"/>
      <c r="D1296" s="15"/>
      <c r="E1296" s="3">
        <v>22275.9</v>
      </c>
      <c r="F1296" s="5"/>
      <c r="G1296" s="3">
        <v>7330.15</v>
      </c>
      <c r="H1296" s="18">
        <v>29606.05</v>
      </c>
      <c r="I1296" s="19"/>
    </row>
    <row r="1297" spans="1:9" x14ac:dyDescent="0.25">
      <c r="A1297" s="14" t="s">
        <v>1588</v>
      </c>
      <c r="B1297" s="15"/>
      <c r="C1297" s="15"/>
      <c r="D1297" s="15"/>
      <c r="E1297" s="3">
        <v>34926.839999999997</v>
      </c>
      <c r="F1297" s="5"/>
      <c r="G1297" s="3">
        <v>11493.14</v>
      </c>
      <c r="H1297" s="18">
        <v>46419.98</v>
      </c>
      <c r="I1297" s="19"/>
    </row>
    <row r="1298" spans="1:9" x14ac:dyDescent="0.25">
      <c r="A1298" s="14" t="s">
        <v>1589</v>
      </c>
      <c r="B1298" s="15"/>
      <c r="C1298" s="15"/>
      <c r="D1298" s="15"/>
      <c r="E1298" s="3">
        <v>12017.19</v>
      </c>
      <c r="F1298" s="3">
        <v>18875.18</v>
      </c>
      <c r="G1298" s="3">
        <v>3954.4</v>
      </c>
      <c r="H1298" s="18">
        <v>34846.769999999997</v>
      </c>
      <c r="I1298" s="19"/>
    </row>
    <row r="1299" spans="1:9" x14ac:dyDescent="0.25">
      <c r="A1299" s="14" t="s">
        <v>1590</v>
      </c>
      <c r="B1299" s="15"/>
      <c r="C1299" s="15"/>
      <c r="D1299" s="15"/>
      <c r="E1299" s="3">
        <v>12704.2</v>
      </c>
      <c r="F1299" s="5"/>
      <c r="G1299" s="3">
        <v>4180.5</v>
      </c>
      <c r="H1299" s="18">
        <v>16884.7</v>
      </c>
      <c r="I1299" s="19"/>
    </row>
    <row r="1300" spans="1:9" x14ac:dyDescent="0.25">
      <c r="A1300" s="14" t="s">
        <v>1591</v>
      </c>
      <c r="B1300" s="15"/>
      <c r="C1300" s="15"/>
      <c r="D1300" s="15"/>
      <c r="E1300" s="3">
        <v>9494.44</v>
      </c>
      <c r="F1300" s="5"/>
      <c r="G1300" s="3">
        <v>3124.31</v>
      </c>
      <c r="H1300" s="18">
        <v>12618.75</v>
      </c>
      <c r="I1300" s="19"/>
    </row>
    <row r="1301" spans="1:9" x14ac:dyDescent="0.25">
      <c r="A1301" s="14" t="s">
        <v>1592</v>
      </c>
      <c r="B1301" s="15"/>
      <c r="C1301" s="15"/>
      <c r="D1301" s="15"/>
      <c r="E1301" s="3">
        <v>32815.24</v>
      </c>
      <c r="F1301" s="3">
        <v>17572.650000000001</v>
      </c>
      <c r="G1301" s="3">
        <v>31229.1</v>
      </c>
      <c r="H1301" s="18">
        <v>81616.990000000005</v>
      </c>
      <c r="I1301" s="19"/>
    </row>
    <row r="1302" spans="1:9" x14ac:dyDescent="0.25">
      <c r="A1302" s="14" t="s">
        <v>1593</v>
      </c>
      <c r="B1302" s="15"/>
      <c r="C1302" s="15"/>
      <c r="D1302" s="15"/>
      <c r="E1302" s="3">
        <v>60.13</v>
      </c>
      <c r="F1302" s="5"/>
      <c r="G1302" s="3">
        <v>19.760000000000002</v>
      </c>
      <c r="H1302" s="18">
        <v>79.89</v>
      </c>
      <c r="I1302" s="19"/>
    </row>
    <row r="1303" spans="1:9" x14ac:dyDescent="0.25">
      <c r="A1303" s="14" t="s">
        <v>1594</v>
      </c>
      <c r="B1303" s="15"/>
      <c r="C1303" s="15"/>
      <c r="D1303" s="15"/>
      <c r="E1303" s="4" t="s">
        <v>1595</v>
      </c>
      <c r="F1303" s="4" t="s">
        <v>1596</v>
      </c>
      <c r="G1303" s="4" t="s">
        <v>1597</v>
      </c>
      <c r="H1303" s="20" t="s">
        <v>1598</v>
      </c>
      <c r="I1303" s="21"/>
    </row>
    <row r="1304" spans="1:9" x14ac:dyDescent="0.25">
      <c r="A1304" s="14" t="s">
        <v>1599</v>
      </c>
      <c r="B1304" s="15"/>
      <c r="C1304" s="15"/>
      <c r="D1304" s="15"/>
      <c r="E1304" s="5"/>
      <c r="F1304" s="5"/>
      <c r="G1304" s="3">
        <v>3895</v>
      </c>
      <c r="H1304" s="18">
        <v>3895</v>
      </c>
      <c r="I1304" s="19"/>
    </row>
    <row r="1305" spans="1:9" x14ac:dyDescent="0.25">
      <c r="A1305" s="14" t="s">
        <v>1600</v>
      </c>
      <c r="B1305" s="15"/>
      <c r="C1305" s="15"/>
      <c r="D1305" s="15"/>
      <c r="E1305" s="5"/>
      <c r="F1305" s="3">
        <v>5747.51</v>
      </c>
      <c r="G1305" s="5"/>
      <c r="H1305" s="18">
        <v>5747.51</v>
      </c>
      <c r="I1305" s="19"/>
    </row>
    <row r="1306" spans="1:9" x14ac:dyDescent="0.25">
      <c r="A1306" s="14" t="s">
        <v>1601</v>
      </c>
      <c r="B1306" s="15"/>
      <c r="C1306" s="15"/>
      <c r="D1306" s="15"/>
      <c r="E1306" s="5"/>
      <c r="F1306" s="5"/>
      <c r="G1306" s="3">
        <v>24963.18</v>
      </c>
      <c r="H1306" s="18">
        <v>24963.18</v>
      </c>
      <c r="I1306" s="19"/>
    </row>
    <row r="1307" spans="1:9" x14ac:dyDescent="0.25">
      <c r="A1307" s="14" t="s">
        <v>1602</v>
      </c>
      <c r="B1307" s="15"/>
      <c r="C1307" s="15"/>
      <c r="D1307" s="15"/>
      <c r="E1307" s="3">
        <v>261517.43</v>
      </c>
      <c r="F1307" s="3">
        <v>222252.4</v>
      </c>
      <c r="G1307" s="3">
        <v>257474.9</v>
      </c>
      <c r="H1307" s="18">
        <v>741244.73</v>
      </c>
      <c r="I1307" s="19"/>
    </row>
    <row r="1308" spans="1:9" x14ac:dyDescent="0.25">
      <c r="A1308" s="14" t="s">
        <v>1603</v>
      </c>
      <c r="B1308" s="15"/>
      <c r="C1308" s="15"/>
      <c r="D1308" s="15"/>
      <c r="E1308" s="3">
        <v>42015.040000000001</v>
      </c>
      <c r="F1308" s="3">
        <v>45307.49</v>
      </c>
      <c r="G1308" s="3">
        <v>42090.2</v>
      </c>
      <c r="H1308" s="18">
        <v>129412.73</v>
      </c>
      <c r="I1308" s="19"/>
    </row>
    <row r="1309" spans="1:9" x14ac:dyDescent="0.25">
      <c r="A1309" s="14" t="s">
        <v>1604</v>
      </c>
      <c r="B1309" s="15"/>
      <c r="C1309" s="15"/>
      <c r="D1309" s="15"/>
      <c r="E1309" s="3">
        <v>42021.98</v>
      </c>
      <c r="F1309" s="3">
        <v>44341.59</v>
      </c>
      <c r="G1309" s="3">
        <v>41832.910000000003</v>
      </c>
      <c r="H1309" s="18">
        <v>128196.48</v>
      </c>
      <c r="I1309" s="19"/>
    </row>
    <row r="1310" spans="1:9" x14ac:dyDescent="0.25">
      <c r="A1310" s="14" t="s">
        <v>1605</v>
      </c>
      <c r="B1310" s="15"/>
      <c r="C1310" s="15"/>
      <c r="D1310" s="15"/>
      <c r="E1310" s="3">
        <v>91782.34</v>
      </c>
      <c r="F1310" s="3">
        <v>79302.23</v>
      </c>
      <c r="G1310" s="3">
        <v>71595.88</v>
      </c>
      <c r="H1310" s="18">
        <v>242680.45</v>
      </c>
      <c r="I1310" s="19"/>
    </row>
    <row r="1311" spans="1:9" x14ac:dyDescent="0.25">
      <c r="A1311" s="14" t="s">
        <v>1606</v>
      </c>
      <c r="B1311" s="15"/>
      <c r="C1311" s="15"/>
      <c r="D1311" s="15"/>
      <c r="E1311" s="3">
        <v>103774.37</v>
      </c>
      <c r="F1311" s="3">
        <v>111017.14</v>
      </c>
      <c r="G1311" s="3">
        <v>105996.25</v>
      </c>
      <c r="H1311" s="18">
        <v>320787.76</v>
      </c>
      <c r="I1311" s="19"/>
    </row>
    <row r="1312" spans="1:9" x14ac:dyDescent="0.25">
      <c r="A1312" s="14" t="s">
        <v>1607</v>
      </c>
      <c r="B1312" s="15"/>
      <c r="C1312" s="15"/>
      <c r="D1312" s="15"/>
      <c r="E1312" s="5"/>
      <c r="F1312" s="5"/>
      <c r="G1312" s="3">
        <v>165736.70000000001</v>
      </c>
      <c r="H1312" s="18">
        <v>165736.70000000001</v>
      </c>
      <c r="I1312" s="19"/>
    </row>
    <row r="1313" spans="1:9" x14ac:dyDescent="0.25">
      <c r="A1313" s="14" t="s">
        <v>1608</v>
      </c>
      <c r="B1313" s="15"/>
      <c r="C1313" s="15"/>
      <c r="D1313" s="15"/>
      <c r="E1313" s="3">
        <v>111476.25</v>
      </c>
      <c r="F1313" s="3">
        <v>114331.28</v>
      </c>
      <c r="G1313" s="3">
        <v>129065.48</v>
      </c>
      <c r="H1313" s="18">
        <v>354873.01</v>
      </c>
      <c r="I1313" s="19"/>
    </row>
    <row r="1314" spans="1:9" x14ac:dyDescent="0.25">
      <c r="A1314" s="14" t="s">
        <v>1609</v>
      </c>
      <c r="B1314" s="15"/>
      <c r="C1314" s="15"/>
      <c r="D1314" s="15"/>
      <c r="E1314" s="3">
        <v>3345.26</v>
      </c>
      <c r="F1314" s="3">
        <v>3572.89</v>
      </c>
      <c r="G1314" s="3">
        <v>3366.55</v>
      </c>
      <c r="H1314" s="18">
        <v>10284.700000000001</v>
      </c>
      <c r="I1314" s="19"/>
    </row>
    <row r="1315" spans="1:9" x14ac:dyDescent="0.25">
      <c r="A1315" s="14" t="s">
        <v>1610</v>
      </c>
      <c r="B1315" s="15"/>
      <c r="C1315" s="15"/>
      <c r="D1315" s="15"/>
      <c r="E1315" s="3">
        <v>11853.25</v>
      </c>
      <c r="F1315" s="4" t="s">
        <v>1611</v>
      </c>
      <c r="G1315" s="3">
        <v>32549.040000000001</v>
      </c>
      <c r="H1315" s="18">
        <v>37888.639999999999</v>
      </c>
      <c r="I1315" s="19"/>
    </row>
    <row r="1316" spans="1:9" x14ac:dyDescent="0.25">
      <c r="A1316" s="14" t="s">
        <v>1612</v>
      </c>
      <c r="B1316" s="15"/>
      <c r="C1316" s="15"/>
      <c r="D1316" s="15"/>
      <c r="E1316" s="3">
        <v>2842.53</v>
      </c>
      <c r="F1316" s="5"/>
      <c r="G1316" s="3">
        <v>1532.23</v>
      </c>
      <c r="H1316" s="18">
        <v>4374.76</v>
      </c>
      <c r="I1316" s="19"/>
    </row>
    <row r="1317" spans="1:9" x14ac:dyDescent="0.25">
      <c r="A1317" s="14" t="s">
        <v>1613</v>
      </c>
      <c r="B1317" s="15"/>
      <c r="C1317" s="15"/>
      <c r="D1317" s="15"/>
      <c r="E1317" s="3">
        <v>5833.29</v>
      </c>
      <c r="F1317" s="3">
        <v>6187.74</v>
      </c>
      <c r="G1317" s="3">
        <v>5889.67</v>
      </c>
      <c r="H1317" s="18">
        <v>17910.7</v>
      </c>
      <c r="I1317" s="19"/>
    </row>
    <row r="1318" spans="1:9" x14ac:dyDescent="0.25">
      <c r="A1318" s="14" t="s">
        <v>1614</v>
      </c>
      <c r="B1318" s="15"/>
      <c r="C1318" s="15"/>
      <c r="D1318" s="15"/>
      <c r="E1318" s="3">
        <v>1394.95</v>
      </c>
      <c r="F1318" s="3">
        <v>6187.78</v>
      </c>
      <c r="G1318" s="3">
        <v>5889.71</v>
      </c>
      <c r="H1318" s="18">
        <v>13472.44</v>
      </c>
      <c r="I1318" s="19"/>
    </row>
    <row r="1319" spans="1:9" x14ac:dyDescent="0.25">
      <c r="A1319" s="14" t="s">
        <v>1615</v>
      </c>
      <c r="B1319" s="15"/>
      <c r="C1319" s="15"/>
      <c r="D1319" s="15"/>
      <c r="E1319" s="3">
        <v>5833.31</v>
      </c>
      <c r="F1319" s="3">
        <v>6187.8</v>
      </c>
      <c r="G1319" s="3">
        <v>5889.69</v>
      </c>
      <c r="H1319" s="18">
        <v>17910.8</v>
      </c>
      <c r="I1319" s="19"/>
    </row>
    <row r="1320" spans="1:9" x14ac:dyDescent="0.25">
      <c r="A1320" s="14" t="s">
        <v>1616</v>
      </c>
      <c r="B1320" s="15"/>
      <c r="C1320" s="15"/>
      <c r="D1320" s="15"/>
      <c r="E1320" s="3">
        <v>15068.89</v>
      </c>
      <c r="F1320" s="3">
        <v>75976.89</v>
      </c>
      <c r="G1320" s="3">
        <v>13324.09</v>
      </c>
      <c r="H1320" s="18">
        <v>104369.87</v>
      </c>
      <c r="I1320" s="19"/>
    </row>
    <row r="1321" spans="1:9" x14ac:dyDescent="0.25">
      <c r="A1321" s="14" t="s">
        <v>1617</v>
      </c>
      <c r="B1321" s="15"/>
      <c r="C1321" s="15"/>
      <c r="D1321" s="15"/>
      <c r="E1321" s="3">
        <v>14882.38</v>
      </c>
      <c r="F1321" s="3">
        <v>390.91</v>
      </c>
      <c r="G1321" s="3">
        <v>12830.75</v>
      </c>
      <c r="H1321" s="18">
        <v>28104.04</v>
      </c>
      <c r="I1321" s="19"/>
    </row>
    <row r="1322" spans="1:9" x14ac:dyDescent="0.25">
      <c r="A1322" s="14" t="s">
        <v>1618</v>
      </c>
      <c r="B1322" s="15"/>
      <c r="C1322" s="15"/>
      <c r="D1322" s="15"/>
      <c r="E1322" s="3">
        <v>20308.919999999998</v>
      </c>
      <c r="F1322" s="3">
        <v>6593.6</v>
      </c>
      <c r="G1322" s="3">
        <v>17509.22</v>
      </c>
      <c r="H1322" s="18">
        <v>44411.74</v>
      </c>
      <c r="I1322" s="19"/>
    </row>
    <row r="1323" spans="1:9" x14ac:dyDescent="0.25">
      <c r="A1323" s="14" t="s">
        <v>1619</v>
      </c>
      <c r="B1323" s="15"/>
      <c r="C1323" s="15"/>
      <c r="D1323" s="15"/>
      <c r="E1323" s="3">
        <v>7366.47</v>
      </c>
      <c r="F1323" s="3">
        <v>272.33999999999997</v>
      </c>
      <c r="G1323" s="3">
        <v>3071.48</v>
      </c>
      <c r="H1323" s="18">
        <v>10710.29</v>
      </c>
      <c r="I1323" s="19"/>
    </row>
    <row r="1324" spans="1:9" x14ac:dyDescent="0.25">
      <c r="A1324" s="14" t="s">
        <v>1620</v>
      </c>
      <c r="B1324" s="15"/>
      <c r="C1324" s="15"/>
      <c r="D1324" s="15"/>
      <c r="E1324" s="3">
        <v>17129.97</v>
      </c>
      <c r="F1324" s="5"/>
      <c r="G1324" s="3">
        <v>12124.5</v>
      </c>
      <c r="H1324" s="18">
        <v>29254.47</v>
      </c>
      <c r="I1324" s="19"/>
    </row>
    <row r="1325" spans="1:9" x14ac:dyDescent="0.25">
      <c r="A1325" s="14" t="s">
        <v>1621</v>
      </c>
      <c r="B1325" s="15"/>
      <c r="C1325" s="15"/>
      <c r="D1325" s="15"/>
      <c r="E1325" s="3">
        <v>9355.74</v>
      </c>
      <c r="F1325" s="5"/>
      <c r="G1325" s="3">
        <v>6622.01</v>
      </c>
      <c r="H1325" s="18">
        <v>15977.75</v>
      </c>
      <c r="I1325" s="19"/>
    </row>
    <row r="1326" spans="1:9" x14ac:dyDescent="0.25">
      <c r="A1326" s="14" t="s">
        <v>1622</v>
      </c>
      <c r="B1326" s="15"/>
      <c r="C1326" s="15"/>
      <c r="D1326" s="15"/>
      <c r="E1326" s="3">
        <v>19339.25</v>
      </c>
      <c r="F1326" s="5"/>
      <c r="G1326" s="3">
        <v>13688.3</v>
      </c>
      <c r="H1326" s="18">
        <v>33027.550000000003</v>
      </c>
      <c r="I1326" s="19"/>
    </row>
    <row r="1327" spans="1:9" x14ac:dyDescent="0.25">
      <c r="A1327" s="14" t="s">
        <v>1623</v>
      </c>
      <c r="B1327" s="15"/>
      <c r="C1327" s="15"/>
      <c r="D1327" s="15"/>
      <c r="E1327" s="3">
        <v>674.1</v>
      </c>
      <c r="F1327" s="5"/>
      <c r="G1327" s="3">
        <v>477.12</v>
      </c>
      <c r="H1327" s="18">
        <v>1151.22</v>
      </c>
      <c r="I1327" s="19"/>
    </row>
    <row r="1328" spans="1:9" x14ac:dyDescent="0.25">
      <c r="A1328" s="14" t="s">
        <v>1624</v>
      </c>
      <c r="B1328" s="15"/>
      <c r="C1328" s="15"/>
      <c r="D1328" s="15"/>
      <c r="E1328" s="3">
        <v>20651.72</v>
      </c>
      <c r="F1328" s="5"/>
      <c r="G1328" s="3">
        <v>14617.21</v>
      </c>
      <c r="H1328" s="18">
        <v>35268.93</v>
      </c>
      <c r="I1328" s="19"/>
    </row>
    <row r="1329" spans="1:9" x14ac:dyDescent="0.25">
      <c r="A1329" s="14" t="s">
        <v>1625</v>
      </c>
      <c r="B1329" s="15"/>
      <c r="C1329" s="15"/>
      <c r="D1329" s="15"/>
      <c r="E1329" s="3">
        <v>4853.22</v>
      </c>
      <c r="F1329" s="5"/>
      <c r="G1329" s="3">
        <v>3435.13</v>
      </c>
      <c r="H1329" s="18">
        <v>8288.35</v>
      </c>
      <c r="I1329" s="19"/>
    </row>
    <row r="1330" spans="1:9" x14ac:dyDescent="0.25">
      <c r="A1330" s="14" t="s">
        <v>1626</v>
      </c>
      <c r="B1330" s="15"/>
      <c r="C1330" s="15"/>
      <c r="D1330" s="15"/>
      <c r="E1330" s="3">
        <v>4985.3999999999996</v>
      </c>
      <c r="F1330" s="3">
        <v>879.25</v>
      </c>
      <c r="G1330" s="3">
        <v>4860.7</v>
      </c>
      <c r="H1330" s="18">
        <v>10725.35</v>
      </c>
      <c r="I1330" s="19"/>
    </row>
    <row r="1331" spans="1:9" x14ac:dyDescent="0.25">
      <c r="A1331" s="14" t="s">
        <v>1627</v>
      </c>
      <c r="B1331" s="15"/>
      <c r="C1331" s="15"/>
      <c r="D1331" s="15"/>
      <c r="E1331" s="4" t="s">
        <v>1628</v>
      </c>
      <c r="F1331" s="4" t="s">
        <v>1629</v>
      </c>
      <c r="G1331" s="4" t="s">
        <v>1630</v>
      </c>
      <c r="H1331" s="20" t="s">
        <v>1631</v>
      </c>
      <c r="I1331" s="21"/>
    </row>
    <row r="1332" spans="1:9" x14ac:dyDescent="0.25">
      <c r="A1332" s="14" t="s">
        <v>1632</v>
      </c>
      <c r="B1332" s="15"/>
      <c r="C1332" s="15"/>
      <c r="D1332" s="15"/>
      <c r="E1332" s="3">
        <v>101734.86</v>
      </c>
      <c r="F1332" s="3">
        <v>28149.919999999998</v>
      </c>
      <c r="G1332" s="3">
        <v>59017.24</v>
      </c>
      <c r="H1332" s="18">
        <v>188902.02</v>
      </c>
      <c r="I1332" s="19"/>
    </row>
    <row r="1333" spans="1:9" x14ac:dyDescent="0.25">
      <c r="A1333" s="14" t="s">
        <v>1633</v>
      </c>
      <c r="B1333" s="15"/>
      <c r="C1333" s="15"/>
      <c r="D1333" s="15"/>
      <c r="E1333" s="3">
        <v>37570.68</v>
      </c>
      <c r="F1333" s="3">
        <v>11816.05</v>
      </c>
      <c r="G1333" s="3">
        <v>24377.919999999998</v>
      </c>
      <c r="H1333" s="18">
        <v>73764.649999999994</v>
      </c>
      <c r="I1333" s="19"/>
    </row>
    <row r="1334" spans="1:9" x14ac:dyDescent="0.25">
      <c r="A1334" s="14" t="s">
        <v>1634</v>
      </c>
      <c r="B1334" s="15"/>
      <c r="C1334" s="15"/>
      <c r="D1334" s="15"/>
      <c r="E1334" s="3">
        <v>27947.53</v>
      </c>
      <c r="F1334" s="3">
        <v>26243.11</v>
      </c>
      <c r="G1334" s="3">
        <v>16244.18</v>
      </c>
      <c r="H1334" s="18">
        <v>70434.820000000007</v>
      </c>
      <c r="I1334" s="19"/>
    </row>
    <row r="1335" spans="1:9" x14ac:dyDescent="0.25">
      <c r="A1335" s="14" t="s">
        <v>1635</v>
      </c>
      <c r="B1335" s="15"/>
      <c r="C1335" s="15"/>
      <c r="D1335" s="15"/>
      <c r="E1335" s="4" t="s">
        <v>1636</v>
      </c>
      <c r="F1335" s="4" t="s">
        <v>1637</v>
      </c>
      <c r="G1335" s="3">
        <v>2929.98</v>
      </c>
      <c r="H1335" s="18">
        <v>2706.07</v>
      </c>
      <c r="I1335" s="19"/>
    </row>
    <row r="1336" spans="1:9" x14ac:dyDescent="0.25">
      <c r="A1336" s="14" t="s">
        <v>1638</v>
      </c>
      <c r="B1336" s="15"/>
      <c r="C1336" s="15"/>
      <c r="D1336" s="15"/>
      <c r="E1336" s="4" t="s">
        <v>1639</v>
      </c>
      <c r="F1336" s="4" t="s">
        <v>1640</v>
      </c>
      <c r="G1336" s="4" t="s">
        <v>1641</v>
      </c>
      <c r="H1336" s="20" t="s">
        <v>1642</v>
      </c>
      <c r="I1336" s="21"/>
    </row>
    <row r="1337" spans="1:9" x14ac:dyDescent="0.25">
      <c r="A1337" s="14" t="s">
        <v>1643</v>
      </c>
      <c r="B1337" s="15"/>
      <c r="C1337" s="15"/>
      <c r="D1337" s="15"/>
      <c r="E1337" s="3">
        <v>42386.78</v>
      </c>
      <c r="F1337" s="3">
        <v>2668.66</v>
      </c>
      <c r="G1337" s="3">
        <v>30094.48</v>
      </c>
      <c r="H1337" s="18">
        <v>75149.919999999998</v>
      </c>
      <c r="I1337" s="19"/>
    </row>
    <row r="1338" spans="1:9" x14ac:dyDescent="0.25">
      <c r="A1338" s="14" t="s">
        <v>1644</v>
      </c>
      <c r="B1338" s="15"/>
      <c r="C1338" s="15"/>
      <c r="D1338" s="15"/>
      <c r="E1338" s="3">
        <v>311948.59000000003</v>
      </c>
      <c r="F1338" s="3">
        <v>19640.22</v>
      </c>
      <c r="G1338" s="3">
        <v>221482.7</v>
      </c>
      <c r="H1338" s="18">
        <v>553071.51</v>
      </c>
      <c r="I1338" s="19"/>
    </row>
    <row r="1339" spans="1:9" x14ac:dyDescent="0.25">
      <c r="A1339" s="14" t="s">
        <v>1645</v>
      </c>
      <c r="B1339" s="15"/>
      <c r="C1339" s="15"/>
      <c r="D1339" s="15"/>
      <c r="E1339" s="3">
        <v>34985.629999999997</v>
      </c>
      <c r="F1339" s="3">
        <v>2202.69</v>
      </c>
      <c r="G1339" s="3">
        <v>25639.73</v>
      </c>
      <c r="H1339" s="18">
        <v>62828.05</v>
      </c>
      <c r="I1339" s="19"/>
    </row>
    <row r="1340" spans="1:9" x14ac:dyDescent="0.25">
      <c r="A1340" s="14" t="s">
        <v>1646</v>
      </c>
      <c r="B1340" s="15"/>
      <c r="C1340" s="15"/>
      <c r="D1340" s="15"/>
      <c r="E1340" s="5"/>
      <c r="F1340" s="3">
        <v>332.84</v>
      </c>
      <c r="G1340" s="5"/>
      <c r="H1340" s="18">
        <v>332.84</v>
      </c>
      <c r="I1340" s="19"/>
    </row>
    <row r="1341" spans="1:9" x14ac:dyDescent="0.25">
      <c r="A1341" s="14" t="s">
        <v>1647</v>
      </c>
      <c r="B1341" s="15"/>
      <c r="C1341" s="15"/>
      <c r="D1341" s="15"/>
      <c r="E1341" s="3">
        <v>100457.57</v>
      </c>
      <c r="F1341" s="3">
        <v>6324.8</v>
      </c>
      <c r="G1341" s="3">
        <v>71324.679999999993</v>
      </c>
      <c r="H1341" s="18">
        <v>178107.05</v>
      </c>
      <c r="I1341" s="19"/>
    </row>
    <row r="1342" spans="1:9" x14ac:dyDescent="0.25">
      <c r="A1342" s="14" t="s">
        <v>1648</v>
      </c>
      <c r="B1342" s="15"/>
      <c r="C1342" s="15"/>
      <c r="D1342" s="15"/>
      <c r="E1342" s="3">
        <v>43271.05</v>
      </c>
      <c r="F1342" s="3">
        <v>2724.36</v>
      </c>
      <c r="G1342" s="3">
        <v>30722.32</v>
      </c>
      <c r="H1342" s="18">
        <v>76717.73</v>
      </c>
      <c r="I1342" s="19"/>
    </row>
    <row r="1343" spans="1:9" x14ac:dyDescent="0.25">
      <c r="A1343" s="14" t="s">
        <v>1649</v>
      </c>
      <c r="B1343" s="15"/>
      <c r="C1343" s="15"/>
      <c r="D1343" s="15"/>
      <c r="E1343" s="3">
        <v>6160.9</v>
      </c>
      <c r="F1343" s="3">
        <v>16114.54</v>
      </c>
      <c r="G1343" s="3">
        <v>4374.22</v>
      </c>
      <c r="H1343" s="18">
        <v>26649.66</v>
      </c>
      <c r="I1343" s="19"/>
    </row>
    <row r="1344" spans="1:9" x14ac:dyDescent="0.25">
      <c r="A1344" s="14" t="s">
        <v>1650</v>
      </c>
      <c r="B1344" s="15"/>
      <c r="C1344" s="15"/>
      <c r="D1344" s="15"/>
      <c r="E1344" s="3">
        <v>46593.63</v>
      </c>
      <c r="F1344" s="3">
        <v>56109.74</v>
      </c>
      <c r="G1344" s="3">
        <v>33081.33</v>
      </c>
      <c r="H1344" s="18">
        <v>135784.70000000001</v>
      </c>
      <c r="I1344" s="19"/>
    </row>
    <row r="1345" spans="1:9" x14ac:dyDescent="0.25">
      <c r="A1345" s="14" t="s">
        <v>1651</v>
      </c>
      <c r="B1345" s="15"/>
      <c r="C1345" s="15"/>
      <c r="D1345" s="15"/>
      <c r="E1345" s="3">
        <v>20544.150000000001</v>
      </c>
      <c r="F1345" s="5"/>
      <c r="G1345" s="3">
        <v>14998.56</v>
      </c>
      <c r="H1345" s="18">
        <v>35542.71</v>
      </c>
      <c r="I1345" s="19"/>
    </row>
    <row r="1346" spans="1:9" x14ac:dyDescent="0.25">
      <c r="A1346" s="14" t="s">
        <v>1652</v>
      </c>
      <c r="B1346" s="15"/>
      <c r="C1346" s="15"/>
      <c r="D1346" s="15"/>
      <c r="E1346" s="3">
        <v>264904.67</v>
      </c>
      <c r="F1346" s="3">
        <v>220026.29</v>
      </c>
      <c r="G1346" s="3">
        <v>196779.33</v>
      </c>
      <c r="H1346" s="18">
        <v>681710.29</v>
      </c>
      <c r="I1346" s="19"/>
    </row>
    <row r="1347" spans="1:9" x14ac:dyDescent="0.25">
      <c r="A1347" s="14" t="s">
        <v>1653</v>
      </c>
      <c r="B1347" s="15"/>
      <c r="C1347" s="15"/>
      <c r="D1347" s="15"/>
      <c r="E1347" s="3">
        <v>20744.84</v>
      </c>
      <c r="F1347" s="5"/>
      <c r="G1347" s="3">
        <v>14683.12</v>
      </c>
      <c r="H1347" s="18">
        <v>35427.96</v>
      </c>
      <c r="I1347" s="19"/>
    </row>
    <row r="1348" spans="1:9" x14ac:dyDescent="0.25">
      <c r="A1348" s="14" t="s">
        <v>1654</v>
      </c>
      <c r="B1348" s="15"/>
      <c r="C1348" s="15"/>
      <c r="D1348" s="15"/>
      <c r="E1348" s="3">
        <v>50034.03</v>
      </c>
      <c r="F1348" s="5"/>
      <c r="G1348" s="3">
        <v>37370.080000000002</v>
      </c>
      <c r="H1348" s="18">
        <v>87404.11</v>
      </c>
      <c r="I1348" s="19"/>
    </row>
    <row r="1349" spans="1:9" x14ac:dyDescent="0.25">
      <c r="A1349" s="14" t="s">
        <v>1655</v>
      </c>
      <c r="B1349" s="15"/>
      <c r="C1349" s="15"/>
      <c r="D1349" s="15"/>
      <c r="E1349" s="3">
        <v>7683.4</v>
      </c>
      <c r="F1349" s="5"/>
      <c r="G1349" s="3">
        <v>5438.28</v>
      </c>
      <c r="H1349" s="18">
        <v>13121.68</v>
      </c>
      <c r="I1349" s="19"/>
    </row>
    <row r="1350" spans="1:9" x14ac:dyDescent="0.25">
      <c r="A1350" s="14" t="s">
        <v>1656</v>
      </c>
      <c r="B1350" s="15"/>
      <c r="C1350" s="15"/>
      <c r="D1350" s="15"/>
      <c r="E1350" s="3">
        <v>2640.54</v>
      </c>
      <c r="F1350" s="5"/>
      <c r="G1350" s="3">
        <v>1868.98</v>
      </c>
      <c r="H1350" s="18">
        <v>4509.5200000000004</v>
      </c>
      <c r="I1350" s="19"/>
    </row>
    <row r="1351" spans="1:9" x14ac:dyDescent="0.25">
      <c r="A1351" s="14" t="s">
        <v>1657</v>
      </c>
      <c r="B1351" s="15"/>
      <c r="C1351" s="15"/>
      <c r="D1351" s="15"/>
      <c r="E1351" s="3">
        <v>157104.68</v>
      </c>
      <c r="F1351" s="3">
        <v>65945.27</v>
      </c>
      <c r="G1351" s="3">
        <v>111198.39999999999</v>
      </c>
      <c r="H1351" s="18">
        <v>334248.34999999998</v>
      </c>
      <c r="I1351" s="19"/>
    </row>
    <row r="1352" spans="1:9" x14ac:dyDescent="0.25">
      <c r="A1352" s="14" t="s">
        <v>1658</v>
      </c>
      <c r="B1352" s="15"/>
      <c r="C1352" s="15"/>
      <c r="D1352" s="15"/>
      <c r="E1352" s="4" t="s">
        <v>1659</v>
      </c>
      <c r="F1352" s="4" t="s">
        <v>1660</v>
      </c>
      <c r="G1352" s="4" t="s">
        <v>1661</v>
      </c>
      <c r="H1352" s="20" t="s">
        <v>1662</v>
      </c>
      <c r="I1352" s="21"/>
    </row>
    <row r="1353" spans="1:9" x14ac:dyDescent="0.25">
      <c r="A1353" s="14" t="s">
        <v>1663</v>
      </c>
      <c r="B1353" s="15"/>
      <c r="C1353" s="15"/>
      <c r="D1353" s="15"/>
      <c r="E1353" s="3">
        <v>40379.129999999997</v>
      </c>
      <c r="F1353" s="3">
        <v>15461.99</v>
      </c>
      <c r="G1353" s="3">
        <v>28580.25</v>
      </c>
      <c r="H1353" s="18">
        <v>84421.37</v>
      </c>
      <c r="I1353" s="19"/>
    </row>
    <row r="1354" spans="1:9" x14ac:dyDescent="0.25">
      <c r="A1354" s="14" t="s">
        <v>1664</v>
      </c>
      <c r="B1354" s="15"/>
      <c r="C1354" s="15"/>
      <c r="D1354" s="15"/>
      <c r="E1354" s="3">
        <v>3416.71</v>
      </c>
      <c r="F1354" s="5"/>
      <c r="G1354" s="3">
        <v>2418.35</v>
      </c>
      <c r="H1354" s="18">
        <v>5835.06</v>
      </c>
      <c r="I1354" s="19"/>
    </row>
    <row r="1355" spans="1:9" x14ac:dyDescent="0.25">
      <c r="A1355" s="14" t="s">
        <v>1665</v>
      </c>
      <c r="B1355" s="15"/>
      <c r="C1355" s="15"/>
      <c r="D1355" s="15"/>
      <c r="E1355" s="3">
        <v>14092.4</v>
      </c>
      <c r="F1355" s="5"/>
      <c r="G1355" s="3">
        <v>9974.5400000000009</v>
      </c>
      <c r="H1355" s="18">
        <v>24066.94</v>
      </c>
      <c r="I1355" s="19"/>
    </row>
    <row r="1356" spans="1:9" x14ac:dyDescent="0.25">
      <c r="A1356" s="14" t="s">
        <v>1666</v>
      </c>
      <c r="B1356" s="15"/>
      <c r="C1356" s="15"/>
      <c r="D1356" s="15"/>
      <c r="E1356" s="3">
        <v>6678.86</v>
      </c>
      <c r="F1356" s="5"/>
      <c r="G1356" s="3">
        <v>4727.28</v>
      </c>
      <c r="H1356" s="18">
        <v>11406.14</v>
      </c>
      <c r="I1356" s="19"/>
    </row>
    <row r="1357" spans="1:9" x14ac:dyDescent="0.25">
      <c r="A1357" s="14" t="s">
        <v>1667</v>
      </c>
      <c r="B1357" s="15"/>
      <c r="C1357" s="15"/>
      <c r="D1357" s="15"/>
      <c r="E1357" s="3">
        <v>36186.519999999997</v>
      </c>
      <c r="F1357" s="5"/>
      <c r="G1357" s="3">
        <v>25612.799999999999</v>
      </c>
      <c r="H1357" s="18">
        <v>61799.32</v>
      </c>
      <c r="I1357" s="19"/>
    </row>
    <row r="1358" spans="1:9" x14ac:dyDescent="0.25">
      <c r="A1358" s="14" t="s">
        <v>1668</v>
      </c>
      <c r="B1358" s="15"/>
      <c r="C1358" s="15"/>
      <c r="D1358" s="15"/>
      <c r="E1358" s="3">
        <v>11148.32</v>
      </c>
      <c r="F1358" s="5"/>
      <c r="G1358" s="3">
        <v>7890.78</v>
      </c>
      <c r="H1358" s="18">
        <v>19039.099999999999</v>
      </c>
      <c r="I1358" s="19"/>
    </row>
    <row r="1359" spans="1:9" x14ac:dyDescent="0.25">
      <c r="A1359" s="14" t="s">
        <v>1669</v>
      </c>
      <c r="B1359" s="15"/>
      <c r="C1359" s="15"/>
      <c r="D1359" s="15"/>
      <c r="E1359" s="3">
        <v>43315.96</v>
      </c>
      <c r="F1359" s="3">
        <v>6348.99</v>
      </c>
      <c r="G1359" s="3">
        <v>25176.880000000001</v>
      </c>
      <c r="H1359" s="18">
        <v>74841.83</v>
      </c>
      <c r="I1359" s="19"/>
    </row>
    <row r="1360" spans="1:9" x14ac:dyDescent="0.25">
      <c r="A1360" s="14" t="s">
        <v>1670</v>
      </c>
      <c r="B1360" s="15"/>
      <c r="C1360" s="15"/>
      <c r="D1360" s="15"/>
      <c r="E1360" s="3">
        <v>60278.14</v>
      </c>
      <c r="F1360" s="3">
        <v>8835.25</v>
      </c>
      <c r="G1360" s="3">
        <v>35035.99</v>
      </c>
      <c r="H1360" s="18">
        <v>104149.38</v>
      </c>
      <c r="I1360" s="19"/>
    </row>
    <row r="1361" spans="1:9" x14ac:dyDescent="0.25">
      <c r="A1361" s="14" t="s">
        <v>1671</v>
      </c>
      <c r="B1361" s="15"/>
      <c r="C1361" s="15"/>
      <c r="D1361" s="15"/>
      <c r="E1361" s="5"/>
      <c r="F1361" s="3">
        <v>4325.7700000000004</v>
      </c>
      <c r="G1361" s="5"/>
      <c r="H1361" s="18">
        <v>4325.7700000000004</v>
      </c>
      <c r="I1361" s="19"/>
    </row>
    <row r="1362" spans="1:9" x14ac:dyDescent="0.25">
      <c r="A1362" s="14" t="s">
        <v>1672</v>
      </c>
      <c r="B1362" s="15"/>
      <c r="C1362" s="15"/>
      <c r="D1362" s="15"/>
      <c r="E1362" s="3">
        <v>5146.28</v>
      </c>
      <c r="F1362" s="3">
        <v>5515.07</v>
      </c>
      <c r="G1362" s="3">
        <v>30287.37</v>
      </c>
      <c r="H1362" s="18">
        <v>40948.720000000001</v>
      </c>
      <c r="I1362" s="19"/>
    </row>
    <row r="1363" spans="1:9" x14ac:dyDescent="0.25">
      <c r="A1363" s="14" t="s">
        <v>1673</v>
      </c>
      <c r="B1363" s="15"/>
      <c r="C1363" s="15"/>
      <c r="D1363" s="15"/>
      <c r="E1363" s="3">
        <v>342104.08</v>
      </c>
      <c r="F1363" s="4" t="s">
        <v>1674</v>
      </c>
      <c r="G1363" s="3">
        <v>317703.86</v>
      </c>
      <c r="H1363" s="18">
        <v>615594.17000000004</v>
      </c>
      <c r="I1363" s="19"/>
    </row>
    <row r="1364" spans="1:9" x14ac:dyDescent="0.25">
      <c r="A1364" s="14" t="s">
        <v>1675</v>
      </c>
      <c r="B1364" s="15"/>
      <c r="C1364" s="15"/>
      <c r="D1364" s="15"/>
      <c r="E1364" s="3">
        <v>116005.47</v>
      </c>
      <c r="F1364" s="4" t="s">
        <v>1676</v>
      </c>
      <c r="G1364" s="3">
        <v>115834.02</v>
      </c>
      <c r="H1364" s="18">
        <v>182104.73</v>
      </c>
      <c r="I1364" s="19"/>
    </row>
    <row r="1365" spans="1:9" x14ac:dyDescent="0.25">
      <c r="A1365" s="14" t="s">
        <v>1677</v>
      </c>
      <c r="B1365" s="15"/>
      <c r="C1365" s="15"/>
      <c r="D1365" s="15"/>
      <c r="E1365" s="5"/>
      <c r="F1365" s="5"/>
      <c r="G1365" s="3">
        <v>19662.54</v>
      </c>
      <c r="H1365" s="18">
        <v>19662.54</v>
      </c>
      <c r="I1365" s="19"/>
    </row>
    <row r="1366" spans="1:9" x14ac:dyDescent="0.25">
      <c r="A1366" s="14" t="s">
        <v>1678</v>
      </c>
      <c r="B1366" s="15"/>
      <c r="C1366" s="15"/>
      <c r="D1366" s="15"/>
      <c r="E1366" s="5"/>
      <c r="F1366" s="5"/>
      <c r="G1366" s="3">
        <v>16836.84</v>
      </c>
      <c r="H1366" s="18">
        <v>16836.84</v>
      </c>
      <c r="I1366" s="19"/>
    </row>
    <row r="1367" spans="1:9" x14ac:dyDescent="0.25">
      <c r="A1367" s="14" t="s">
        <v>1679</v>
      </c>
      <c r="B1367" s="15"/>
      <c r="C1367" s="15"/>
      <c r="D1367" s="15"/>
      <c r="E1367" s="3">
        <v>2006.65</v>
      </c>
      <c r="F1367" s="5"/>
      <c r="G1367" s="5"/>
      <c r="H1367" s="18">
        <v>2006.65</v>
      </c>
      <c r="I1367" s="19"/>
    </row>
    <row r="1368" spans="1:9" x14ac:dyDescent="0.25">
      <c r="A1368" s="14" t="s">
        <v>1680</v>
      </c>
      <c r="B1368" s="15"/>
      <c r="C1368" s="15"/>
      <c r="D1368" s="15"/>
      <c r="E1368" s="5"/>
      <c r="F1368" s="5"/>
      <c r="G1368" s="3">
        <v>980.29</v>
      </c>
      <c r="H1368" s="18">
        <v>980.29</v>
      </c>
      <c r="I1368" s="19"/>
    </row>
    <row r="1369" spans="1:9" x14ac:dyDescent="0.25">
      <c r="A1369" s="14" t="s">
        <v>1681</v>
      </c>
      <c r="B1369" s="15"/>
      <c r="C1369" s="15"/>
      <c r="D1369" s="15"/>
      <c r="E1369" s="5"/>
      <c r="F1369" s="5"/>
      <c r="G1369" s="3">
        <v>500</v>
      </c>
      <c r="H1369" s="18">
        <v>500</v>
      </c>
      <c r="I1369" s="19"/>
    </row>
    <row r="1370" spans="1:9" x14ac:dyDescent="0.25">
      <c r="A1370" s="14" t="s">
        <v>1682</v>
      </c>
      <c r="B1370" s="15"/>
      <c r="C1370" s="15"/>
      <c r="D1370" s="15"/>
      <c r="E1370" s="3">
        <v>2006.65</v>
      </c>
      <c r="F1370" s="5"/>
      <c r="G1370" s="5"/>
      <c r="H1370" s="18">
        <v>2006.65</v>
      </c>
      <c r="I1370" s="19"/>
    </row>
    <row r="1371" spans="1:9" x14ac:dyDescent="0.25">
      <c r="A1371" s="14" t="s">
        <v>1683</v>
      </c>
      <c r="B1371" s="15"/>
      <c r="C1371" s="15"/>
      <c r="D1371" s="15"/>
      <c r="E1371" s="5"/>
      <c r="F1371" s="5"/>
      <c r="G1371" s="3">
        <v>34654.980000000003</v>
      </c>
      <c r="H1371" s="18">
        <v>34654.980000000003</v>
      </c>
      <c r="I1371" s="19"/>
    </row>
    <row r="1372" spans="1:9" x14ac:dyDescent="0.25">
      <c r="A1372" s="14" t="s">
        <v>1684</v>
      </c>
      <c r="B1372" s="15"/>
      <c r="C1372" s="15"/>
      <c r="D1372" s="15"/>
      <c r="E1372" s="3">
        <v>82615.73</v>
      </c>
      <c r="F1372" s="3">
        <v>52285.7</v>
      </c>
      <c r="G1372" s="3">
        <v>69076.3</v>
      </c>
      <c r="H1372" s="18">
        <v>203977.73</v>
      </c>
      <c r="I1372" s="19"/>
    </row>
    <row r="1373" spans="1:9" x14ac:dyDescent="0.25">
      <c r="A1373" s="14" t="s">
        <v>1685</v>
      </c>
      <c r="B1373" s="15"/>
      <c r="C1373" s="15"/>
      <c r="D1373" s="15"/>
      <c r="E1373" s="3">
        <v>30851.69</v>
      </c>
      <c r="F1373" s="3">
        <v>27337.94</v>
      </c>
      <c r="G1373" s="3">
        <v>71592.399999999994</v>
      </c>
      <c r="H1373" s="18">
        <v>129782.03</v>
      </c>
      <c r="I1373" s="19"/>
    </row>
    <row r="1374" spans="1:9" x14ac:dyDescent="0.25">
      <c r="A1374" s="14" t="s">
        <v>1686</v>
      </c>
      <c r="B1374" s="15"/>
      <c r="C1374" s="15"/>
      <c r="D1374" s="15"/>
      <c r="E1374" s="3">
        <v>202632.71</v>
      </c>
      <c r="F1374" s="3">
        <v>158567.04000000001</v>
      </c>
      <c r="G1374" s="3">
        <v>451554.97</v>
      </c>
      <c r="H1374" s="18">
        <v>812754.72</v>
      </c>
      <c r="I1374" s="19"/>
    </row>
    <row r="1375" spans="1:9" x14ac:dyDescent="0.25">
      <c r="A1375" s="14" t="s">
        <v>1687</v>
      </c>
      <c r="B1375" s="15"/>
      <c r="C1375" s="15"/>
      <c r="D1375" s="15"/>
      <c r="E1375" s="3">
        <v>524692.47</v>
      </c>
      <c r="F1375" s="3">
        <v>838217.02</v>
      </c>
      <c r="G1375" s="3">
        <v>638490.96</v>
      </c>
      <c r="H1375" s="18">
        <v>2001400.45</v>
      </c>
      <c r="I1375" s="19"/>
    </row>
    <row r="1376" spans="1:9" x14ac:dyDescent="0.25">
      <c r="A1376" s="14" t="s">
        <v>1688</v>
      </c>
      <c r="B1376" s="15"/>
      <c r="C1376" s="15"/>
      <c r="D1376" s="15"/>
      <c r="E1376" s="3">
        <v>398235.27</v>
      </c>
      <c r="F1376" s="3">
        <v>261556.76</v>
      </c>
      <c r="G1376" s="3">
        <v>523635.08</v>
      </c>
      <c r="H1376" s="18">
        <v>1183427.1100000001</v>
      </c>
      <c r="I1376" s="19"/>
    </row>
    <row r="1377" spans="1:9" x14ac:dyDescent="0.25">
      <c r="A1377" s="14" t="s">
        <v>1689</v>
      </c>
      <c r="B1377" s="15"/>
      <c r="C1377" s="15"/>
      <c r="D1377" s="15"/>
      <c r="E1377" s="3">
        <v>228747.34</v>
      </c>
      <c r="F1377" s="3">
        <v>170535.94</v>
      </c>
      <c r="G1377" s="3">
        <v>280912.83</v>
      </c>
      <c r="H1377" s="18">
        <v>680196.11</v>
      </c>
      <c r="I1377" s="19"/>
    </row>
    <row r="1378" spans="1:9" x14ac:dyDescent="0.25">
      <c r="A1378" s="14" t="s">
        <v>1690</v>
      </c>
      <c r="B1378" s="15"/>
      <c r="C1378" s="15"/>
      <c r="D1378" s="15"/>
      <c r="E1378" s="5"/>
      <c r="F1378" s="5"/>
      <c r="G1378" s="3">
        <v>7003.41</v>
      </c>
      <c r="H1378" s="18">
        <v>7003.41</v>
      </c>
      <c r="I1378" s="19"/>
    </row>
    <row r="1379" spans="1:9" x14ac:dyDescent="0.25">
      <c r="A1379" s="14" t="s">
        <v>1691</v>
      </c>
      <c r="B1379" s="15"/>
      <c r="C1379" s="15"/>
      <c r="D1379" s="15"/>
      <c r="E1379" s="3">
        <v>2999.31</v>
      </c>
      <c r="F1379" s="3">
        <v>4534.97</v>
      </c>
      <c r="G1379" s="5"/>
      <c r="H1379" s="18">
        <v>7534.28</v>
      </c>
      <c r="I1379" s="19"/>
    </row>
    <row r="1380" spans="1:9" x14ac:dyDescent="0.25">
      <c r="A1380" s="14" t="s">
        <v>1692</v>
      </c>
      <c r="B1380" s="15"/>
      <c r="C1380" s="15"/>
      <c r="D1380" s="15"/>
      <c r="E1380" s="3">
        <v>14601.08</v>
      </c>
      <c r="F1380" s="3">
        <v>10657.01</v>
      </c>
      <c r="G1380" s="3">
        <v>18000.54</v>
      </c>
      <c r="H1380" s="18">
        <v>43258.63</v>
      </c>
      <c r="I1380" s="19"/>
    </row>
    <row r="1381" spans="1:9" x14ac:dyDescent="0.25">
      <c r="A1381" s="14" t="s">
        <v>1693</v>
      </c>
      <c r="B1381" s="15"/>
      <c r="C1381" s="15"/>
      <c r="D1381" s="15"/>
      <c r="E1381" s="3">
        <v>30918.93</v>
      </c>
      <c r="F1381" s="3">
        <v>17256.810000000001</v>
      </c>
      <c r="G1381" s="3">
        <v>52249.07</v>
      </c>
      <c r="H1381" s="18">
        <v>100424.81</v>
      </c>
      <c r="I1381" s="19"/>
    </row>
    <row r="1382" spans="1:9" x14ac:dyDescent="0.25">
      <c r="A1382" s="14" t="s">
        <v>1694</v>
      </c>
      <c r="B1382" s="15"/>
      <c r="C1382" s="15"/>
      <c r="D1382" s="15"/>
      <c r="E1382" s="3">
        <v>68388</v>
      </c>
      <c r="F1382" s="3">
        <v>40669.56</v>
      </c>
      <c r="G1382" s="3">
        <v>64491.08</v>
      </c>
      <c r="H1382" s="18">
        <v>173548.64</v>
      </c>
      <c r="I1382" s="19"/>
    </row>
    <row r="1383" spans="1:9" x14ac:dyDescent="0.25">
      <c r="A1383" s="14" t="s">
        <v>1695</v>
      </c>
      <c r="B1383" s="15"/>
      <c r="C1383" s="15"/>
      <c r="D1383" s="15"/>
      <c r="E1383" s="3">
        <v>185828.84</v>
      </c>
      <c r="F1383" s="3">
        <v>49560.480000000003</v>
      </c>
      <c r="G1383" s="3">
        <v>267924.07</v>
      </c>
      <c r="H1383" s="18">
        <v>503313.39</v>
      </c>
      <c r="I1383" s="19"/>
    </row>
    <row r="1384" spans="1:9" x14ac:dyDescent="0.25">
      <c r="A1384" s="14" t="s">
        <v>1696</v>
      </c>
      <c r="B1384" s="15"/>
      <c r="C1384" s="15"/>
      <c r="D1384" s="15"/>
      <c r="E1384" s="3">
        <v>52844.31</v>
      </c>
      <c r="F1384" s="3">
        <v>19214.7</v>
      </c>
      <c r="G1384" s="3">
        <v>36141.42</v>
      </c>
      <c r="H1384" s="18">
        <v>108200.43</v>
      </c>
      <c r="I1384" s="19"/>
    </row>
    <row r="1385" spans="1:9" x14ac:dyDescent="0.25">
      <c r="A1385" s="14" t="s">
        <v>1697</v>
      </c>
      <c r="B1385" s="15"/>
      <c r="C1385" s="15"/>
      <c r="D1385" s="15"/>
      <c r="E1385" s="3">
        <v>78261.149999999994</v>
      </c>
      <c r="F1385" s="3">
        <v>50536.84</v>
      </c>
      <c r="G1385" s="3">
        <v>29171.46</v>
      </c>
      <c r="H1385" s="18">
        <v>157969.45000000001</v>
      </c>
      <c r="I1385" s="19"/>
    </row>
    <row r="1386" spans="1:9" x14ac:dyDescent="0.25">
      <c r="A1386" s="14" t="s">
        <v>1698</v>
      </c>
      <c r="B1386" s="15"/>
      <c r="C1386" s="15"/>
      <c r="D1386" s="15"/>
      <c r="E1386" s="3">
        <v>324687.52</v>
      </c>
      <c r="F1386" s="3">
        <v>219654.89</v>
      </c>
      <c r="G1386" s="3">
        <v>232573.97</v>
      </c>
      <c r="H1386" s="18">
        <v>776916.38</v>
      </c>
      <c r="I1386" s="19"/>
    </row>
    <row r="1387" spans="1:9" x14ac:dyDescent="0.25">
      <c r="A1387" s="14" t="s">
        <v>1699</v>
      </c>
      <c r="B1387" s="15"/>
      <c r="C1387" s="15"/>
      <c r="D1387" s="15"/>
      <c r="E1387" s="3">
        <v>128543.25</v>
      </c>
      <c r="F1387" s="3">
        <v>79356.59</v>
      </c>
      <c r="G1387" s="3">
        <v>112848.14</v>
      </c>
      <c r="H1387" s="18">
        <v>320747.98</v>
      </c>
      <c r="I1387" s="19"/>
    </row>
    <row r="1388" spans="1:9" x14ac:dyDescent="0.25">
      <c r="A1388" s="14" t="s">
        <v>1700</v>
      </c>
      <c r="B1388" s="15"/>
      <c r="C1388" s="15"/>
      <c r="D1388" s="15"/>
      <c r="E1388" s="3">
        <v>175041.11</v>
      </c>
      <c r="F1388" s="3">
        <v>174266.76</v>
      </c>
      <c r="G1388" s="3">
        <v>195707.42</v>
      </c>
      <c r="H1388" s="18">
        <v>545015.29</v>
      </c>
      <c r="I1388" s="19"/>
    </row>
    <row r="1389" spans="1:9" x14ac:dyDescent="0.25">
      <c r="A1389" s="14" t="s">
        <v>1701</v>
      </c>
      <c r="B1389" s="15"/>
      <c r="C1389" s="15"/>
      <c r="D1389" s="15"/>
      <c r="E1389" s="5"/>
      <c r="F1389" s="5"/>
      <c r="G1389" s="3">
        <v>25826.22</v>
      </c>
      <c r="H1389" s="18">
        <v>25826.22</v>
      </c>
      <c r="I1389" s="19"/>
    </row>
    <row r="1390" spans="1:9" x14ac:dyDescent="0.25">
      <c r="A1390" s="14" t="s">
        <v>1702</v>
      </c>
      <c r="B1390" s="15"/>
      <c r="C1390" s="15"/>
      <c r="D1390" s="15"/>
      <c r="E1390" s="3">
        <v>260017.35</v>
      </c>
      <c r="F1390" s="3">
        <v>232667.06</v>
      </c>
      <c r="G1390" s="3">
        <v>143496.87</v>
      </c>
      <c r="H1390" s="18">
        <v>636181.28</v>
      </c>
      <c r="I1390" s="19"/>
    </row>
    <row r="1391" spans="1:9" x14ac:dyDescent="0.25">
      <c r="A1391" s="14" t="s">
        <v>1703</v>
      </c>
      <c r="B1391" s="15"/>
      <c r="C1391" s="15"/>
      <c r="D1391" s="15"/>
      <c r="E1391" s="3">
        <v>521426.03</v>
      </c>
      <c r="F1391" s="3">
        <v>333212.28000000003</v>
      </c>
      <c r="G1391" s="3">
        <v>353022.85</v>
      </c>
      <c r="H1391" s="18">
        <v>1207661.1599999999</v>
      </c>
      <c r="I1391" s="19"/>
    </row>
    <row r="1392" spans="1:9" x14ac:dyDescent="0.25">
      <c r="A1392" s="14" t="s">
        <v>1704</v>
      </c>
      <c r="B1392" s="15"/>
      <c r="C1392" s="15"/>
      <c r="D1392" s="15"/>
      <c r="E1392" s="3">
        <v>408947.46</v>
      </c>
      <c r="F1392" s="3">
        <v>403776.47</v>
      </c>
      <c r="G1392" s="3">
        <v>420137.98</v>
      </c>
      <c r="H1392" s="18">
        <v>1232861.9099999999</v>
      </c>
      <c r="I1392" s="19"/>
    </row>
    <row r="1393" spans="1:9" x14ac:dyDescent="0.25">
      <c r="A1393" s="14" t="s">
        <v>1705</v>
      </c>
      <c r="B1393" s="15"/>
      <c r="C1393" s="15"/>
      <c r="D1393" s="15"/>
      <c r="E1393" s="3">
        <v>6035.02</v>
      </c>
      <c r="F1393" s="5"/>
      <c r="G1393" s="3">
        <v>81.28</v>
      </c>
      <c r="H1393" s="18">
        <v>6116.3</v>
      </c>
      <c r="I1393" s="19"/>
    </row>
    <row r="1394" spans="1:9" x14ac:dyDescent="0.25">
      <c r="A1394" s="14" t="s">
        <v>1706</v>
      </c>
      <c r="B1394" s="15"/>
      <c r="C1394" s="15"/>
      <c r="D1394" s="15"/>
      <c r="E1394" s="3">
        <v>785963.98</v>
      </c>
      <c r="F1394" s="3">
        <v>9686.31</v>
      </c>
      <c r="G1394" s="3">
        <v>39195.1</v>
      </c>
      <c r="H1394" s="18">
        <v>834845.39</v>
      </c>
      <c r="I1394" s="19"/>
    </row>
    <row r="1395" spans="1:9" x14ac:dyDescent="0.25">
      <c r="A1395" s="14" t="s">
        <v>1707</v>
      </c>
      <c r="B1395" s="15"/>
      <c r="C1395" s="15"/>
      <c r="D1395" s="15"/>
      <c r="E1395" s="3">
        <v>898264.74</v>
      </c>
      <c r="F1395" s="3">
        <v>551027.06999999995</v>
      </c>
      <c r="G1395" s="3">
        <v>1372993.84</v>
      </c>
      <c r="H1395" s="18">
        <v>2822285.65</v>
      </c>
      <c r="I1395" s="19"/>
    </row>
    <row r="1396" spans="1:9" x14ac:dyDescent="0.25">
      <c r="A1396" s="14" t="s">
        <v>1708</v>
      </c>
      <c r="B1396" s="15"/>
      <c r="C1396" s="15"/>
      <c r="D1396" s="15"/>
      <c r="E1396" s="5"/>
      <c r="F1396" s="3">
        <v>3587.37</v>
      </c>
      <c r="G1396" s="3">
        <v>14838.19</v>
      </c>
      <c r="H1396" s="18">
        <v>18425.560000000001</v>
      </c>
      <c r="I1396" s="19"/>
    </row>
    <row r="1397" spans="1:9" x14ac:dyDescent="0.25">
      <c r="A1397" s="14" t="s">
        <v>1709</v>
      </c>
      <c r="B1397" s="15"/>
      <c r="C1397" s="15"/>
      <c r="D1397" s="15"/>
      <c r="E1397" s="5"/>
      <c r="F1397" s="5"/>
      <c r="G1397" s="3">
        <v>5884.44</v>
      </c>
      <c r="H1397" s="18">
        <v>5884.44</v>
      </c>
      <c r="I1397" s="19"/>
    </row>
    <row r="1398" spans="1:9" x14ac:dyDescent="0.25">
      <c r="A1398" s="14" t="s">
        <v>1710</v>
      </c>
      <c r="B1398" s="15"/>
      <c r="C1398" s="15"/>
      <c r="D1398" s="15"/>
      <c r="E1398" s="5"/>
      <c r="F1398" s="5"/>
      <c r="G1398" s="3">
        <v>9392.4599999999991</v>
      </c>
      <c r="H1398" s="18">
        <v>9392.4599999999991</v>
      </c>
      <c r="I1398" s="19"/>
    </row>
    <row r="1399" spans="1:9" x14ac:dyDescent="0.25">
      <c r="A1399" s="14" t="s">
        <v>1711</v>
      </c>
      <c r="B1399" s="15"/>
      <c r="C1399" s="15"/>
      <c r="D1399" s="15"/>
      <c r="E1399" s="3">
        <v>859.41</v>
      </c>
      <c r="F1399" s="3">
        <v>3126.54</v>
      </c>
      <c r="G1399" s="3">
        <v>9626.91</v>
      </c>
      <c r="H1399" s="18">
        <v>13612.86</v>
      </c>
      <c r="I1399" s="19"/>
    </row>
    <row r="1400" spans="1:9" x14ac:dyDescent="0.25">
      <c r="A1400" s="14" t="s">
        <v>1712</v>
      </c>
      <c r="B1400" s="15"/>
      <c r="C1400" s="15"/>
      <c r="D1400" s="15"/>
      <c r="E1400" s="3">
        <v>12246.51</v>
      </c>
      <c r="F1400" s="5"/>
      <c r="G1400" s="3">
        <v>5884.44</v>
      </c>
      <c r="H1400" s="18">
        <v>18130.95</v>
      </c>
      <c r="I1400" s="19"/>
    </row>
    <row r="1401" spans="1:9" x14ac:dyDescent="0.25">
      <c r="A1401" s="14" t="s">
        <v>1713</v>
      </c>
      <c r="B1401" s="15"/>
      <c r="C1401" s="15"/>
      <c r="D1401" s="15"/>
      <c r="E1401" s="3">
        <v>895046.64</v>
      </c>
      <c r="F1401" s="3">
        <v>521166.07</v>
      </c>
      <c r="G1401" s="3">
        <v>593702.52</v>
      </c>
      <c r="H1401" s="18">
        <v>2009915.23</v>
      </c>
      <c r="I1401" s="19"/>
    </row>
    <row r="1402" spans="1:9" x14ac:dyDescent="0.25">
      <c r="A1402" s="14" t="s">
        <v>1714</v>
      </c>
      <c r="B1402" s="15"/>
      <c r="C1402" s="15"/>
      <c r="D1402" s="15"/>
      <c r="E1402" s="3">
        <v>247411.41</v>
      </c>
      <c r="F1402" s="4" t="s">
        <v>1715</v>
      </c>
      <c r="G1402" s="3">
        <v>437618.36</v>
      </c>
      <c r="H1402" s="18">
        <v>560306.82999999996</v>
      </c>
      <c r="I1402" s="19"/>
    </row>
    <row r="1403" spans="1:9" x14ac:dyDescent="0.25">
      <c r="A1403" s="14" t="s">
        <v>1716</v>
      </c>
      <c r="B1403" s="15"/>
      <c r="C1403" s="15"/>
      <c r="D1403" s="15"/>
      <c r="E1403" s="3">
        <v>25201.59</v>
      </c>
      <c r="F1403" s="3">
        <v>4430.18</v>
      </c>
      <c r="G1403" s="3">
        <v>40028.629999999997</v>
      </c>
      <c r="H1403" s="18">
        <v>69660.399999999994</v>
      </c>
      <c r="I1403" s="19"/>
    </row>
    <row r="1404" spans="1:9" x14ac:dyDescent="0.25">
      <c r="A1404" s="14" t="s">
        <v>1717</v>
      </c>
      <c r="B1404" s="15"/>
      <c r="C1404" s="15"/>
      <c r="D1404" s="15"/>
      <c r="E1404" s="5"/>
      <c r="F1404" s="5"/>
      <c r="G1404" s="3">
        <v>5884.44</v>
      </c>
      <c r="H1404" s="18">
        <v>5884.44</v>
      </c>
      <c r="I1404" s="19"/>
    </row>
    <row r="1405" spans="1:9" x14ac:dyDescent="0.25">
      <c r="A1405" s="14" t="s">
        <v>1718</v>
      </c>
      <c r="B1405" s="15"/>
      <c r="C1405" s="15"/>
      <c r="D1405" s="15"/>
      <c r="E1405" s="5"/>
      <c r="F1405" s="5"/>
      <c r="G1405" s="3">
        <v>9392.4599999999991</v>
      </c>
      <c r="H1405" s="18">
        <v>9392.4599999999991</v>
      </c>
      <c r="I1405" s="19"/>
    </row>
    <row r="1406" spans="1:9" x14ac:dyDescent="0.25">
      <c r="A1406" s="14" t="s">
        <v>1719</v>
      </c>
      <c r="B1406" s="15"/>
      <c r="C1406" s="15"/>
      <c r="D1406" s="15"/>
      <c r="E1406" s="3">
        <v>859.41</v>
      </c>
      <c r="F1406" s="3">
        <v>1049.9000000000001</v>
      </c>
      <c r="G1406" s="3">
        <v>17692.36</v>
      </c>
      <c r="H1406" s="18">
        <v>19601.669999999998</v>
      </c>
      <c r="I1406" s="19"/>
    </row>
    <row r="1407" spans="1:9" x14ac:dyDescent="0.25">
      <c r="A1407" s="14" t="s">
        <v>1720</v>
      </c>
      <c r="B1407" s="15"/>
      <c r="C1407" s="15"/>
      <c r="D1407" s="15"/>
      <c r="E1407" s="5"/>
      <c r="F1407" s="5"/>
      <c r="G1407" s="3">
        <v>5884.65</v>
      </c>
      <c r="H1407" s="18">
        <v>5884.65</v>
      </c>
      <c r="I1407" s="19"/>
    </row>
    <row r="1408" spans="1:9" x14ac:dyDescent="0.25">
      <c r="A1408" s="14" t="s">
        <v>1721</v>
      </c>
      <c r="B1408" s="15"/>
      <c r="C1408" s="15"/>
      <c r="D1408" s="15"/>
      <c r="E1408" s="5"/>
      <c r="F1408" s="5"/>
      <c r="G1408" s="3">
        <v>5884.44</v>
      </c>
      <c r="H1408" s="18">
        <v>5884.44</v>
      </c>
      <c r="I1408" s="19"/>
    </row>
    <row r="1409" spans="1:9" x14ac:dyDescent="0.25">
      <c r="A1409" s="14" t="s">
        <v>1722</v>
      </c>
      <c r="B1409" s="15"/>
      <c r="C1409" s="15"/>
      <c r="D1409" s="15"/>
      <c r="E1409" s="3">
        <v>651438.53</v>
      </c>
      <c r="F1409" s="3">
        <v>327057.91999999998</v>
      </c>
      <c r="G1409" s="3">
        <v>363470.7</v>
      </c>
      <c r="H1409" s="18">
        <v>1341967.1499999999</v>
      </c>
      <c r="I1409" s="19"/>
    </row>
    <row r="1410" spans="1:9" x14ac:dyDescent="0.25">
      <c r="A1410" s="14" t="s">
        <v>1723</v>
      </c>
      <c r="B1410" s="15"/>
      <c r="C1410" s="15"/>
      <c r="D1410" s="15"/>
      <c r="E1410" s="3">
        <v>13042.08</v>
      </c>
      <c r="F1410" s="3">
        <v>3911.38</v>
      </c>
      <c r="G1410" s="3">
        <v>1486.78</v>
      </c>
      <c r="H1410" s="18">
        <v>18440.240000000002</v>
      </c>
      <c r="I1410" s="19"/>
    </row>
    <row r="1411" spans="1:9" x14ac:dyDescent="0.25">
      <c r="A1411" s="14" t="s">
        <v>1724</v>
      </c>
      <c r="B1411" s="15"/>
      <c r="C1411" s="15"/>
      <c r="D1411" s="15"/>
      <c r="E1411" s="3">
        <v>119847.44</v>
      </c>
      <c r="F1411" s="3">
        <v>66196.37</v>
      </c>
      <c r="G1411" s="3">
        <v>36477.64</v>
      </c>
      <c r="H1411" s="18">
        <v>222521.45</v>
      </c>
      <c r="I1411" s="19"/>
    </row>
    <row r="1412" spans="1:9" x14ac:dyDescent="0.25">
      <c r="A1412" s="14" t="s">
        <v>1725</v>
      </c>
      <c r="B1412" s="15"/>
      <c r="C1412" s="15"/>
      <c r="D1412" s="15"/>
      <c r="E1412" s="3">
        <v>291783.09999999998</v>
      </c>
      <c r="F1412" s="3">
        <v>218253</v>
      </c>
      <c r="G1412" s="3">
        <v>262660.8</v>
      </c>
      <c r="H1412" s="18">
        <v>772696.9</v>
      </c>
      <c r="I1412" s="19"/>
    </row>
    <row r="1413" spans="1:9" x14ac:dyDescent="0.25">
      <c r="A1413" s="14" t="s">
        <v>1726</v>
      </c>
      <c r="B1413" s="15"/>
      <c r="C1413" s="15"/>
      <c r="D1413" s="15"/>
      <c r="E1413" s="3">
        <v>364874.46</v>
      </c>
      <c r="F1413" s="3">
        <v>463475.25</v>
      </c>
      <c r="G1413" s="3">
        <v>428879.22</v>
      </c>
      <c r="H1413" s="18">
        <v>1257228.93</v>
      </c>
      <c r="I1413" s="19"/>
    </row>
    <row r="1414" spans="1:9" x14ac:dyDescent="0.25">
      <c r="A1414" s="14" t="s">
        <v>1727</v>
      </c>
      <c r="B1414" s="15"/>
      <c r="C1414" s="15"/>
      <c r="D1414" s="15"/>
      <c r="E1414" s="3">
        <v>354090.48</v>
      </c>
      <c r="F1414" s="3">
        <v>180187.11</v>
      </c>
      <c r="G1414" s="3">
        <v>550497.31999999995</v>
      </c>
      <c r="H1414" s="18">
        <v>1084774.9099999999</v>
      </c>
      <c r="I1414" s="19"/>
    </row>
    <row r="1415" spans="1:9" x14ac:dyDescent="0.25">
      <c r="A1415" s="14" t="s">
        <v>1728</v>
      </c>
      <c r="B1415" s="15"/>
      <c r="C1415" s="15"/>
      <c r="D1415" s="15"/>
      <c r="E1415" s="4" t="s">
        <v>1729</v>
      </c>
      <c r="F1415" s="4" t="s">
        <v>1730</v>
      </c>
      <c r="G1415" s="3">
        <v>5441.56</v>
      </c>
      <c r="H1415" s="20" t="s">
        <v>1731</v>
      </c>
      <c r="I1415" s="21"/>
    </row>
    <row r="1416" spans="1:9" x14ac:dyDescent="0.25">
      <c r="A1416" s="14" t="s">
        <v>1732</v>
      </c>
      <c r="B1416" s="15"/>
      <c r="C1416" s="15"/>
      <c r="D1416" s="15"/>
      <c r="E1416" s="4" t="s">
        <v>1733</v>
      </c>
      <c r="F1416" s="4" t="s">
        <v>1734</v>
      </c>
      <c r="G1416" s="3">
        <v>1854.36</v>
      </c>
      <c r="H1416" s="20" t="s">
        <v>1735</v>
      </c>
      <c r="I1416" s="21"/>
    </row>
    <row r="1417" spans="1:9" x14ac:dyDescent="0.25">
      <c r="A1417" s="14" t="s">
        <v>1736</v>
      </c>
      <c r="B1417" s="15"/>
      <c r="C1417" s="15"/>
      <c r="D1417" s="15"/>
      <c r="E1417" s="4" t="s">
        <v>1737</v>
      </c>
      <c r="F1417" s="3">
        <v>891.98</v>
      </c>
      <c r="G1417" s="4" t="s">
        <v>1738</v>
      </c>
      <c r="H1417" s="20" t="s">
        <v>1739</v>
      </c>
      <c r="I1417" s="21"/>
    </row>
    <row r="1418" spans="1:9" x14ac:dyDescent="0.25">
      <c r="A1418" s="14" t="s">
        <v>1740</v>
      </c>
      <c r="B1418" s="15"/>
      <c r="C1418" s="15"/>
      <c r="D1418" s="15"/>
      <c r="E1418" s="4" t="s">
        <v>1741</v>
      </c>
      <c r="F1418" s="4" t="s">
        <v>1742</v>
      </c>
      <c r="G1418" s="4" t="s">
        <v>1743</v>
      </c>
      <c r="H1418" s="20" t="s">
        <v>1744</v>
      </c>
      <c r="I1418" s="21"/>
    </row>
    <row r="1419" spans="1:9" x14ac:dyDescent="0.25">
      <c r="A1419" s="14" t="s">
        <v>1745</v>
      </c>
      <c r="B1419" s="15"/>
      <c r="C1419" s="15"/>
      <c r="D1419" s="15"/>
      <c r="E1419" s="3">
        <v>117697.82</v>
      </c>
      <c r="F1419" s="3">
        <v>102817.92</v>
      </c>
      <c r="G1419" s="3">
        <v>185565.07</v>
      </c>
      <c r="H1419" s="18">
        <v>406080.81</v>
      </c>
      <c r="I1419" s="19"/>
    </row>
    <row r="1420" spans="1:9" x14ac:dyDescent="0.25">
      <c r="A1420" s="14" t="s">
        <v>1746</v>
      </c>
      <c r="B1420" s="15"/>
      <c r="C1420" s="15"/>
      <c r="D1420" s="15"/>
      <c r="E1420" s="5"/>
      <c r="F1420" s="3">
        <v>21452.87</v>
      </c>
      <c r="G1420" s="5"/>
      <c r="H1420" s="18">
        <v>21452.87</v>
      </c>
      <c r="I1420" s="19"/>
    </row>
    <row r="1421" spans="1:9" x14ac:dyDescent="0.25">
      <c r="A1421" s="14" t="s">
        <v>1747</v>
      </c>
      <c r="B1421" s="15"/>
      <c r="C1421" s="15"/>
      <c r="D1421" s="15"/>
      <c r="E1421" s="3">
        <v>341758.36</v>
      </c>
      <c r="F1421" s="3">
        <v>195018.17</v>
      </c>
      <c r="G1421" s="3">
        <v>256629.73</v>
      </c>
      <c r="H1421" s="18">
        <v>793406.26</v>
      </c>
      <c r="I1421" s="19"/>
    </row>
    <row r="1422" spans="1:9" x14ac:dyDescent="0.25">
      <c r="A1422" s="14" t="s">
        <v>1748</v>
      </c>
      <c r="B1422" s="15"/>
      <c r="C1422" s="15"/>
      <c r="D1422" s="15"/>
      <c r="E1422" s="3">
        <v>95990.7</v>
      </c>
      <c r="F1422" s="3">
        <v>153117.70000000001</v>
      </c>
      <c r="G1422" s="3">
        <v>108857.76</v>
      </c>
      <c r="H1422" s="18">
        <v>357966.16</v>
      </c>
      <c r="I1422" s="19"/>
    </row>
    <row r="1423" spans="1:9" x14ac:dyDescent="0.25">
      <c r="A1423" s="14" t="s">
        <v>1749</v>
      </c>
      <c r="B1423" s="15"/>
      <c r="C1423" s="15"/>
      <c r="D1423" s="15"/>
      <c r="E1423" s="3">
        <v>35640.769999999997</v>
      </c>
      <c r="F1423" s="3">
        <v>26677.9</v>
      </c>
      <c r="G1423" s="3">
        <v>37109.74</v>
      </c>
      <c r="H1423" s="18">
        <v>99428.41</v>
      </c>
      <c r="I1423" s="19"/>
    </row>
    <row r="1424" spans="1:9" x14ac:dyDescent="0.25">
      <c r="A1424" s="14" t="s">
        <v>1750</v>
      </c>
      <c r="B1424" s="15"/>
      <c r="C1424" s="15"/>
      <c r="D1424" s="15"/>
      <c r="E1424" s="3">
        <v>69127.460000000006</v>
      </c>
      <c r="F1424" s="3">
        <v>9482.69</v>
      </c>
      <c r="G1424" s="3">
        <v>49410.02</v>
      </c>
      <c r="H1424" s="18">
        <v>128020.17</v>
      </c>
      <c r="I1424" s="19"/>
    </row>
    <row r="1425" spans="1:9" x14ac:dyDescent="0.25">
      <c r="A1425" s="14" t="s">
        <v>1751</v>
      </c>
      <c r="B1425" s="15"/>
      <c r="C1425" s="15"/>
      <c r="D1425" s="15"/>
      <c r="E1425" s="3">
        <v>9157.9599999999991</v>
      </c>
      <c r="F1425" s="3">
        <v>20424.32</v>
      </c>
      <c r="G1425" s="3">
        <v>15614.41</v>
      </c>
      <c r="H1425" s="18">
        <v>45196.69</v>
      </c>
      <c r="I1425" s="19"/>
    </row>
    <row r="1426" spans="1:9" x14ac:dyDescent="0.25">
      <c r="A1426" s="14" t="s">
        <v>1752</v>
      </c>
      <c r="B1426" s="15"/>
      <c r="C1426" s="15"/>
      <c r="D1426" s="15"/>
      <c r="E1426" s="3">
        <v>25453.94</v>
      </c>
      <c r="F1426" s="3">
        <v>21996.04</v>
      </c>
      <c r="G1426" s="3">
        <v>31445.64</v>
      </c>
      <c r="H1426" s="18">
        <v>78895.62</v>
      </c>
      <c r="I1426" s="19"/>
    </row>
    <row r="1427" spans="1:9" x14ac:dyDescent="0.25">
      <c r="A1427" s="14" t="s">
        <v>1753</v>
      </c>
      <c r="B1427" s="15"/>
      <c r="C1427" s="15"/>
      <c r="D1427" s="15"/>
      <c r="E1427" s="3">
        <v>7284.5700000000097</v>
      </c>
      <c r="F1427" s="3">
        <v>33221.93</v>
      </c>
      <c r="G1427" s="3">
        <v>34163.9</v>
      </c>
      <c r="H1427" s="18">
        <v>74670.399999999994</v>
      </c>
      <c r="I1427" s="19"/>
    </row>
    <row r="1428" spans="1:9" x14ac:dyDescent="0.25">
      <c r="A1428" s="14" t="s">
        <v>1754</v>
      </c>
      <c r="B1428" s="15"/>
      <c r="C1428" s="15"/>
      <c r="D1428" s="15"/>
      <c r="E1428" s="5"/>
      <c r="F1428" s="3">
        <v>12721.18</v>
      </c>
      <c r="G1428" s="3">
        <v>4946.3999999999996</v>
      </c>
      <c r="H1428" s="18">
        <v>17667.580000000002</v>
      </c>
      <c r="I1428" s="19"/>
    </row>
    <row r="1429" spans="1:9" x14ac:dyDescent="0.25">
      <c r="A1429" s="14" t="s">
        <v>1755</v>
      </c>
      <c r="B1429" s="15"/>
      <c r="C1429" s="15"/>
      <c r="D1429" s="15"/>
      <c r="E1429" s="5"/>
      <c r="F1429" s="3">
        <v>3719.1</v>
      </c>
      <c r="G1429" s="3">
        <v>4392</v>
      </c>
      <c r="H1429" s="18">
        <v>8111.1</v>
      </c>
      <c r="I1429" s="19"/>
    </row>
    <row r="1430" spans="1:9" x14ac:dyDescent="0.25">
      <c r="A1430" s="14" t="s">
        <v>1756</v>
      </c>
      <c r="B1430" s="15"/>
      <c r="C1430" s="15"/>
      <c r="D1430" s="15"/>
      <c r="E1430" s="5"/>
      <c r="F1430" s="3">
        <v>2110.14</v>
      </c>
      <c r="G1430" s="5"/>
      <c r="H1430" s="18">
        <v>2110.14</v>
      </c>
      <c r="I1430" s="19"/>
    </row>
    <row r="1431" spans="1:9" x14ac:dyDescent="0.25">
      <c r="A1431" s="14" t="s">
        <v>1757</v>
      </c>
      <c r="B1431" s="15"/>
      <c r="C1431" s="15"/>
      <c r="D1431" s="15"/>
      <c r="E1431" s="5"/>
      <c r="F1431" s="3">
        <v>401.62</v>
      </c>
      <c r="G1431" s="5"/>
      <c r="H1431" s="18">
        <v>401.62</v>
      </c>
      <c r="I1431" s="19"/>
    </row>
    <row r="1432" spans="1:9" x14ac:dyDescent="0.25">
      <c r="A1432" s="14" t="s">
        <v>1758</v>
      </c>
      <c r="B1432" s="15"/>
      <c r="C1432" s="15"/>
      <c r="D1432" s="15"/>
      <c r="E1432" s="3">
        <v>4681.5200000000004</v>
      </c>
      <c r="F1432" s="3">
        <v>3468.42</v>
      </c>
      <c r="G1432" s="3">
        <v>28828.41</v>
      </c>
      <c r="H1432" s="18">
        <v>36978.35</v>
      </c>
      <c r="I1432" s="19"/>
    </row>
    <row r="1433" spans="1:9" x14ac:dyDescent="0.25">
      <c r="A1433" s="14" t="s">
        <v>1759</v>
      </c>
      <c r="B1433" s="15"/>
      <c r="C1433" s="15"/>
      <c r="D1433" s="15"/>
      <c r="E1433" s="5"/>
      <c r="F1433" s="5"/>
      <c r="G1433" s="3">
        <v>1902.56</v>
      </c>
      <c r="H1433" s="18">
        <v>1902.56</v>
      </c>
      <c r="I1433" s="19"/>
    </row>
    <row r="1434" spans="1:9" x14ac:dyDescent="0.25">
      <c r="A1434" s="14" t="s">
        <v>1760</v>
      </c>
      <c r="B1434" s="15"/>
      <c r="C1434" s="15"/>
      <c r="D1434" s="15"/>
      <c r="E1434" s="4" t="s">
        <v>1761</v>
      </c>
      <c r="F1434" s="4" t="s">
        <v>1762</v>
      </c>
      <c r="G1434" s="3">
        <v>1848.81</v>
      </c>
      <c r="H1434" s="20" t="s">
        <v>1763</v>
      </c>
      <c r="I1434" s="21"/>
    </row>
    <row r="1435" spans="1:9" x14ac:dyDescent="0.25">
      <c r="A1435" s="14" t="s">
        <v>1764</v>
      </c>
      <c r="B1435" s="15"/>
      <c r="C1435" s="15"/>
      <c r="D1435" s="15"/>
      <c r="E1435" s="3">
        <v>52667.040000000001</v>
      </c>
      <c r="F1435" s="3">
        <v>9168.15</v>
      </c>
      <c r="G1435" s="3">
        <v>49104.89</v>
      </c>
      <c r="H1435" s="18">
        <v>110940.08</v>
      </c>
      <c r="I1435" s="19"/>
    </row>
    <row r="1436" spans="1:9" x14ac:dyDescent="0.25">
      <c r="A1436" s="14" t="s">
        <v>1765</v>
      </c>
      <c r="B1436" s="15"/>
      <c r="C1436" s="15"/>
      <c r="D1436" s="15"/>
      <c r="E1436" s="5"/>
      <c r="F1436" s="5"/>
      <c r="G1436" s="3">
        <v>9892.5400000000009</v>
      </c>
      <c r="H1436" s="18">
        <v>9892.5400000000009</v>
      </c>
      <c r="I1436" s="19"/>
    </row>
    <row r="1437" spans="1:9" x14ac:dyDescent="0.25">
      <c r="A1437" s="14" t="s">
        <v>1766</v>
      </c>
      <c r="B1437" s="15"/>
      <c r="C1437" s="15"/>
      <c r="D1437" s="15"/>
      <c r="E1437" s="5"/>
      <c r="F1437" s="3">
        <v>3518.32</v>
      </c>
      <c r="G1437" s="3">
        <v>2906.27</v>
      </c>
      <c r="H1437" s="18">
        <v>6424.59</v>
      </c>
      <c r="I1437" s="19"/>
    </row>
    <row r="1438" spans="1:9" x14ac:dyDescent="0.25">
      <c r="A1438" s="14" t="s">
        <v>1767</v>
      </c>
      <c r="B1438" s="15"/>
      <c r="C1438" s="15"/>
      <c r="D1438" s="15"/>
      <c r="E1438" s="4" t="s">
        <v>1768</v>
      </c>
      <c r="F1438" s="4" t="s">
        <v>1769</v>
      </c>
      <c r="G1438" s="4" t="s">
        <v>1770</v>
      </c>
      <c r="H1438" s="20" t="s">
        <v>1771</v>
      </c>
      <c r="I1438" s="21"/>
    </row>
    <row r="1439" spans="1:9" x14ac:dyDescent="0.25">
      <c r="A1439" s="14" t="s">
        <v>1772</v>
      </c>
      <c r="B1439" s="15"/>
      <c r="C1439" s="15"/>
      <c r="D1439" s="15"/>
      <c r="E1439" s="4" t="s">
        <v>1773</v>
      </c>
      <c r="F1439" s="4" t="s">
        <v>1774</v>
      </c>
      <c r="G1439" s="4" t="s">
        <v>1775</v>
      </c>
      <c r="H1439" s="20" t="s">
        <v>1776</v>
      </c>
      <c r="I1439" s="21"/>
    </row>
    <row r="1440" spans="1:9" x14ac:dyDescent="0.25">
      <c r="A1440" s="14" t="s">
        <v>1777</v>
      </c>
      <c r="B1440" s="15"/>
      <c r="C1440" s="15"/>
      <c r="D1440" s="15"/>
      <c r="E1440" s="4" t="s">
        <v>1778</v>
      </c>
      <c r="F1440" s="4" t="s">
        <v>1779</v>
      </c>
      <c r="G1440" s="4" t="s">
        <v>1780</v>
      </c>
      <c r="H1440" s="20" t="s">
        <v>1781</v>
      </c>
      <c r="I1440" s="21"/>
    </row>
    <row r="1441" spans="1:9" x14ac:dyDescent="0.25">
      <c r="A1441" s="14" t="s">
        <v>1782</v>
      </c>
      <c r="B1441" s="15"/>
      <c r="C1441" s="15"/>
      <c r="D1441" s="15"/>
      <c r="E1441" s="3">
        <v>15254.02</v>
      </c>
      <c r="F1441" s="4" t="s">
        <v>1023</v>
      </c>
      <c r="G1441" s="3">
        <v>4608.58</v>
      </c>
      <c r="H1441" s="18">
        <v>13086.2</v>
      </c>
      <c r="I1441" s="19"/>
    </row>
    <row r="1442" spans="1:9" x14ac:dyDescent="0.25">
      <c r="A1442" s="14" t="s">
        <v>1783</v>
      </c>
      <c r="B1442" s="15"/>
      <c r="C1442" s="15"/>
      <c r="D1442" s="15"/>
      <c r="E1442" s="5"/>
      <c r="F1442" s="3">
        <v>1217.5</v>
      </c>
      <c r="G1442" s="3">
        <v>550.73</v>
      </c>
      <c r="H1442" s="18">
        <v>1768.23</v>
      </c>
      <c r="I1442" s="19"/>
    </row>
    <row r="1443" spans="1:9" x14ac:dyDescent="0.25">
      <c r="A1443" s="14" t="s">
        <v>1784</v>
      </c>
      <c r="B1443" s="15"/>
      <c r="C1443" s="15"/>
      <c r="D1443" s="15"/>
      <c r="E1443" s="5"/>
      <c r="F1443" s="3">
        <v>448.86</v>
      </c>
      <c r="G1443" s="5"/>
      <c r="H1443" s="18">
        <v>448.86</v>
      </c>
      <c r="I1443" s="19"/>
    </row>
    <row r="1444" spans="1:9" x14ac:dyDescent="0.25">
      <c r="A1444" s="14" t="s">
        <v>1785</v>
      </c>
      <c r="B1444" s="15"/>
      <c r="C1444" s="15"/>
      <c r="D1444" s="15"/>
      <c r="E1444" s="3">
        <v>62136.800000000003</v>
      </c>
      <c r="F1444" s="3">
        <v>25961.02</v>
      </c>
      <c r="G1444" s="3">
        <v>39981.96</v>
      </c>
      <c r="H1444" s="18">
        <v>128079.78</v>
      </c>
      <c r="I1444" s="19"/>
    </row>
    <row r="1445" spans="1:9" x14ac:dyDescent="0.25">
      <c r="A1445" s="14" t="s">
        <v>1786</v>
      </c>
      <c r="B1445" s="15"/>
      <c r="C1445" s="15"/>
      <c r="D1445" s="15"/>
      <c r="E1445" s="3">
        <v>462867.82</v>
      </c>
      <c r="F1445" s="3">
        <v>206629.28</v>
      </c>
      <c r="G1445" s="3">
        <v>357275.82</v>
      </c>
      <c r="H1445" s="18">
        <v>1026772.92</v>
      </c>
      <c r="I1445" s="19"/>
    </row>
    <row r="1446" spans="1:9" x14ac:dyDescent="0.25">
      <c r="A1446" s="14" t="s">
        <v>1787</v>
      </c>
      <c r="B1446" s="15"/>
      <c r="C1446" s="15"/>
      <c r="D1446" s="15"/>
      <c r="E1446" s="3">
        <v>487922.31</v>
      </c>
      <c r="F1446" s="3">
        <v>234143</v>
      </c>
      <c r="G1446" s="3">
        <v>309269.56</v>
      </c>
      <c r="H1446" s="18">
        <v>1031334.87</v>
      </c>
      <c r="I1446" s="19"/>
    </row>
    <row r="1447" spans="1:9" x14ac:dyDescent="0.25">
      <c r="A1447" s="14" t="s">
        <v>1788</v>
      </c>
      <c r="B1447" s="15"/>
      <c r="C1447" s="15"/>
      <c r="D1447" s="15"/>
      <c r="E1447" s="3">
        <v>195024.77</v>
      </c>
      <c r="F1447" s="3">
        <v>62925.01</v>
      </c>
      <c r="G1447" s="3">
        <v>112257.47</v>
      </c>
      <c r="H1447" s="18">
        <v>370207.25</v>
      </c>
      <c r="I1447" s="19"/>
    </row>
    <row r="1448" spans="1:9" x14ac:dyDescent="0.25">
      <c r="A1448" s="14" t="s">
        <v>1789</v>
      </c>
      <c r="B1448" s="15"/>
      <c r="C1448" s="15"/>
      <c r="D1448" s="15"/>
      <c r="E1448" s="3">
        <v>117429.56</v>
      </c>
      <c r="F1448" s="3">
        <v>48479.32</v>
      </c>
      <c r="G1448" s="3">
        <v>79093.149999999994</v>
      </c>
      <c r="H1448" s="18">
        <v>245002.03</v>
      </c>
      <c r="I1448" s="19"/>
    </row>
    <row r="1449" spans="1:9" x14ac:dyDescent="0.25">
      <c r="A1449" s="14" t="s">
        <v>1790</v>
      </c>
      <c r="B1449" s="15"/>
      <c r="C1449" s="15"/>
      <c r="D1449" s="15"/>
      <c r="E1449" s="3">
        <v>145802.29</v>
      </c>
      <c r="F1449" s="3">
        <v>100706.5</v>
      </c>
      <c r="G1449" s="3">
        <v>236405.96</v>
      </c>
      <c r="H1449" s="18">
        <v>482914.75</v>
      </c>
      <c r="I1449" s="19"/>
    </row>
    <row r="1450" spans="1:9" x14ac:dyDescent="0.25">
      <c r="A1450" s="14" t="s">
        <v>1791</v>
      </c>
      <c r="B1450" s="15"/>
      <c r="C1450" s="15"/>
      <c r="D1450" s="15"/>
      <c r="E1450" s="3">
        <v>796294.97</v>
      </c>
      <c r="F1450" s="3">
        <v>248783.09</v>
      </c>
      <c r="G1450" s="3">
        <v>370383.14</v>
      </c>
      <c r="H1450" s="18">
        <v>1415461.2</v>
      </c>
      <c r="I1450" s="19"/>
    </row>
    <row r="1451" spans="1:9" x14ac:dyDescent="0.25">
      <c r="A1451" s="14" t="s">
        <v>1792</v>
      </c>
      <c r="B1451" s="15"/>
      <c r="C1451" s="15"/>
      <c r="D1451" s="15"/>
      <c r="E1451" s="3">
        <v>453006.74</v>
      </c>
      <c r="F1451" s="3">
        <v>193411.14</v>
      </c>
      <c r="G1451" s="3">
        <v>251575.89</v>
      </c>
      <c r="H1451" s="18">
        <v>897993.77</v>
      </c>
      <c r="I1451" s="19"/>
    </row>
    <row r="1452" spans="1:9" x14ac:dyDescent="0.25">
      <c r="A1452" s="14" t="s">
        <v>1793</v>
      </c>
      <c r="B1452" s="15"/>
      <c r="C1452" s="15"/>
      <c r="D1452" s="15"/>
      <c r="E1452" s="3">
        <v>44922.27</v>
      </c>
      <c r="F1452" s="4" t="s">
        <v>1794</v>
      </c>
      <c r="G1452" s="3">
        <v>29454.17</v>
      </c>
      <c r="H1452" s="18">
        <v>33166.28</v>
      </c>
      <c r="I1452" s="19"/>
    </row>
    <row r="1453" spans="1:9" x14ac:dyDescent="0.25">
      <c r="A1453" s="14" t="s">
        <v>1795</v>
      </c>
      <c r="B1453" s="15"/>
      <c r="C1453" s="15"/>
      <c r="D1453" s="15"/>
      <c r="E1453" s="3">
        <v>12350.28</v>
      </c>
      <c r="F1453" s="3">
        <v>14080.21</v>
      </c>
      <c r="G1453" s="3">
        <v>15471.93</v>
      </c>
      <c r="H1453" s="18">
        <v>41902.42</v>
      </c>
      <c r="I1453" s="19"/>
    </row>
    <row r="1454" spans="1:9" x14ac:dyDescent="0.25">
      <c r="A1454" s="14" t="s">
        <v>1796</v>
      </c>
      <c r="B1454" s="15"/>
      <c r="C1454" s="15"/>
      <c r="D1454" s="15"/>
      <c r="E1454" s="3">
        <v>195962.87</v>
      </c>
      <c r="F1454" s="3">
        <v>38470.33</v>
      </c>
      <c r="G1454" s="3">
        <v>132300.35999999999</v>
      </c>
      <c r="H1454" s="18">
        <v>366733.56</v>
      </c>
      <c r="I1454" s="19"/>
    </row>
    <row r="1455" spans="1:9" x14ac:dyDescent="0.25">
      <c r="A1455" s="14" t="s">
        <v>1797</v>
      </c>
      <c r="B1455" s="15"/>
      <c r="C1455" s="15"/>
      <c r="D1455" s="15"/>
      <c r="E1455" s="3">
        <v>66218.28</v>
      </c>
      <c r="F1455" s="3">
        <v>17926.240000000002</v>
      </c>
      <c r="G1455" s="3">
        <v>6492.34</v>
      </c>
      <c r="H1455" s="18">
        <v>90636.86</v>
      </c>
      <c r="I1455" s="19"/>
    </row>
    <row r="1456" spans="1:9" x14ac:dyDescent="0.25">
      <c r="A1456" s="14" t="s">
        <v>1798</v>
      </c>
      <c r="B1456" s="15"/>
      <c r="C1456" s="15"/>
      <c r="D1456" s="15"/>
      <c r="E1456" s="3">
        <v>53481.15</v>
      </c>
      <c r="F1456" s="3">
        <v>21223.57</v>
      </c>
      <c r="G1456" s="3">
        <v>53986.57</v>
      </c>
      <c r="H1456" s="18">
        <v>128691.29</v>
      </c>
      <c r="I1456" s="19"/>
    </row>
    <row r="1457" spans="1:9" x14ac:dyDescent="0.25">
      <c r="A1457" s="14" t="s">
        <v>1799</v>
      </c>
      <c r="B1457" s="15"/>
      <c r="C1457" s="15"/>
      <c r="D1457" s="15"/>
      <c r="E1457" s="3">
        <v>1380172.71</v>
      </c>
      <c r="F1457" s="3">
        <v>1007130.31</v>
      </c>
      <c r="G1457" s="3">
        <v>1114182.29</v>
      </c>
      <c r="H1457" s="18">
        <v>3501485.31</v>
      </c>
      <c r="I1457" s="19"/>
    </row>
    <row r="1458" spans="1:9" x14ac:dyDescent="0.25">
      <c r="A1458" s="14" t="s">
        <v>1800</v>
      </c>
      <c r="B1458" s="15"/>
      <c r="C1458" s="15"/>
      <c r="D1458" s="15"/>
      <c r="E1458" s="3">
        <v>991147.8</v>
      </c>
      <c r="F1458" s="3">
        <v>617936.73</v>
      </c>
      <c r="G1458" s="3">
        <v>751799.75</v>
      </c>
      <c r="H1458" s="18">
        <v>2360884.2799999998</v>
      </c>
      <c r="I1458" s="19"/>
    </row>
    <row r="1459" spans="1:9" x14ac:dyDescent="0.25">
      <c r="A1459" s="14" t="s">
        <v>1801</v>
      </c>
      <c r="B1459" s="15"/>
      <c r="C1459" s="15"/>
      <c r="D1459" s="15"/>
      <c r="E1459" s="5"/>
      <c r="F1459" s="3">
        <v>2465.08</v>
      </c>
      <c r="G1459" s="5"/>
      <c r="H1459" s="18">
        <v>2465.08</v>
      </c>
      <c r="I1459" s="19"/>
    </row>
    <row r="1460" spans="1:9" x14ac:dyDescent="0.25">
      <c r="A1460" s="14" t="s">
        <v>1802</v>
      </c>
      <c r="B1460" s="15"/>
      <c r="C1460" s="15"/>
      <c r="D1460" s="15"/>
      <c r="E1460" s="3">
        <v>182758.57</v>
      </c>
      <c r="F1460" s="3">
        <v>240779.53</v>
      </c>
      <c r="G1460" s="3">
        <v>103230.56</v>
      </c>
      <c r="H1460" s="18">
        <v>526768.66</v>
      </c>
      <c r="I1460" s="19"/>
    </row>
    <row r="1461" spans="1:9" x14ac:dyDescent="0.25">
      <c r="A1461" s="14" t="s">
        <v>1803</v>
      </c>
      <c r="B1461" s="15"/>
      <c r="C1461" s="15"/>
      <c r="D1461" s="15"/>
      <c r="E1461" s="3">
        <v>10354.84</v>
      </c>
      <c r="F1461" s="4" t="s">
        <v>1804</v>
      </c>
      <c r="G1461" s="3">
        <v>2998.52</v>
      </c>
      <c r="H1461" s="18">
        <v>7838.21000000001</v>
      </c>
      <c r="I1461" s="19"/>
    </row>
    <row r="1462" spans="1:9" x14ac:dyDescent="0.25">
      <c r="A1462" s="14" t="s">
        <v>1805</v>
      </c>
      <c r="B1462" s="15"/>
      <c r="C1462" s="15"/>
      <c r="D1462" s="15"/>
      <c r="E1462" s="3">
        <v>292540.28999999998</v>
      </c>
      <c r="F1462" s="3">
        <v>282539.09000000003</v>
      </c>
      <c r="G1462" s="3">
        <v>162910.63</v>
      </c>
      <c r="H1462" s="18">
        <v>737990.01</v>
      </c>
      <c r="I1462" s="19"/>
    </row>
    <row r="1463" spans="1:9" x14ac:dyDescent="0.25">
      <c r="A1463" s="14" t="s">
        <v>1806</v>
      </c>
      <c r="B1463" s="15"/>
      <c r="C1463" s="15"/>
      <c r="D1463" s="15"/>
      <c r="E1463" s="3">
        <v>46014.53</v>
      </c>
      <c r="F1463" s="3">
        <v>12394.15</v>
      </c>
      <c r="G1463" s="3">
        <v>1617.36</v>
      </c>
      <c r="H1463" s="18">
        <v>60026.04</v>
      </c>
      <c r="I1463" s="19"/>
    </row>
    <row r="1464" spans="1:9" x14ac:dyDescent="0.25">
      <c r="A1464" s="14" t="s">
        <v>1807</v>
      </c>
      <c r="B1464" s="15"/>
      <c r="C1464" s="15"/>
      <c r="D1464" s="15"/>
      <c r="E1464" s="3">
        <v>126074.85</v>
      </c>
      <c r="F1464" s="3">
        <v>16954.740000000002</v>
      </c>
      <c r="G1464" s="3">
        <v>16905.419999999998</v>
      </c>
      <c r="H1464" s="18">
        <v>159935.01</v>
      </c>
      <c r="I1464" s="19"/>
    </row>
    <row r="1465" spans="1:9" x14ac:dyDescent="0.25">
      <c r="A1465" s="14" t="s">
        <v>1808</v>
      </c>
      <c r="B1465" s="15"/>
      <c r="C1465" s="15"/>
      <c r="D1465" s="15"/>
      <c r="E1465" s="4" t="s">
        <v>1809</v>
      </c>
      <c r="F1465" s="3">
        <v>13040.08</v>
      </c>
      <c r="G1465" s="4" t="s">
        <v>1810</v>
      </c>
      <c r="H1465" s="20" t="s">
        <v>1811</v>
      </c>
      <c r="I1465" s="21"/>
    </row>
    <row r="1466" spans="1:9" x14ac:dyDescent="0.25">
      <c r="A1466" s="14" t="s">
        <v>1812</v>
      </c>
      <c r="B1466" s="15"/>
      <c r="C1466" s="15"/>
      <c r="D1466" s="15"/>
      <c r="E1466" s="3">
        <v>142482.23000000001</v>
      </c>
      <c r="F1466" s="4" t="s">
        <v>1813</v>
      </c>
      <c r="G1466" s="4" t="s">
        <v>1814</v>
      </c>
      <c r="H1466" s="18">
        <v>33993.21</v>
      </c>
      <c r="I1466" s="19"/>
    </row>
    <row r="1467" spans="1:9" x14ac:dyDescent="0.25">
      <c r="A1467" s="14" t="s">
        <v>1815</v>
      </c>
      <c r="B1467" s="15"/>
      <c r="C1467" s="15"/>
      <c r="D1467" s="15"/>
      <c r="E1467" s="5"/>
      <c r="F1467" s="5"/>
      <c r="G1467" s="3">
        <v>800.12</v>
      </c>
      <c r="H1467" s="18">
        <v>800.12</v>
      </c>
      <c r="I1467" s="19"/>
    </row>
    <row r="1468" spans="1:9" x14ac:dyDescent="0.25">
      <c r="A1468" s="14" t="s">
        <v>1816</v>
      </c>
      <c r="B1468" s="15"/>
      <c r="C1468" s="15"/>
      <c r="D1468" s="15"/>
      <c r="E1468" s="3">
        <v>5875.32</v>
      </c>
      <c r="F1468" s="3">
        <v>4912.5</v>
      </c>
      <c r="G1468" s="3">
        <v>9552.39</v>
      </c>
      <c r="H1468" s="18">
        <v>20340.21</v>
      </c>
      <c r="I1468" s="19"/>
    </row>
    <row r="1469" spans="1:9" x14ac:dyDescent="0.25">
      <c r="A1469" s="14" t="s">
        <v>1817</v>
      </c>
      <c r="B1469" s="15"/>
      <c r="C1469" s="15"/>
      <c r="D1469" s="15"/>
      <c r="E1469" s="4" t="s">
        <v>1818</v>
      </c>
      <c r="F1469" s="4" t="s">
        <v>1819</v>
      </c>
      <c r="G1469" s="4" t="s">
        <v>1820</v>
      </c>
      <c r="H1469" s="20" t="s">
        <v>1821</v>
      </c>
      <c r="I1469" s="21"/>
    </row>
    <row r="1470" spans="1:9" x14ac:dyDescent="0.25">
      <c r="A1470" s="14" t="s">
        <v>1822</v>
      </c>
      <c r="B1470" s="15"/>
      <c r="C1470" s="15"/>
      <c r="D1470" s="15"/>
      <c r="E1470" s="3">
        <v>13645.26</v>
      </c>
      <c r="F1470" s="3">
        <v>65489.23</v>
      </c>
      <c r="G1470" s="3">
        <v>70113.759999999995</v>
      </c>
      <c r="H1470" s="18">
        <v>149248.25</v>
      </c>
      <c r="I1470" s="19"/>
    </row>
    <row r="1471" spans="1:9" x14ac:dyDescent="0.25">
      <c r="A1471" s="14" t="s">
        <v>1823</v>
      </c>
      <c r="B1471" s="15"/>
      <c r="C1471" s="15"/>
      <c r="D1471" s="15"/>
      <c r="E1471" s="3">
        <v>14615.8</v>
      </c>
      <c r="F1471" s="4" t="s">
        <v>1824</v>
      </c>
      <c r="G1471" s="4" t="s">
        <v>1825</v>
      </c>
      <c r="H1471" s="18">
        <v>1052.1600000000101</v>
      </c>
      <c r="I1471" s="19"/>
    </row>
    <row r="1472" spans="1:9" x14ac:dyDescent="0.25">
      <c r="A1472" s="14" t="s">
        <v>1826</v>
      </c>
      <c r="B1472" s="15"/>
      <c r="C1472" s="15"/>
      <c r="D1472" s="15"/>
      <c r="E1472" s="3">
        <v>7529.13</v>
      </c>
      <c r="F1472" s="4" t="s">
        <v>1827</v>
      </c>
      <c r="G1472" s="4" t="s">
        <v>1828</v>
      </c>
      <c r="H1472" s="20" t="s">
        <v>1829</v>
      </c>
      <c r="I1472" s="21"/>
    </row>
    <row r="1473" spans="1:9" x14ac:dyDescent="0.25">
      <c r="A1473" s="14" t="s">
        <v>1830</v>
      </c>
      <c r="B1473" s="15"/>
      <c r="C1473" s="15"/>
      <c r="D1473" s="15"/>
      <c r="E1473" s="3">
        <v>53991.61</v>
      </c>
      <c r="F1473" s="3">
        <v>6264.07</v>
      </c>
      <c r="G1473" s="3">
        <v>27539.89</v>
      </c>
      <c r="H1473" s="18">
        <v>87795.57</v>
      </c>
      <c r="I1473" s="19"/>
    </row>
    <row r="1474" spans="1:9" x14ac:dyDescent="0.25">
      <c r="A1474" s="14" t="s">
        <v>1831</v>
      </c>
      <c r="B1474" s="15"/>
      <c r="C1474" s="15"/>
      <c r="D1474" s="15"/>
      <c r="E1474" s="3">
        <v>32450.99</v>
      </c>
      <c r="F1474" s="3">
        <v>7881.62</v>
      </c>
      <c r="G1474" s="3">
        <v>11643.48</v>
      </c>
      <c r="H1474" s="18">
        <v>51976.09</v>
      </c>
      <c r="I1474" s="19"/>
    </row>
    <row r="1475" spans="1:9" x14ac:dyDescent="0.25">
      <c r="A1475" s="14" t="s">
        <v>1832</v>
      </c>
      <c r="B1475" s="15"/>
      <c r="C1475" s="15"/>
      <c r="D1475" s="15"/>
      <c r="E1475" s="4" t="s">
        <v>1833</v>
      </c>
      <c r="F1475" s="3">
        <v>7175.77</v>
      </c>
      <c r="G1475" s="3">
        <v>62557.57</v>
      </c>
      <c r="H1475" s="18">
        <v>55353.87</v>
      </c>
      <c r="I1475" s="19"/>
    </row>
    <row r="1476" spans="1:9" x14ac:dyDescent="0.25">
      <c r="A1476" s="14" t="s">
        <v>1834</v>
      </c>
      <c r="B1476" s="15"/>
      <c r="C1476" s="15"/>
      <c r="D1476" s="15"/>
      <c r="E1476" s="4" t="s">
        <v>1835</v>
      </c>
      <c r="F1476" s="3">
        <v>384.55999999999801</v>
      </c>
      <c r="G1476" s="4" t="s">
        <v>1836</v>
      </c>
      <c r="H1476" s="20" t="s">
        <v>1837</v>
      </c>
      <c r="I1476" s="21"/>
    </row>
    <row r="1477" spans="1:9" x14ac:dyDescent="0.25">
      <c r="A1477" s="14" t="s">
        <v>1838</v>
      </c>
      <c r="B1477" s="15"/>
      <c r="C1477" s="15"/>
      <c r="D1477" s="15"/>
      <c r="E1477" s="3">
        <v>268324.11</v>
      </c>
      <c r="F1477" s="3">
        <v>103683.09</v>
      </c>
      <c r="G1477" s="3">
        <v>103533.78</v>
      </c>
      <c r="H1477" s="18">
        <v>475540.98</v>
      </c>
      <c r="I1477" s="19"/>
    </row>
    <row r="1478" spans="1:9" x14ac:dyDescent="0.25">
      <c r="A1478" s="14" t="s">
        <v>1839</v>
      </c>
      <c r="B1478" s="15"/>
      <c r="C1478" s="15"/>
      <c r="D1478" s="15"/>
      <c r="E1478" s="5"/>
      <c r="F1478" s="3">
        <v>28607.360000000001</v>
      </c>
      <c r="G1478" s="3">
        <v>9058.09</v>
      </c>
      <c r="H1478" s="18">
        <v>37665.449999999997</v>
      </c>
      <c r="I1478" s="19"/>
    </row>
    <row r="1479" spans="1:9" x14ac:dyDescent="0.25">
      <c r="A1479" s="14" t="s">
        <v>1840</v>
      </c>
      <c r="B1479" s="15"/>
      <c r="C1479" s="15"/>
      <c r="D1479" s="15"/>
      <c r="E1479" s="5"/>
      <c r="F1479" s="5"/>
      <c r="G1479" s="3">
        <v>932.96</v>
      </c>
      <c r="H1479" s="18">
        <v>932.96</v>
      </c>
      <c r="I1479" s="19"/>
    </row>
    <row r="1480" spans="1:9" x14ac:dyDescent="0.25">
      <c r="A1480" s="14" t="s">
        <v>1841</v>
      </c>
      <c r="B1480" s="15"/>
      <c r="C1480" s="15"/>
      <c r="D1480" s="15"/>
      <c r="E1480" s="3">
        <v>7282.51</v>
      </c>
      <c r="F1480" s="3">
        <v>20151.419999999998</v>
      </c>
      <c r="G1480" s="3">
        <v>6211.35</v>
      </c>
      <c r="H1480" s="18">
        <v>33645.279999999999</v>
      </c>
      <c r="I1480" s="19"/>
    </row>
    <row r="1481" spans="1:9" x14ac:dyDescent="0.25">
      <c r="A1481" s="14" t="s">
        <v>1842</v>
      </c>
      <c r="B1481" s="15"/>
      <c r="C1481" s="15"/>
      <c r="D1481" s="15"/>
      <c r="E1481" s="3">
        <v>12916.48</v>
      </c>
      <c r="F1481" s="3">
        <v>44374.5</v>
      </c>
      <c r="G1481" s="3">
        <v>47737.08</v>
      </c>
      <c r="H1481" s="18">
        <v>105028.06</v>
      </c>
      <c r="I1481" s="19"/>
    </row>
    <row r="1482" spans="1:9" x14ac:dyDescent="0.25">
      <c r="A1482" s="14" t="s">
        <v>1843</v>
      </c>
      <c r="B1482" s="15"/>
      <c r="C1482" s="15"/>
      <c r="D1482" s="15"/>
      <c r="E1482" s="3">
        <v>6062.75</v>
      </c>
      <c r="F1482" s="3">
        <v>61762.559999999998</v>
      </c>
      <c r="G1482" s="3">
        <v>46522.96</v>
      </c>
      <c r="H1482" s="18">
        <v>114348.27</v>
      </c>
      <c r="I1482" s="19"/>
    </row>
    <row r="1483" spans="1:9" x14ac:dyDescent="0.25">
      <c r="A1483" s="14" t="s">
        <v>1844</v>
      </c>
      <c r="B1483" s="15"/>
      <c r="C1483" s="15"/>
      <c r="D1483" s="15"/>
      <c r="E1483" s="3">
        <v>2932.17</v>
      </c>
      <c r="F1483" s="3">
        <v>28742.59</v>
      </c>
      <c r="G1483" s="3">
        <v>31436.79</v>
      </c>
      <c r="H1483" s="18">
        <v>63111.55</v>
      </c>
      <c r="I1483" s="19"/>
    </row>
    <row r="1484" spans="1:9" x14ac:dyDescent="0.25">
      <c r="A1484" s="14" t="s">
        <v>1845</v>
      </c>
      <c r="B1484" s="15"/>
      <c r="C1484" s="15"/>
      <c r="D1484" s="15"/>
      <c r="E1484" s="3">
        <v>22037.11</v>
      </c>
      <c r="F1484" s="3">
        <v>146901.79</v>
      </c>
      <c r="G1484" s="3">
        <v>76512.850000000006</v>
      </c>
      <c r="H1484" s="18">
        <v>245451.75</v>
      </c>
      <c r="I1484" s="19"/>
    </row>
    <row r="1485" spans="1:9" x14ac:dyDescent="0.25">
      <c r="A1485" s="14" t="s">
        <v>1846</v>
      </c>
      <c r="B1485" s="15"/>
      <c r="C1485" s="15"/>
      <c r="D1485" s="15"/>
      <c r="E1485" s="3">
        <v>74699.509999999995</v>
      </c>
      <c r="F1485" s="3">
        <v>152602.07</v>
      </c>
      <c r="G1485" s="3">
        <v>72014.880000000005</v>
      </c>
      <c r="H1485" s="18">
        <v>299316.46000000002</v>
      </c>
      <c r="I1485" s="19"/>
    </row>
    <row r="1486" spans="1:9" x14ac:dyDescent="0.25">
      <c r="A1486" s="14" t="s">
        <v>1847</v>
      </c>
      <c r="B1486" s="15"/>
      <c r="C1486" s="15"/>
      <c r="D1486" s="15"/>
      <c r="E1486" s="3">
        <v>404832.99</v>
      </c>
      <c r="F1486" s="3">
        <v>7831.38</v>
      </c>
      <c r="G1486" s="3">
        <v>211451.46</v>
      </c>
      <c r="H1486" s="18">
        <v>624115.82999999996</v>
      </c>
      <c r="I1486" s="19"/>
    </row>
    <row r="1487" spans="1:9" x14ac:dyDescent="0.25">
      <c r="A1487" s="14" t="s">
        <v>1848</v>
      </c>
      <c r="B1487" s="15"/>
      <c r="C1487" s="15"/>
      <c r="D1487" s="15"/>
      <c r="E1487" s="3">
        <v>5202.92</v>
      </c>
      <c r="F1487" s="3">
        <v>35218.49</v>
      </c>
      <c r="G1487" s="3">
        <v>55212.57</v>
      </c>
      <c r="H1487" s="18">
        <v>95633.98</v>
      </c>
      <c r="I1487" s="19"/>
    </row>
    <row r="1488" spans="1:9" x14ac:dyDescent="0.25">
      <c r="A1488" s="14" t="s">
        <v>1849</v>
      </c>
      <c r="B1488" s="15"/>
      <c r="C1488" s="15"/>
      <c r="D1488" s="15"/>
      <c r="E1488" s="3">
        <v>12634.13</v>
      </c>
      <c r="F1488" s="3">
        <v>26456.3</v>
      </c>
      <c r="G1488" s="3">
        <v>39614.980000000003</v>
      </c>
      <c r="H1488" s="18">
        <v>78705.41</v>
      </c>
      <c r="I1488" s="19"/>
    </row>
    <row r="1489" spans="1:9" x14ac:dyDescent="0.25">
      <c r="A1489" s="14" t="s">
        <v>1850</v>
      </c>
      <c r="B1489" s="15"/>
      <c r="C1489" s="15"/>
      <c r="D1489" s="15"/>
      <c r="E1489" s="3">
        <v>1548.48</v>
      </c>
      <c r="F1489" s="3">
        <v>17406.47</v>
      </c>
      <c r="G1489" s="3">
        <v>2199.64</v>
      </c>
      <c r="H1489" s="18">
        <v>21154.59</v>
      </c>
      <c r="I1489" s="19"/>
    </row>
    <row r="1490" spans="1:9" x14ac:dyDescent="0.25">
      <c r="A1490" s="14" t="s">
        <v>1851</v>
      </c>
      <c r="B1490" s="15"/>
      <c r="C1490" s="15"/>
      <c r="D1490" s="15"/>
      <c r="E1490" s="3">
        <v>546583.88</v>
      </c>
      <c r="F1490" s="3">
        <v>579067.55000000005</v>
      </c>
      <c r="G1490" s="3">
        <v>382431.91</v>
      </c>
      <c r="H1490" s="18">
        <v>1508083.34</v>
      </c>
      <c r="I1490" s="19"/>
    </row>
    <row r="1491" spans="1:9" x14ac:dyDescent="0.25">
      <c r="A1491" s="14" t="s">
        <v>1852</v>
      </c>
      <c r="B1491" s="15"/>
      <c r="C1491" s="15"/>
      <c r="D1491" s="15"/>
      <c r="E1491" s="3">
        <v>556077.31999999995</v>
      </c>
      <c r="F1491" s="4" t="s">
        <v>1853</v>
      </c>
      <c r="G1491" s="3">
        <v>200143.78</v>
      </c>
      <c r="H1491" s="18">
        <v>746441.04</v>
      </c>
      <c r="I1491" s="19"/>
    </row>
    <row r="1492" spans="1:9" x14ac:dyDescent="0.25">
      <c r="A1492" s="14" t="s">
        <v>1854</v>
      </c>
      <c r="B1492" s="15"/>
      <c r="C1492" s="15"/>
      <c r="D1492" s="15"/>
      <c r="E1492" s="5"/>
      <c r="F1492" s="3">
        <v>19684.45</v>
      </c>
      <c r="G1492" s="5"/>
      <c r="H1492" s="18">
        <v>19684.45</v>
      </c>
      <c r="I1492" s="19"/>
    </row>
    <row r="1493" spans="1:9" x14ac:dyDescent="0.25">
      <c r="A1493" s="14" t="s">
        <v>1855</v>
      </c>
      <c r="B1493" s="15"/>
      <c r="C1493" s="15"/>
      <c r="D1493" s="15"/>
      <c r="E1493" s="3">
        <v>69227.8</v>
      </c>
      <c r="F1493" s="3">
        <v>33627.599999999999</v>
      </c>
      <c r="G1493" s="3">
        <v>128114.8</v>
      </c>
      <c r="H1493" s="18">
        <v>230970.2</v>
      </c>
      <c r="I1493" s="19"/>
    </row>
    <row r="1494" spans="1:9" x14ac:dyDescent="0.25">
      <c r="A1494" s="14" t="s">
        <v>1856</v>
      </c>
      <c r="B1494" s="15"/>
      <c r="C1494" s="15"/>
      <c r="D1494" s="15"/>
      <c r="E1494" s="3">
        <v>1029850.52</v>
      </c>
      <c r="F1494" s="3">
        <v>539047.54</v>
      </c>
      <c r="G1494" s="3">
        <v>544922.86</v>
      </c>
      <c r="H1494" s="18">
        <v>2113820.92</v>
      </c>
      <c r="I1494" s="19"/>
    </row>
    <row r="1495" spans="1:9" x14ac:dyDescent="0.25">
      <c r="A1495" s="14" t="s">
        <v>1857</v>
      </c>
      <c r="B1495" s="15"/>
      <c r="C1495" s="15"/>
      <c r="D1495" s="15"/>
      <c r="E1495" s="3">
        <v>35034.519999999997</v>
      </c>
      <c r="F1495" s="3">
        <v>17284.98</v>
      </c>
      <c r="G1495" s="3">
        <v>8554.5300000000007</v>
      </c>
      <c r="H1495" s="18">
        <v>60874.03</v>
      </c>
      <c r="I1495" s="19"/>
    </row>
    <row r="1496" spans="1:9" x14ac:dyDescent="0.25">
      <c r="A1496" s="14" t="s">
        <v>1858</v>
      </c>
      <c r="B1496" s="15"/>
      <c r="C1496" s="15"/>
      <c r="D1496" s="15"/>
      <c r="E1496" s="3">
        <v>25557</v>
      </c>
      <c r="F1496" s="3">
        <v>9608.59</v>
      </c>
      <c r="G1496" s="3">
        <v>11894.71</v>
      </c>
      <c r="H1496" s="18">
        <v>47060.3</v>
      </c>
      <c r="I1496" s="19"/>
    </row>
    <row r="1497" spans="1:9" x14ac:dyDescent="0.25">
      <c r="A1497" s="14" t="s">
        <v>1859</v>
      </c>
      <c r="B1497" s="15"/>
      <c r="C1497" s="15"/>
      <c r="D1497" s="15"/>
      <c r="E1497" s="3">
        <v>161363.37</v>
      </c>
      <c r="F1497" s="3">
        <v>100313.56</v>
      </c>
      <c r="G1497" s="3">
        <v>123070.33</v>
      </c>
      <c r="H1497" s="18">
        <v>384747.26</v>
      </c>
      <c r="I1497" s="19"/>
    </row>
    <row r="1498" spans="1:9" x14ac:dyDescent="0.25">
      <c r="A1498" s="14" t="s">
        <v>1860</v>
      </c>
      <c r="B1498" s="15"/>
      <c r="C1498" s="15"/>
      <c r="D1498" s="15"/>
      <c r="E1498" s="3">
        <v>77209.460000000006</v>
      </c>
      <c r="F1498" s="3">
        <v>49149.51</v>
      </c>
      <c r="G1498" s="3">
        <v>39880.120000000003</v>
      </c>
      <c r="H1498" s="18">
        <v>166239.09</v>
      </c>
      <c r="I1498" s="19"/>
    </row>
    <row r="1499" spans="1:9" x14ac:dyDescent="0.25">
      <c r="A1499" s="14" t="s">
        <v>1861</v>
      </c>
      <c r="B1499" s="15"/>
      <c r="C1499" s="15"/>
      <c r="D1499" s="15"/>
      <c r="E1499" s="3">
        <v>62163.93</v>
      </c>
      <c r="F1499" s="3">
        <v>29511.89</v>
      </c>
      <c r="G1499" s="3">
        <v>28948.31</v>
      </c>
      <c r="H1499" s="18">
        <v>120624.13</v>
      </c>
      <c r="I1499" s="19"/>
    </row>
    <row r="1500" spans="1:9" x14ac:dyDescent="0.25">
      <c r="A1500" s="14" t="s">
        <v>1862</v>
      </c>
      <c r="B1500" s="15"/>
      <c r="C1500" s="15"/>
      <c r="D1500" s="15"/>
      <c r="E1500" s="3">
        <v>109494.72</v>
      </c>
      <c r="F1500" s="3">
        <v>2849.87</v>
      </c>
      <c r="G1500" s="3">
        <v>158992.81</v>
      </c>
      <c r="H1500" s="18">
        <v>271337.40000000002</v>
      </c>
      <c r="I1500" s="19"/>
    </row>
    <row r="1501" spans="1:9" x14ac:dyDescent="0.25">
      <c r="A1501" s="14" t="s">
        <v>1863</v>
      </c>
      <c r="B1501" s="15"/>
      <c r="C1501" s="15"/>
      <c r="D1501" s="15"/>
      <c r="E1501" s="3">
        <v>191777.87</v>
      </c>
      <c r="F1501" s="3">
        <v>153815.95000000001</v>
      </c>
      <c r="G1501" s="3">
        <v>223872.18</v>
      </c>
      <c r="H1501" s="18">
        <v>569466</v>
      </c>
      <c r="I1501" s="19"/>
    </row>
    <row r="1502" spans="1:9" x14ac:dyDescent="0.25">
      <c r="A1502" s="14" t="s">
        <v>1864</v>
      </c>
      <c r="B1502" s="15"/>
      <c r="C1502" s="15"/>
      <c r="D1502" s="15"/>
      <c r="E1502" s="3">
        <v>113662.42</v>
      </c>
      <c r="F1502" s="3">
        <v>65958.7</v>
      </c>
      <c r="G1502" s="3">
        <v>93323.96</v>
      </c>
      <c r="H1502" s="18">
        <v>272945.08</v>
      </c>
      <c r="I1502" s="19"/>
    </row>
    <row r="1503" spans="1:9" x14ac:dyDescent="0.25">
      <c r="A1503" s="14" t="s">
        <v>1865</v>
      </c>
      <c r="B1503" s="15"/>
      <c r="C1503" s="15"/>
      <c r="D1503" s="15"/>
      <c r="E1503" s="3">
        <v>77482.429999999993</v>
      </c>
      <c r="F1503" s="3">
        <v>48738.62</v>
      </c>
      <c r="G1503" s="3">
        <v>110959.5</v>
      </c>
      <c r="H1503" s="18">
        <v>237180.55</v>
      </c>
      <c r="I1503" s="19"/>
    </row>
    <row r="1504" spans="1:9" x14ac:dyDescent="0.25">
      <c r="A1504" s="14" t="s">
        <v>1866</v>
      </c>
      <c r="B1504" s="15"/>
      <c r="C1504" s="15"/>
      <c r="D1504" s="15"/>
      <c r="E1504" s="3">
        <v>92639.8</v>
      </c>
      <c r="F1504" s="3">
        <v>71202.149999999994</v>
      </c>
      <c r="G1504" s="3">
        <v>98886.91</v>
      </c>
      <c r="H1504" s="18">
        <v>262728.86</v>
      </c>
      <c r="I1504" s="19"/>
    </row>
    <row r="1505" spans="1:10" x14ac:dyDescent="0.25">
      <c r="A1505" s="14" t="s">
        <v>1867</v>
      </c>
      <c r="B1505" s="15"/>
      <c r="C1505" s="15"/>
      <c r="D1505" s="15"/>
      <c r="E1505" s="3">
        <v>188041.4</v>
      </c>
      <c r="F1505" s="3">
        <v>239243.79</v>
      </c>
      <c r="G1505" s="3">
        <v>240539.79</v>
      </c>
      <c r="H1505" s="18">
        <v>667824.98</v>
      </c>
      <c r="I1505" s="19"/>
    </row>
    <row r="1506" spans="1:10" x14ac:dyDescent="0.25">
      <c r="A1506" s="14" t="s">
        <v>1868</v>
      </c>
      <c r="B1506" s="15"/>
      <c r="C1506" s="15"/>
      <c r="D1506" s="15"/>
      <c r="E1506" s="3">
        <v>70648.59</v>
      </c>
      <c r="F1506" s="3">
        <v>12281.48</v>
      </c>
      <c r="G1506" s="3">
        <v>7530.06</v>
      </c>
      <c r="H1506" s="18">
        <v>90460.13</v>
      </c>
      <c r="I1506" s="19"/>
    </row>
    <row r="1507" spans="1:10" x14ac:dyDescent="0.25">
      <c r="A1507" s="14" t="s">
        <v>1869</v>
      </c>
      <c r="B1507" s="15"/>
      <c r="C1507" s="15"/>
      <c r="D1507" s="15"/>
      <c r="E1507" s="3">
        <v>711973.63</v>
      </c>
      <c r="F1507" s="3">
        <v>408464.98</v>
      </c>
      <c r="G1507" s="3">
        <v>520025.11</v>
      </c>
      <c r="H1507" s="18">
        <v>1640463.72</v>
      </c>
      <c r="I1507" s="19"/>
    </row>
    <row r="1508" spans="1:10" x14ac:dyDescent="0.25">
      <c r="A1508" s="14" t="s">
        <v>1870</v>
      </c>
      <c r="B1508" s="15"/>
      <c r="C1508" s="15"/>
      <c r="D1508" s="15"/>
      <c r="E1508" s="3">
        <v>249938.34</v>
      </c>
      <c r="F1508" s="3">
        <v>274153.26</v>
      </c>
      <c r="G1508" s="3">
        <v>273090.98</v>
      </c>
      <c r="H1508" s="18">
        <v>797182.58</v>
      </c>
      <c r="I1508" s="19"/>
    </row>
    <row r="1509" spans="1:10" x14ac:dyDescent="0.25">
      <c r="A1509" s="14" t="s">
        <v>1871</v>
      </c>
      <c r="B1509" s="15"/>
      <c r="C1509" s="15"/>
      <c r="D1509" s="15"/>
      <c r="E1509" s="3">
        <v>19740.2</v>
      </c>
      <c r="F1509" s="3">
        <v>16660.75</v>
      </c>
      <c r="G1509" s="3">
        <v>21084.13</v>
      </c>
      <c r="H1509" s="18">
        <v>57485.08</v>
      </c>
      <c r="I1509" s="19"/>
    </row>
    <row r="1510" spans="1:10" x14ac:dyDescent="0.25">
      <c r="A1510" s="14" t="s">
        <v>1872</v>
      </c>
      <c r="B1510" s="15"/>
      <c r="C1510" s="15"/>
      <c r="D1510" s="15"/>
      <c r="E1510" s="3">
        <v>90895.039999999994</v>
      </c>
      <c r="F1510" s="3">
        <v>134395.53</v>
      </c>
      <c r="G1510" s="3">
        <v>125963.65</v>
      </c>
      <c r="H1510" s="18">
        <v>351254.22</v>
      </c>
      <c r="I1510" s="19"/>
    </row>
    <row r="1511" spans="1:10" x14ac:dyDescent="0.25">
      <c r="A1511" s="14" t="s">
        <v>1873</v>
      </c>
      <c r="B1511" s="15"/>
      <c r="C1511" s="15"/>
      <c r="D1511" s="15"/>
      <c r="E1511" s="3">
        <v>334330.67</v>
      </c>
      <c r="F1511" s="3">
        <v>229669.24</v>
      </c>
      <c r="G1511" s="3">
        <v>289126.15999999997</v>
      </c>
      <c r="H1511" s="18">
        <v>853126.07</v>
      </c>
      <c r="I1511" s="19"/>
    </row>
    <row r="1512" spans="1:10" x14ac:dyDescent="0.25">
      <c r="A1512" s="14" t="s">
        <v>1874</v>
      </c>
      <c r="B1512" s="15"/>
      <c r="C1512" s="15"/>
      <c r="D1512" s="15"/>
      <c r="E1512" s="3">
        <v>116717.78</v>
      </c>
      <c r="F1512" s="3">
        <v>76070.559999999998</v>
      </c>
      <c r="G1512" s="3">
        <v>82433.119999999995</v>
      </c>
      <c r="H1512" s="18">
        <v>275221.46000000002</v>
      </c>
      <c r="I1512" s="19"/>
    </row>
    <row r="1513" spans="1:10" x14ac:dyDescent="0.25">
      <c r="A1513" s="14" t="s">
        <v>1875</v>
      </c>
      <c r="B1513" s="15"/>
      <c r="C1513" s="15"/>
      <c r="D1513" s="15"/>
      <c r="E1513" s="3">
        <v>104758.84</v>
      </c>
      <c r="F1513" s="3">
        <v>46054.9</v>
      </c>
      <c r="G1513" s="3">
        <v>66830.55</v>
      </c>
      <c r="H1513" s="18">
        <v>217644.29</v>
      </c>
      <c r="I1513" s="19"/>
    </row>
    <row r="1514" spans="1:10" x14ac:dyDescent="0.25">
      <c r="A1514" s="14" t="s">
        <v>1876</v>
      </c>
      <c r="B1514" s="15"/>
      <c r="C1514" s="15"/>
      <c r="D1514" s="15"/>
      <c r="E1514" s="3">
        <v>71876.69</v>
      </c>
      <c r="F1514" s="3">
        <v>46385.73</v>
      </c>
      <c r="G1514" s="3">
        <v>64422.400000000001</v>
      </c>
      <c r="H1514" s="18">
        <v>182684.82</v>
      </c>
      <c r="I1514" s="19"/>
    </row>
    <row r="1515" spans="1:10" x14ac:dyDescent="0.25">
      <c r="A1515" s="14" t="s">
        <v>1877</v>
      </c>
      <c r="B1515" s="15"/>
      <c r="C1515" s="15"/>
      <c r="D1515" s="15"/>
      <c r="E1515" s="3">
        <v>305099.24</v>
      </c>
      <c r="F1515" s="3">
        <v>291561.78999999998</v>
      </c>
      <c r="G1515" s="3">
        <v>264095.49</v>
      </c>
      <c r="H1515" s="18">
        <v>860756.52</v>
      </c>
      <c r="I1515" s="19"/>
    </row>
    <row r="1516" spans="1:10" x14ac:dyDescent="0.25">
      <c r="A1516" s="14" t="s">
        <v>1878</v>
      </c>
      <c r="B1516" s="15"/>
      <c r="C1516" s="15"/>
      <c r="D1516" s="15"/>
      <c r="E1516" s="3">
        <v>256892.92</v>
      </c>
      <c r="F1516" s="3">
        <v>105835.45</v>
      </c>
      <c r="G1516" s="3">
        <v>205327.68</v>
      </c>
      <c r="H1516" s="18">
        <v>568056.05000000005</v>
      </c>
      <c r="I1516" s="19"/>
    </row>
    <row r="1517" spans="1:10" x14ac:dyDescent="0.25">
      <c r="A1517" s="14" t="s">
        <v>1879</v>
      </c>
      <c r="B1517" s="15"/>
      <c r="C1517" s="15"/>
      <c r="D1517" s="15"/>
      <c r="E1517" s="5"/>
      <c r="F1517" s="5"/>
      <c r="G1517" s="3">
        <v>2800</v>
      </c>
      <c r="H1517" s="18">
        <v>2800</v>
      </c>
      <c r="I1517" s="19"/>
    </row>
    <row r="1518" spans="1:10" x14ac:dyDescent="0.25">
      <c r="A1518" s="14" t="s">
        <v>1880</v>
      </c>
      <c r="B1518" s="15"/>
      <c r="C1518" s="15"/>
      <c r="D1518" s="15"/>
      <c r="E1518" s="5"/>
      <c r="F1518" s="3">
        <v>7130.61</v>
      </c>
      <c r="G1518" s="3">
        <v>8268.0300000000007</v>
      </c>
      <c r="H1518" s="18">
        <v>15398.64</v>
      </c>
      <c r="I1518" s="19"/>
    </row>
    <row r="1519" spans="1:10" x14ac:dyDescent="0.25">
      <c r="A1519" s="24" t="s">
        <v>6</v>
      </c>
      <c r="B1519" s="25"/>
      <c r="C1519" s="25"/>
      <c r="D1519" s="25"/>
      <c r="E1519" s="6">
        <v>305299264.27999997</v>
      </c>
      <c r="F1519" s="6">
        <v>196564525.549999</v>
      </c>
      <c r="G1519" s="6">
        <v>350890749.96000099</v>
      </c>
      <c r="H1519" s="26">
        <v>852754539.78999698</v>
      </c>
      <c r="I1519" s="27"/>
    </row>
    <row r="1520" spans="1:10" x14ac:dyDescent="0.25">
      <c r="A1520" s="28" t="s">
        <v>1881</v>
      </c>
      <c r="B1520" s="28"/>
      <c r="C1520" s="23" t="s">
        <v>1882</v>
      </c>
      <c r="D1520" s="23"/>
      <c r="E1520" s="23"/>
      <c r="F1520" s="23"/>
      <c r="G1520" s="23"/>
      <c r="H1520" s="23"/>
      <c r="I1520" s="23"/>
      <c r="J1520" s="23"/>
    </row>
    <row r="1521" spans="1:10" x14ac:dyDescent="0.25">
      <c r="A1521" s="22" t="s">
        <v>1883</v>
      </c>
      <c r="B1521" s="22"/>
      <c r="C1521" s="23" t="s">
        <v>1884</v>
      </c>
      <c r="D1521" s="23"/>
      <c r="E1521" s="23"/>
      <c r="F1521" s="23"/>
      <c r="G1521" s="23"/>
      <c r="H1521" s="23"/>
      <c r="I1521" s="23"/>
      <c r="J1521" s="23"/>
    </row>
    <row r="1522" spans="1:10" x14ac:dyDescent="0.25">
      <c r="A1522" s="22" t="s">
        <v>1883</v>
      </c>
      <c r="B1522" s="22"/>
      <c r="C1522" s="23" t="s">
        <v>1885</v>
      </c>
      <c r="D1522" s="23"/>
      <c r="E1522" s="23"/>
      <c r="F1522" s="23"/>
      <c r="G1522" s="23"/>
      <c r="H1522" s="23"/>
      <c r="I1522" s="23"/>
      <c r="J1522" s="23"/>
    </row>
    <row r="1523" spans="1:10" x14ac:dyDescent="0.25">
      <c r="A1523" s="22" t="s">
        <v>1883</v>
      </c>
      <c r="B1523" s="22"/>
      <c r="C1523" s="23" t="s">
        <v>1886</v>
      </c>
      <c r="D1523" s="23"/>
      <c r="E1523" s="23"/>
      <c r="F1523" s="23"/>
      <c r="G1523" s="23"/>
      <c r="H1523" s="23"/>
      <c r="I1523" s="23"/>
      <c r="J1523" s="23"/>
    </row>
    <row r="1524" spans="1:10" x14ac:dyDescent="0.25">
      <c r="A1524" s="22" t="s">
        <v>1883</v>
      </c>
      <c r="B1524" s="22"/>
      <c r="C1524" s="23" t="s">
        <v>1887</v>
      </c>
      <c r="D1524" s="23"/>
      <c r="E1524" s="23"/>
      <c r="F1524" s="23"/>
      <c r="G1524" s="23"/>
      <c r="H1524" s="23"/>
      <c r="I1524" s="23"/>
      <c r="J1524" s="23"/>
    </row>
  </sheetData>
  <mergeCells count="3046">
    <mergeCell ref="A1523:B1523"/>
    <mergeCell ref="C1523:J1523"/>
    <mergeCell ref="A1524:B1524"/>
    <mergeCell ref="C1524:J1524"/>
    <mergeCell ref="A1514:D1514"/>
    <mergeCell ref="H1514:I1514"/>
    <mergeCell ref="A1515:D1515"/>
    <mergeCell ref="H1515:I1515"/>
    <mergeCell ref="A1516:D1516"/>
    <mergeCell ref="H1516:I1516"/>
    <mergeCell ref="A1517:D1517"/>
    <mergeCell ref="H1517:I1517"/>
    <mergeCell ref="A1518:D1518"/>
    <mergeCell ref="H1518:I1518"/>
    <mergeCell ref="A1519:D1519"/>
    <mergeCell ref="H1519:I1519"/>
    <mergeCell ref="A1520:B1520"/>
    <mergeCell ref="C1520:J1520"/>
    <mergeCell ref="A1521:B1521"/>
    <mergeCell ref="C1521:J1521"/>
    <mergeCell ref="A1522:B1522"/>
    <mergeCell ref="C1522:J1522"/>
    <mergeCell ref="A1505:D1505"/>
    <mergeCell ref="H1505:I1505"/>
    <mergeCell ref="A1506:D1506"/>
    <mergeCell ref="H1506:I1506"/>
    <mergeCell ref="A1507:D1507"/>
    <mergeCell ref="H1507:I1507"/>
    <mergeCell ref="A1508:D1508"/>
    <mergeCell ref="H1508:I1508"/>
    <mergeCell ref="A1509:D1509"/>
    <mergeCell ref="H1509:I1509"/>
    <mergeCell ref="A1510:D1510"/>
    <mergeCell ref="H1510:I1510"/>
    <mergeCell ref="A1511:D1511"/>
    <mergeCell ref="H1511:I1511"/>
    <mergeCell ref="A1512:D1512"/>
    <mergeCell ref="H1512:I1512"/>
    <mergeCell ref="A1513:D1513"/>
    <mergeCell ref="H1513:I1513"/>
    <mergeCell ref="A1496:D1496"/>
    <mergeCell ref="H1496:I1496"/>
    <mergeCell ref="A1497:D1497"/>
    <mergeCell ref="H1497:I1497"/>
    <mergeCell ref="A1498:D1498"/>
    <mergeCell ref="H1498:I1498"/>
    <mergeCell ref="A1499:D1499"/>
    <mergeCell ref="H1499:I1499"/>
    <mergeCell ref="A1500:D1500"/>
    <mergeCell ref="H1500:I1500"/>
    <mergeCell ref="A1501:D1501"/>
    <mergeCell ref="H1501:I1501"/>
    <mergeCell ref="A1502:D1502"/>
    <mergeCell ref="H1502:I1502"/>
    <mergeCell ref="A1503:D1503"/>
    <mergeCell ref="H1503:I1503"/>
    <mergeCell ref="A1504:D1504"/>
    <mergeCell ref="H1504:I1504"/>
    <mergeCell ref="A1487:D1487"/>
    <mergeCell ref="H1487:I1487"/>
    <mergeCell ref="A1488:D1488"/>
    <mergeCell ref="H1488:I1488"/>
    <mergeCell ref="A1489:D1489"/>
    <mergeCell ref="H1489:I1489"/>
    <mergeCell ref="A1490:D1490"/>
    <mergeCell ref="H1490:I1490"/>
    <mergeCell ref="A1491:D1491"/>
    <mergeCell ref="H1491:I1491"/>
    <mergeCell ref="A1492:D1492"/>
    <mergeCell ref="H1492:I1492"/>
    <mergeCell ref="A1493:D1493"/>
    <mergeCell ref="H1493:I1493"/>
    <mergeCell ref="A1494:D1494"/>
    <mergeCell ref="H1494:I1494"/>
    <mergeCell ref="A1495:D1495"/>
    <mergeCell ref="H1495:I1495"/>
    <mergeCell ref="A1478:D1478"/>
    <mergeCell ref="H1478:I1478"/>
    <mergeCell ref="A1479:D1479"/>
    <mergeCell ref="H1479:I1479"/>
    <mergeCell ref="A1480:D1480"/>
    <mergeCell ref="H1480:I1480"/>
    <mergeCell ref="A1481:D1481"/>
    <mergeCell ref="H1481:I1481"/>
    <mergeCell ref="A1482:D1482"/>
    <mergeCell ref="H1482:I1482"/>
    <mergeCell ref="A1483:D1483"/>
    <mergeCell ref="H1483:I1483"/>
    <mergeCell ref="A1484:D1484"/>
    <mergeCell ref="H1484:I1484"/>
    <mergeCell ref="A1485:D1485"/>
    <mergeCell ref="H1485:I1485"/>
    <mergeCell ref="A1486:D1486"/>
    <mergeCell ref="H1486:I1486"/>
    <mergeCell ref="A1469:D1469"/>
    <mergeCell ref="H1469:I1469"/>
    <mergeCell ref="A1470:D1470"/>
    <mergeCell ref="H1470:I1470"/>
    <mergeCell ref="A1471:D1471"/>
    <mergeCell ref="H1471:I1471"/>
    <mergeCell ref="A1472:D1472"/>
    <mergeCell ref="H1472:I1472"/>
    <mergeCell ref="A1473:D1473"/>
    <mergeCell ref="H1473:I1473"/>
    <mergeCell ref="A1474:D1474"/>
    <mergeCell ref="H1474:I1474"/>
    <mergeCell ref="A1475:D1475"/>
    <mergeCell ref="H1475:I1475"/>
    <mergeCell ref="A1476:D1476"/>
    <mergeCell ref="H1476:I1476"/>
    <mergeCell ref="A1477:D1477"/>
    <mergeCell ref="H1477:I1477"/>
    <mergeCell ref="A1460:D1460"/>
    <mergeCell ref="H1460:I1460"/>
    <mergeCell ref="A1461:D1461"/>
    <mergeCell ref="H1461:I1461"/>
    <mergeCell ref="A1462:D1462"/>
    <mergeCell ref="H1462:I1462"/>
    <mergeCell ref="A1463:D1463"/>
    <mergeCell ref="H1463:I1463"/>
    <mergeCell ref="A1464:D1464"/>
    <mergeCell ref="H1464:I1464"/>
    <mergeCell ref="A1465:D1465"/>
    <mergeCell ref="H1465:I1465"/>
    <mergeCell ref="A1466:D1466"/>
    <mergeCell ref="H1466:I1466"/>
    <mergeCell ref="A1467:D1467"/>
    <mergeCell ref="H1467:I1467"/>
    <mergeCell ref="A1468:D1468"/>
    <mergeCell ref="H1468:I1468"/>
    <mergeCell ref="A1451:D1451"/>
    <mergeCell ref="H1451:I1451"/>
    <mergeCell ref="A1452:D1452"/>
    <mergeCell ref="H1452:I1452"/>
    <mergeCell ref="A1453:D1453"/>
    <mergeCell ref="H1453:I1453"/>
    <mergeCell ref="A1454:D1454"/>
    <mergeCell ref="H1454:I1454"/>
    <mergeCell ref="A1455:D1455"/>
    <mergeCell ref="H1455:I1455"/>
    <mergeCell ref="A1456:D1456"/>
    <mergeCell ref="H1456:I1456"/>
    <mergeCell ref="A1457:D1457"/>
    <mergeCell ref="H1457:I1457"/>
    <mergeCell ref="A1458:D1458"/>
    <mergeCell ref="H1458:I1458"/>
    <mergeCell ref="A1459:D1459"/>
    <mergeCell ref="H1459:I1459"/>
    <mergeCell ref="A1442:D1442"/>
    <mergeCell ref="H1442:I1442"/>
    <mergeCell ref="A1443:D1443"/>
    <mergeCell ref="H1443:I1443"/>
    <mergeCell ref="A1444:D1444"/>
    <mergeCell ref="H1444:I1444"/>
    <mergeCell ref="A1445:D1445"/>
    <mergeCell ref="H1445:I1445"/>
    <mergeCell ref="A1446:D1446"/>
    <mergeCell ref="H1446:I1446"/>
    <mergeCell ref="A1447:D1447"/>
    <mergeCell ref="H1447:I1447"/>
    <mergeCell ref="A1448:D1448"/>
    <mergeCell ref="H1448:I1448"/>
    <mergeCell ref="A1449:D1449"/>
    <mergeCell ref="H1449:I1449"/>
    <mergeCell ref="A1450:D1450"/>
    <mergeCell ref="H1450:I1450"/>
    <mergeCell ref="A1433:D1433"/>
    <mergeCell ref="H1433:I1433"/>
    <mergeCell ref="A1434:D1434"/>
    <mergeCell ref="H1434:I1434"/>
    <mergeCell ref="A1435:D1435"/>
    <mergeCell ref="H1435:I1435"/>
    <mergeCell ref="A1436:D1436"/>
    <mergeCell ref="H1436:I1436"/>
    <mergeCell ref="A1437:D1437"/>
    <mergeCell ref="H1437:I1437"/>
    <mergeCell ref="A1438:D1438"/>
    <mergeCell ref="H1438:I1438"/>
    <mergeCell ref="A1439:D1439"/>
    <mergeCell ref="H1439:I1439"/>
    <mergeCell ref="A1440:D1440"/>
    <mergeCell ref="H1440:I1440"/>
    <mergeCell ref="A1441:D1441"/>
    <mergeCell ref="H1441:I1441"/>
    <mergeCell ref="A1424:D1424"/>
    <mergeCell ref="H1424:I1424"/>
    <mergeCell ref="A1425:D1425"/>
    <mergeCell ref="H1425:I1425"/>
    <mergeCell ref="A1426:D1426"/>
    <mergeCell ref="H1426:I1426"/>
    <mergeCell ref="A1427:D1427"/>
    <mergeCell ref="H1427:I1427"/>
    <mergeCell ref="A1428:D1428"/>
    <mergeCell ref="H1428:I1428"/>
    <mergeCell ref="A1429:D1429"/>
    <mergeCell ref="H1429:I1429"/>
    <mergeCell ref="A1430:D1430"/>
    <mergeCell ref="H1430:I1430"/>
    <mergeCell ref="A1431:D1431"/>
    <mergeCell ref="H1431:I1431"/>
    <mergeCell ref="A1432:D1432"/>
    <mergeCell ref="H1432:I1432"/>
    <mergeCell ref="A1415:D1415"/>
    <mergeCell ref="H1415:I1415"/>
    <mergeCell ref="A1416:D1416"/>
    <mergeCell ref="H1416:I1416"/>
    <mergeCell ref="A1417:D1417"/>
    <mergeCell ref="H1417:I1417"/>
    <mergeCell ref="A1418:D1418"/>
    <mergeCell ref="H1418:I1418"/>
    <mergeCell ref="A1419:D1419"/>
    <mergeCell ref="H1419:I1419"/>
    <mergeCell ref="A1420:D1420"/>
    <mergeCell ref="H1420:I1420"/>
    <mergeCell ref="A1421:D1421"/>
    <mergeCell ref="H1421:I1421"/>
    <mergeCell ref="A1422:D1422"/>
    <mergeCell ref="H1422:I1422"/>
    <mergeCell ref="A1423:D1423"/>
    <mergeCell ref="H1423:I1423"/>
    <mergeCell ref="A1406:D1406"/>
    <mergeCell ref="H1406:I1406"/>
    <mergeCell ref="A1407:D1407"/>
    <mergeCell ref="H1407:I1407"/>
    <mergeCell ref="A1408:D1408"/>
    <mergeCell ref="H1408:I1408"/>
    <mergeCell ref="A1409:D1409"/>
    <mergeCell ref="H1409:I1409"/>
    <mergeCell ref="A1410:D1410"/>
    <mergeCell ref="H1410:I1410"/>
    <mergeCell ref="A1411:D1411"/>
    <mergeCell ref="H1411:I1411"/>
    <mergeCell ref="A1412:D1412"/>
    <mergeCell ref="H1412:I1412"/>
    <mergeCell ref="A1413:D1413"/>
    <mergeCell ref="H1413:I1413"/>
    <mergeCell ref="A1414:D1414"/>
    <mergeCell ref="H1414:I1414"/>
    <mergeCell ref="A1397:D1397"/>
    <mergeCell ref="H1397:I1397"/>
    <mergeCell ref="A1398:D1398"/>
    <mergeCell ref="H1398:I1398"/>
    <mergeCell ref="A1399:D1399"/>
    <mergeCell ref="H1399:I1399"/>
    <mergeCell ref="A1400:D1400"/>
    <mergeCell ref="H1400:I1400"/>
    <mergeCell ref="A1401:D1401"/>
    <mergeCell ref="H1401:I1401"/>
    <mergeCell ref="A1402:D1402"/>
    <mergeCell ref="H1402:I1402"/>
    <mergeCell ref="A1403:D1403"/>
    <mergeCell ref="H1403:I1403"/>
    <mergeCell ref="A1404:D1404"/>
    <mergeCell ref="H1404:I1404"/>
    <mergeCell ref="A1405:D1405"/>
    <mergeCell ref="H1405:I1405"/>
    <mergeCell ref="A1388:D1388"/>
    <mergeCell ref="H1388:I1388"/>
    <mergeCell ref="A1389:D1389"/>
    <mergeCell ref="H1389:I1389"/>
    <mergeCell ref="A1390:D1390"/>
    <mergeCell ref="H1390:I1390"/>
    <mergeCell ref="A1391:D1391"/>
    <mergeCell ref="H1391:I1391"/>
    <mergeCell ref="A1392:D1392"/>
    <mergeCell ref="H1392:I1392"/>
    <mergeCell ref="A1393:D1393"/>
    <mergeCell ref="H1393:I1393"/>
    <mergeCell ref="A1394:D1394"/>
    <mergeCell ref="H1394:I1394"/>
    <mergeCell ref="A1395:D1395"/>
    <mergeCell ref="H1395:I1395"/>
    <mergeCell ref="A1396:D1396"/>
    <mergeCell ref="H1396:I1396"/>
    <mergeCell ref="A1379:D1379"/>
    <mergeCell ref="H1379:I1379"/>
    <mergeCell ref="A1380:D1380"/>
    <mergeCell ref="H1380:I1380"/>
    <mergeCell ref="A1381:D1381"/>
    <mergeCell ref="H1381:I1381"/>
    <mergeCell ref="A1382:D1382"/>
    <mergeCell ref="H1382:I1382"/>
    <mergeCell ref="A1383:D1383"/>
    <mergeCell ref="H1383:I1383"/>
    <mergeCell ref="A1384:D1384"/>
    <mergeCell ref="H1384:I1384"/>
    <mergeCell ref="A1385:D1385"/>
    <mergeCell ref="H1385:I1385"/>
    <mergeCell ref="A1386:D1386"/>
    <mergeCell ref="H1386:I1386"/>
    <mergeCell ref="A1387:D1387"/>
    <mergeCell ref="H1387:I1387"/>
    <mergeCell ref="A1370:D1370"/>
    <mergeCell ref="H1370:I1370"/>
    <mergeCell ref="A1371:D1371"/>
    <mergeCell ref="H1371:I1371"/>
    <mergeCell ref="A1372:D1372"/>
    <mergeCell ref="H1372:I1372"/>
    <mergeCell ref="A1373:D1373"/>
    <mergeCell ref="H1373:I1373"/>
    <mergeCell ref="A1374:D1374"/>
    <mergeCell ref="H1374:I1374"/>
    <mergeCell ref="A1375:D1375"/>
    <mergeCell ref="H1375:I1375"/>
    <mergeCell ref="A1376:D1376"/>
    <mergeCell ref="H1376:I1376"/>
    <mergeCell ref="A1377:D1377"/>
    <mergeCell ref="H1377:I1377"/>
    <mergeCell ref="A1378:D1378"/>
    <mergeCell ref="H1378:I1378"/>
    <mergeCell ref="A1361:D1361"/>
    <mergeCell ref="H1361:I1361"/>
    <mergeCell ref="A1362:D1362"/>
    <mergeCell ref="H1362:I1362"/>
    <mergeCell ref="A1363:D1363"/>
    <mergeCell ref="H1363:I1363"/>
    <mergeCell ref="A1364:D1364"/>
    <mergeCell ref="H1364:I1364"/>
    <mergeCell ref="A1365:D1365"/>
    <mergeCell ref="H1365:I1365"/>
    <mergeCell ref="A1366:D1366"/>
    <mergeCell ref="H1366:I1366"/>
    <mergeCell ref="A1367:D1367"/>
    <mergeCell ref="H1367:I1367"/>
    <mergeCell ref="A1368:D1368"/>
    <mergeCell ref="H1368:I1368"/>
    <mergeCell ref="A1369:D1369"/>
    <mergeCell ref="H1369:I1369"/>
    <mergeCell ref="A1352:D1352"/>
    <mergeCell ref="H1352:I1352"/>
    <mergeCell ref="A1353:D1353"/>
    <mergeCell ref="H1353:I1353"/>
    <mergeCell ref="A1354:D1354"/>
    <mergeCell ref="H1354:I1354"/>
    <mergeCell ref="A1355:D1355"/>
    <mergeCell ref="H1355:I1355"/>
    <mergeCell ref="A1356:D1356"/>
    <mergeCell ref="H1356:I1356"/>
    <mergeCell ref="A1357:D1357"/>
    <mergeCell ref="H1357:I1357"/>
    <mergeCell ref="A1358:D1358"/>
    <mergeCell ref="H1358:I1358"/>
    <mergeCell ref="A1359:D1359"/>
    <mergeCell ref="H1359:I1359"/>
    <mergeCell ref="A1360:D1360"/>
    <mergeCell ref="H1360:I1360"/>
    <mergeCell ref="A1343:D1343"/>
    <mergeCell ref="H1343:I1343"/>
    <mergeCell ref="A1344:D1344"/>
    <mergeCell ref="H1344:I1344"/>
    <mergeCell ref="A1345:D1345"/>
    <mergeCell ref="H1345:I1345"/>
    <mergeCell ref="A1346:D1346"/>
    <mergeCell ref="H1346:I1346"/>
    <mergeCell ref="A1347:D1347"/>
    <mergeCell ref="H1347:I1347"/>
    <mergeCell ref="A1348:D1348"/>
    <mergeCell ref="H1348:I1348"/>
    <mergeCell ref="A1349:D1349"/>
    <mergeCell ref="H1349:I1349"/>
    <mergeCell ref="A1350:D1350"/>
    <mergeCell ref="H1350:I1350"/>
    <mergeCell ref="A1351:D1351"/>
    <mergeCell ref="H1351:I1351"/>
    <mergeCell ref="A1334:D1334"/>
    <mergeCell ref="H1334:I1334"/>
    <mergeCell ref="A1335:D1335"/>
    <mergeCell ref="H1335:I1335"/>
    <mergeCell ref="A1336:D1336"/>
    <mergeCell ref="H1336:I1336"/>
    <mergeCell ref="A1337:D1337"/>
    <mergeCell ref="H1337:I1337"/>
    <mergeCell ref="A1338:D1338"/>
    <mergeCell ref="H1338:I1338"/>
    <mergeCell ref="A1339:D1339"/>
    <mergeCell ref="H1339:I1339"/>
    <mergeCell ref="A1340:D1340"/>
    <mergeCell ref="H1340:I1340"/>
    <mergeCell ref="A1341:D1341"/>
    <mergeCell ref="H1341:I1341"/>
    <mergeCell ref="A1342:D1342"/>
    <mergeCell ref="H1342:I1342"/>
    <mergeCell ref="A1325:D1325"/>
    <mergeCell ref="H1325:I1325"/>
    <mergeCell ref="A1326:D1326"/>
    <mergeCell ref="H1326:I1326"/>
    <mergeCell ref="A1327:D1327"/>
    <mergeCell ref="H1327:I1327"/>
    <mergeCell ref="A1328:D1328"/>
    <mergeCell ref="H1328:I1328"/>
    <mergeCell ref="A1329:D1329"/>
    <mergeCell ref="H1329:I1329"/>
    <mergeCell ref="A1330:D1330"/>
    <mergeCell ref="H1330:I1330"/>
    <mergeCell ref="A1331:D1331"/>
    <mergeCell ref="H1331:I1331"/>
    <mergeCell ref="A1332:D1332"/>
    <mergeCell ref="H1332:I1332"/>
    <mergeCell ref="A1333:D1333"/>
    <mergeCell ref="H1333:I1333"/>
    <mergeCell ref="A1316:D1316"/>
    <mergeCell ref="H1316:I1316"/>
    <mergeCell ref="A1317:D1317"/>
    <mergeCell ref="H1317:I1317"/>
    <mergeCell ref="A1318:D1318"/>
    <mergeCell ref="H1318:I1318"/>
    <mergeCell ref="A1319:D1319"/>
    <mergeCell ref="H1319:I1319"/>
    <mergeCell ref="A1320:D1320"/>
    <mergeCell ref="H1320:I1320"/>
    <mergeCell ref="A1321:D1321"/>
    <mergeCell ref="H1321:I1321"/>
    <mergeCell ref="A1322:D1322"/>
    <mergeCell ref="H1322:I1322"/>
    <mergeCell ref="A1323:D1323"/>
    <mergeCell ref="H1323:I1323"/>
    <mergeCell ref="A1324:D1324"/>
    <mergeCell ref="H1324:I1324"/>
    <mergeCell ref="A1307:D1307"/>
    <mergeCell ref="H1307:I1307"/>
    <mergeCell ref="A1308:D1308"/>
    <mergeCell ref="H1308:I1308"/>
    <mergeCell ref="A1309:D1309"/>
    <mergeCell ref="H1309:I1309"/>
    <mergeCell ref="A1310:D1310"/>
    <mergeCell ref="H1310:I1310"/>
    <mergeCell ref="A1311:D1311"/>
    <mergeCell ref="H1311:I1311"/>
    <mergeCell ref="A1312:D1312"/>
    <mergeCell ref="H1312:I1312"/>
    <mergeCell ref="A1313:D1313"/>
    <mergeCell ref="H1313:I1313"/>
    <mergeCell ref="A1314:D1314"/>
    <mergeCell ref="H1314:I1314"/>
    <mergeCell ref="A1315:D1315"/>
    <mergeCell ref="H1315:I1315"/>
    <mergeCell ref="A1298:D1298"/>
    <mergeCell ref="H1298:I1298"/>
    <mergeCell ref="A1299:D1299"/>
    <mergeCell ref="H1299:I1299"/>
    <mergeCell ref="A1300:D1300"/>
    <mergeCell ref="H1300:I1300"/>
    <mergeCell ref="A1301:D1301"/>
    <mergeCell ref="H1301:I1301"/>
    <mergeCell ref="A1302:D1302"/>
    <mergeCell ref="H1302:I1302"/>
    <mergeCell ref="A1303:D1303"/>
    <mergeCell ref="H1303:I1303"/>
    <mergeCell ref="A1304:D1304"/>
    <mergeCell ref="H1304:I1304"/>
    <mergeCell ref="A1305:D1305"/>
    <mergeCell ref="H1305:I1305"/>
    <mergeCell ref="A1306:D1306"/>
    <mergeCell ref="H1306:I1306"/>
    <mergeCell ref="A1289:D1289"/>
    <mergeCell ref="H1289:I1289"/>
    <mergeCell ref="A1290:D1290"/>
    <mergeCell ref="H1290:I1290"/>
    <mergeCell ref="A1291:D1291"/>
    <mergeCell ref="H1291:I1291"/>
    <mergeCell ref="A1292:D1292"/>
    <mergeCell ref="H1292:I1292"/>
    <mergeCell ref="A1293:D1293"/>
    <mergeCell ref="H1293:I1293"/>
    <mergeCell ref="A1294:D1294"/>
    <mergeCell ref="H1294:I1294"/>
    <mergeCell ref="A1295:D1295"/>
    <mergeCell ref="H1295:I1295"/>
    <mergeCell ref="A1296:D1296"/>
    <mergeCell ref="H1296:I1296"/>
    <mergeCell ref="A1297:D1297"/>
    <mergeCell ref="H1297:I1297"/>
    <mergeCell ref="A1280:D1280"/>
    <mergeCell ref="H1280:I1280"/>
    <mergeCell ref="A1281:D1281"/>
    <mergeCell ref="H1281:I1281"/>
    <mergeCell ref="A1282:D1282"/>
    <mergeCell ref="H1282:I1282"/>
    <mergeCell ref="A1283:D1283"/>
    <mergeCell ref="H1283:I1283"/>
    <mergeCell ref="A1284:D1284"/>
    <mergeCell ref="H1284:I1284"/>
    <mergeCell ref="A1285:D1285"/>
    <mergeCell ref="H1285:I1285"/>
    <mergeCell ref="A1286:D1286"/>
    <mergeCell ref="H1286:I1286"/>
    <mergeCell ref="A1287:D1287"/>
    <mergeCell ref="H1287:I1287"/>
    <mergeCell ref="A1288:D1288"/>
    <mergeCell ref="H1288:I1288"/>
    <mergeCell ref="A1271:D1271"/>
    <mergeCell ref="H1271:I1271"/>
    <mergeCell ref="A1272:D1272"/>
    <mergeCell ref="H1272:I1272"/>
    <mergeCell ref="A1273:D1273"/>
    <mergeCell ref="H1273:I1273"/>
    <mergeCell ref="A1274:D1274"/>
    <mergeCell ref="H1274:I1274"/>
    <mergeCell ref="A1275:D1275"/>
    <mergeCell ref="H1275:I1275"/>
    <mergeCell ref="A1276:D1276"/>
    <mergeCell ref="H1276:I1276"/>
    <mergeCell ref="A1277:D1277"/>
    <mergeCell ref="H1277:I1277"/>
    <mergeCell ref="A1278:D1278"/>
    <mergeCell ref="H1278:I1278"/>
    <mergeCell ref="A1279:D1279"/>
    <mergeCell ref="H1279:I1279"/>
    <mergeCell ref="A1262:D1262"/>
    <mergeCell ref="H1262:I1262"/>
    <mergeCell ref="A1263:D1263"/>
    <mergeCell ref="H1263:I1263"/>
    <mergeCell ref="A1264:D1264"/>
    <mergeCell ref="H1264:I1264"/>
    <mergeCell ref="A1265:D1265"/>
    <mergeCell ref="H1265:I1265"/>
    <mergeCell ref="A1266:D1266"/>
    <mergeCell ref="H1266:I1266"/>
    <mergeCell ref="A1267:D1267"/>
    <mergeCell ref="H1267:I1267"/>
    <mergeCell ref="A1268:D1268"/>
    <mergeCell ref="H1268:I1268"/>
    <mergeCell ref="A1269:D1269"/>
    <mergeCell ref="H1269:I1269"/>
    <mergeCell ref="A1270:D1270"/>
    <mergeCell ref="H1270:I1270"/>
    <mergeCell ref="A1253:D1253"/>
    <mergeCell ref="H1253:I1253"/>
    <mergeCell ref="A1254:D1254"/>
    <mergeCell ref="H1254:I1254"/>
    <mergeCell ref="A1255:D1255"/>
    <mergeCell ref="H1255:I1255"/>
    <mergeCell ref="A1256:D1256"/>
    <mergeCell ref="H1256:I1256"/>
    <mergeCell ref="A1257:D1257"/>
    <mergeCell ref="H1257:I1257"/>
    <mergeCell ref="A1258:D1258"/>
    <mergeCell ref="H1258:I1258"/>
    <mergeCell ref="A1259:D1259"/>
    <mergeCell ref="H1259:I1259"/>
    <mergeCell ref="A1260:D1260"/>
    <mergeCell ref="H1260:I1260"/>
    <mergeCell ref="A1261:D1261"/>
    <mergeCell ref="H1261:I1261"/>
    <mergeCell ref="A1244:D1244"/>
    <mergeCell ref="H1244:I1244"/>
    <mergeCell ref="A1245:D1245"/>
    <mergeCell ref="H1245:I1245"/>
    <mergeCell ref="A1246:D1246"/>
    <mergeCell ref="H1246:I1246"/>
    <mergeCell ref="A1247:D1247"/>
    <mergeCell ref="H1247:I1247"/>
    <mergeCell ref="A1248:D1248"/>
    <mergeCell ref="H1248:I1248"/>
    <mergeCell ref="A1249:D1249"/>
    <mergeCell ref="H1249:I1249"/>
    <mergeCell ref="A1250:D1250"/>
    <mergeCell ref="H1250:I1250"/>
    <mergeCell ref="A1251:D1251"/>
    <mergeCell ref="H1251:I1251"/>
    <mergeCell ref="A1252:D1252"/>
    <mergeCell ref="H1252:I1252"/>
    <mergeCell ref="A1235:D1235"/>
    <mergeCell ref="H1235:I1235"/>
    <mergeCell ref="A1236:D1236"/>
    <mergeCell ref="H1236:I1236"/>
    <mergeCell ref="A1237:D1237"/>
    <mergeCell ref="H1237:I1237"/>
    <mergeCell ref="A1238:D1238"/>
    <mergeCell ref="H1238:I1238"/>
    <mergeCell ref="A1239:D1239"/>
    <mergeCell ref="H1239:I1239"/>
    <mergeCell ref="A1240:D1240"/>
    <mergeCell ref="H1240:I1240"/>
    <mergeCell ref="A1241:D1241"/>
    <mergeCell ref="H1241:I1241"/>
    <mergeCell ref="A1242:D1242"/>
    <mergeCell ref="H1242:I1242"/>
    <mergeCell ref="A1243:D1243"/>
    <mergeCell ref="H1243:I1243"/>
    <mergeCell ref="A1226:D1226"/>
    <mergeCell ref="H1226:I1226"/>
    <mergeCell ref="A1227:D1227"/>
    <mergeCell ref="H1227:I1227"/>
    <mergeCell ref="A1228:D1228"/>
    <mergeCell ref="H1228:I1228"/>
    <mergeCell ref="A1229:D1229"/>
    <mergeCell ref="H1229:I1229"/>
    <mergeCell ref="A1230:D1230"/>
    <mergeCell ref="H1230:I1230"/>
    <mergeCell ref="A1231:D1231"/>
    <mergeCell ref="H1231:I1231"/>
    <mergeCell ref="A1232:D1232"/>
    <mergeCell ref="H1232:I1232"/>
    <mergeCell ref="A1233:D1233"/>
    <mergeCell ref="H1233:I1233"/>
    <mergeCell ref="A1234:D1234"/>
    <mergeCell ref="H1234:I1234"/>
    <mergeCell ref="A1217:D1217"/>
    <mergeCell ref="H1217:I1217"/>
    <mergeCell ref="A1218:D1218"/>
    <mergeCell ref="H1218:I1218"/>
    <mergeCell ref="A1219:D1219"/>
    <mergeCell ref="H1219:I1219"/>
    <mergeCell ref="A1220:D1220"/>
    <mergeCell ref="H1220:I1220"/>
    <mergeCell ref="A1221:D1221"/>
    <mergeCell ref="H1221:I1221"/>
    <mergeCell ref="A1222:D1222"/>
    <mergeCell ref="H1222:I1222"/>
    <mergeCell ref="A1223:D1223"/>
    <mergeCell ref="H1223:I1223"/>
    <mergeCell ref="A1224:D1224"/>
    <mergeCell ref="H1224:I1224"/>
    <mergeCell ref="A1225:D1225"/>
    <mergeCell ref="H1225:I1225"/>
    <mergeCell ref="A1208:D1208"/>
    <mergeCell ref="H1208:I1208"/>
    <mergeCell ref="A1209:D1209"/>
    <mergeCell ref="H1209:I1209"/>
    <mergeCell ref="A1210:D1210"/>
    <mergeCell ref="H1210:I1210"/>
    <mergeCell ref="A1211:D1211"/>
    <mergeCell ref="H1211:I1211"/>
    <mergeCell ref="A1212:D1212"/>
    <mergeCell ref="H1212:I1212"/>
    <mergeCell ref="A1213:D1213"/>
    <mergeCell ref="H1213:I1213"/>
    <mergeCell ref="A1214:D1214"/>
    <mergeCell ref="H1214:I1214"/>
    <mergeCell ref="A1215:D1215"/>
    <mergeCell ref="H1215:I1215"/>
    <mergeCell ref="A1216:D1216"/>
    <mergeCell ref="H1216:I1216"/>
    <mergeCell ref="A1199:D1199"/>
    <mergeCell ref="H1199:I1199"/>
    <mergeCell ref="A1200:D1200"/>
    <mergeCell ref="H1200:I1200"/>
    <mergeCell ref="A1201:D1201"/>
    <mergeCell ref="H1201:I1201"/>
    <mergeCell ref="A1202:D1202"/>
    <mergeCell ref="H1202:I1202"/>
    <mergeCell ref="A1203:D1203"/>
    <mergeCell ref="H1203:I1203"/>
    <mergeCell ref="A1204:D1204"/>
    <mergeCell ref="H1204:I1204"/>
    <mergeCell ref="A1205:D1205"/>
    <mergeCell ref="H1205:I1205"/>
    <mergeCell ref="A1206:D1206"/>
    <mergeCell ref="H1206:I1206"/>
    <mergeCell ref="A1207:D1207"/>
    <mergeCell ref="H1207:I1207"/>
    <mergeCell ref="A1190:D1190"/>
    <mergeCell ref="H1190:I1190"/>
    <mergeCell ref="A1191:D1191"/>
    <mergeCell ref="H1191:I1191"/>
    <mergeCell ref="A1192:D1192"/>
    <mergeCell ref="H1192:I1192"/>
    <mergeCell ref="A1193:D1193"/>
    <mergeCell ref="H1193:I1193"/>
    <mergeCell ref="A1194:D1194"/>
    <mergeCell ref="H1194:I1194"/>
    <mergeCell ref="A1195:D1195"/>
    <mergeCell ref="H1195:I1195"/>
    <mergeCell ref="A1196:D1196"/>
    <mergeCell ref="H1196:I1196"/>
    <mergeCell ref="A1197:D1197"/>
    <mergeCell ref="H1197:I1197"/>
    <mergeCell ref="A1198:D1198"/>
    <mergeCell ref="H1198:I1198"/>
    <mergeCell ref="A1181:D1181"/>
    <mergeCell ref="H1181:I1181"/>
    <mergeCell ref="A1182:D1182"/>
    <mergeCell ref="H1182:I1182"/>
    <mergeCell ref="A1183:D1183"/>
    <mergeCell ref="H1183:I1183"/>
    <mergeCell ref="A1184:D1184"/>
    <mergeCell ref="H1184:I1184"/>
    <mergeCell ref="A1185:D1185"/>
    <mergeCell ref="H1185:I1185"/>
    <mergeCell ref="A1186:D1186"/>
    <mergeCell ref="H1186:I1186"/>
    <mergeCell ref="A1187:D1187"/>
    <mergeCell ref="H1187:I1187"/>
    <mergeCell ref="A1188:D1188"/>
    <mergeCell ref="H1188:I1188"/>
    <mergeCell ref="A1189:D1189"/>
    <mergeCell ref="H1189:I1189"/>
    <mergeCell ref="A1172:D1172"/>
    <mergeCell ref="H1172:I1172"/>
    <mergeCell ref="A1173:D1173"/>
    <mergeCell ref="H1173:I1173"/>
    <mergeCell ref="A1174:D1174"/>
    <mergeCell ref="H1174:I1174"/>
    <mergeCell ref="A1175:D1175"/>
    <mergeCell ref="H1175:I1175"/>
    <mergeCell ref="A1176:D1176"/>
    <mergeCell ref="H1176:I1176"/>
    <mergeCell ref="A1177:D1177"/>
    <mergeCell ref="H1177:I1177"/>
    <mergeCell ref="A1178:D1178"/>
    <mergeCell ref="H1178:I1178"/>
    <mergeCell ref="A1179:D1179"/>
    <mergeCell ref="H1179:I1179"/>
    <mergeCell ref="A1180:D1180"/>
    <mergeCell ref="H1180:I1180"/>
    <mergeCell ref="A1163:D1163"/>
    <mergeCell ref="H1163:I1163"/>
    <mergeCell ref="A1164:D1164"/>
    <mergeCell ref="H1164:I1164"/>
    <mergeCell ref="A1165:D1165"/>
    <mergeCell ref="H1165:I1165"/>
    <mergeCell ref="A1166:D1166"/>
    <mergeCell ref="H1166:I1166"/>
    <mergeCell ref="A1167:D1167"/>
    <mergeCell ref="H1167:I1167"/>
    <mergeCell ref="A1168:D1168"/>
    <mergeCell ref="H1168:I1168"/>
    <mergeCell ref="A1169:D1169"/>
    <mergeCell ref="H1169:I1169"/>
    <mergeCell ref="A1170:D1170"/>
    <mergeCell ref="H1170:I1170"/>
    <mergeCell ref="A1171:D1171"/>
    <mergeCell ref="H1171:I1171"/>
    <mergeCell ref="A1154:D1154"/>
    <mergeCell ref="H1154:I1154"/>
    <mergeCell ref="A1155:D1155"/>
    <mergeCell ref="H1155:I1155"/>
    <mergeCell ref="A1156:D1156"/>
    <mergeCell ref="H1156:I1156"/>
    <mergeCell ref="A1157:D1157"/>
    <mergeCell ref="H1157:I1157"/>
    <mergeCell ref="A1158:D1158"/>
    <mergeCell ref="H1158:I1158"/>
    <mergeCell ref="A1159:D1159"/>
    <mergeCell ref="H1159:I1159"/>
    <mergeCell ref="A1160:D1160"/>
    <mergeCell ref="H1160:I1160"/>
    <mergeCell ref="A1161:D1161"/>
    <mergeCell ref="H1161:I1161"/>
    <mergeCell ref="A1162:D1162"/>
    <mergeCell ref="H1162:I1162"/>
    <mergeCell ref="A1145:D1145"/>
    <mergeCell ref="H1145:I1145"/>
    <mergeCell ref="A1146:D1146"/>
    <mergeCell ref="H1146:I1146"/>
    <mergeCell ref="A1147:D1147"/>
    <mergeCell ref="H1147:I1147"/>
    <mergeCell ref="A1148:D1148"/>
    <mergeCell ref="H1148:I1148"/>
    <mergeCell ref="A1149:D1149"/>
    <mergeCell ref="H1149:I1149"/>
    <mergeCell ref="A1150:D1150"/>
    <mergeCell ref="H1150:I1150"/>
    <mergeCell ref="A1151:D1151"/>
    <mergeCell ref="H1151:I1151"/>
    <mergeCell ref="A1152:D1152"/>
    <mergeCell ref="H1152:I1152"/>
    <mergeCell ref="A1153:D1153"/>
    <mergeCell ref="H1153:I1153"/>
    <mergeCell ref="A1136:D1136"/>
    <mergeCell ref="H1136:I1136"/>
    <mergeCell ref="A1137:D1137"/>
    <mergeCell ref="H1137:I1137"/>
    <mergeCell ref="A1138:D1138"/>
    <mergeCell ref="H1138:I1138"/>
    <mergeCell ref="A1139:D1139"/>
    <mergeCell ref="H1139:I1139"/>
    <mergeCell ref="A1140:D1140"/>
    <mergeCell ref="H1140:I1140"/>
    <mergeCell ref="A1141:D1141"/>
    <mergeCell ref="H1141:I1141"/>
    <mergeCell ref="A1142:D1142"/>
    <mergeCell ref="H1142:I1142"/>
    <mergeCell ref="A1143:D1143"/>
    <mergeCell ref="H1143:I1143"/>
    <mergeCell ref="A1144:D1144"/>
    <mergeCell ref="H1144:I1144"/>
    <mergeCell ref="A1127:D1127"/>
    <mergeCell ref="H1127:I1127"/>
    <mergeCell ref="A1128:D1128"/>
    <mergeCell ref="H1128:I1128"/>
    <mergeCell ref="A1129:D1129"/>
    <mergeCell ref="H1129:I1129"/>
    <mergeCell ref="A1130:D1130"/>
    <mergeCell ref="H1130:I1130"/>
    <mergeCell ref="A1131:D1131"/>
    <mergeCell ref="H1131:I1131"/>
    <mergeCell ref="A1132:D1132"/>
    <mergeCell ref="H1132:I1132"/>
    <mergeCell ref="A1133:D1133"/>
    <mergeCell ref="H1133:I1133"/>
    <mergeCell ref="A1134:D1134"/>
    <mergeCell ref="H1134:I1134"/>
    <mergeCell ref="A1135:D1135"/>
    <mergeCell ref="H1135:I1135"/>
    <mergeCell ref="A1118:D1118"/>
    <mergeCell ref="H1118:I1118"/>
    <mergeCell ref="A1119:D1119"/>
    <mergeCell ref="H1119:I1119"/>
    <mergeCell ref="A1120:D1120"/>
    <mergeCell ref="H1120:I1120"/>
    <mergeCell ref="A1121:D1121"/>
    <mergeCell ref="H1121:I1121"/>
    <mergeCell ref="A1122:D1122"/>
    <mergeCell ref="H1122:I1122"/>
    <mergeCell ref="A1123:D1123"/>
    <mergeCell ref="H1123:I1123"/>
    <mergeCell ref="A1124:D1124"/>
    <mergeCell ref="H1124:I1124"/>
    <mergeCell ref="A1125:D1125"/>
    <mergeCell ref="H1125:I1125"/>
    <mergeCell ref="A1126:D1126"/>
    <mergeCell ref="H1126:I1126"/>
    <mergeCell ref="A1109:D1109"/>
    <mergeCell ref="H1109:I1109"/>
    <mergeCell ref="A1110:D1110"/>
    <mergeCell ref="H1110:I1110"/>
    <mergeCell ref="A1111:D1111"/>
    <mergeCell ref="H1111:I1111"/>
    <mergeCell ref="A1112:D1112"/>
    <mergeCell ref="H1112:I1112"/>
    <mergeCell ref="A1113:D1113"/>
    <mergeCell ref="H1113:I1113"/>
    <mergeCell ref="A1114:D1114"/>
    <mergeCell ref="H1114:I1114"/>
    <mergeCell ref="A1115:D1115"/>
    <mergeCell ref="H1115:I1115"/>
    <mergeCell ref="A1116:D1116"/>
    <mergeCell ref="H1116:I1116"/>
    <mergeCell ref="A1117:D1117"/>
    <mergeCell ref="H1117:I1117"/>
    <mergeCell ref="A1100:D1100"/>
    <mergeCell ref="H1100:I1100"/>
    <mergeCell ref="A1101:D1101"/>
    <mergeCell ref="H1101:I1101"/>
    <mergeCell ref="A1102:D1102"/>
    <mergeCell ref="H1102:I1102"/>
    <mergeCell ref="A1103:D1103"/>
    <mergeCell ref="H1103:I1103"/>
    <mergeCell ref="A1104:D1104"/>
    <mergeCell ref="H1104:I1104"/>
    <mergeCell ref="A1105:D1105"/>
    <mergeCell ref="H1105:I1105"/>
    <mergeCell ref="A1106:D1106"/>
    <mergeCell ref="H1106:I1106"/>
    <mergeCell ref="A1107:D1107"/>
    <mergeCell ref="H1107:I1107"/>
    <mergeCell ref="A1108:D1108"/>
    <mergeCell ref="H1108:I1108"/>
    <mergeCell ref="A1091:D1091"/>
    <mergeCell ref="H1091:I1091"/>
    <mergeCell ref="A1092:D1092"/>
    <mergeCell ref="H1092:I1092"/>
    <mergeCell ref="A1093:D1093"/>
    <mergeCell ref="H1093:I1093"/>
    <mergeCell ref="A1094:D1094"/>
    <mergeCell ref="H1094:I1094"/>
    <mergeCell ref="A1095:D1095"/>
    <mergeCell ref="H1095:I1095"/>
    <mergeCell ref="A1096:D1096"/>
    <mergeCell ref="H1096:I1096"/>
    <mergeCell ref="A1097:D1097"/>
    <mergeCell ref="H1097:I1097"/>
    <mergeCell ref="A1098:D1098"/>
    <mergeCell ref="H1098:I1098"/>
    <mergeCell ref="A1099:D1099"/>
    <mergeCell ref="H1099:I1099"/>
    <mergeCell ref="A1082:D1082"/>
    <mergeCell ref="H1082:I1082"/>
    <mergeCell ref="A1083:D1083"/>
    <mergeCell ref="H1083:I1083"/>
    <mergeCell ref="A1084:D1084"/>
    <mergeCell ref="H1084:I1084"/>
    <mergeCell ref="A1085:D1085"/>
    <mergeCell ref="H1085:I1085"/>
    <mergeCell ref="A1086:D1086"/>
    <mergeCell ref="H1086:I1086"/>
    <mergeCell ref="A1087:D1087"/>
    <mergeCell ref="H1087:I1087"/>
    <mergeCell ref="A1088:D1088"/>
    <mergeCell ref="H1088:I1088"/>
    <mergeCell ref="A1089:D1089"/>
    <mergeCell ref="H1089:I1089"/>
    <mergeCell ref="A1090:D1090"/>
    <mergeCell ref="H1090:I1090"/>
    <mergeCell ref="A1073:D1073"/>
    <mergeCell ref="H1073:I1073"/>
    <mergeCell ref="A1074:D1074"/>
    <mergeCell ref="H1074:I1074"/>
    <mergeCell ref="A1075:D1075"/>
    <mergeCell ref="H1075:I1075"/>
    <mergeCell ref="A1076:D1076"/>
    <mergeCell ref="H1076:I1076"/>
    <mergeCell ref="A1077:D1077"/>
    <mergeCell ref="H1077:I1077"/>
    <mergeCell ref="A1078:D1078"/>
    <mergeCell ref="H1078:I1078"/>
    <mergeCell ref="A1079:D1079"/>
    <mergeCell ref="H1079:I1079"/>
    <mergeCell ref="A1080:D1080"/>
    <mergeCell ref="H1080:I1080"/>
    <mergeCell ref="A1081:D1081"/>
    <mergeCell ref="H1081:I1081"/>
    <mergeCell ref="A1064:D1064"/>
    <mergeCell ref="H1064:I1064"/>
    <mergeCell ref="A1065:D1065"/>
    <mergeCell ref="H1065:I1065"/>
    <mergeCell ref="A1066:D1066"/>
    <mergeCell ref="H1066:I1066"/>
    <mergeCell ref="A1067:D1067"/>
    <mergeCell ref="H1067:I1067"/>
    <mergeCell ref="A1068:D1068"/>
    <mergeCell ref="H1068:I1068"/>
    <mergeCell ref="A1069:D1069"/>
    <mergeCell ref="H1069:I1069"/>
    <mergeCell ref="A1070:D1070"/>
    <mergeCell ref="H1070:I1070"/>
    <mergeCell ref="A1071:D1071"/>
    <mergeCell ref="H1071:I1071"/>
    <mergeCell ref="A1072:D1072"/>
    <mergeCell ref="H1072:I1072"/>
    <mergeCell ref="A1055:D1055"/>
    <mergeCell ref="H1055:I1055"/>
    <mergeCell ref="A1056:D1056"/>
    <mergeCell ref="H1056:I1056"/>
    <mergeCell ref="A1057:D1057"/>
    <mergeCell ref="H1057:I1057"/>
    <mergeCell ref="A1058:D1058"/>
    <mergeCell ref="H1058:I1058"/>
    <mergeCell ref="A1059:D1059"/>
    <mergeCell ref="H1059:I1059"/>
    <mergeCell ref="A1060:D1060"/>
    <mergeCell ref="H1060:I1060"/>
    <mergeCell ref="A1061:D1061"/>
    <mergeCell ref="H1061:I1061"/>
    <mergeCell ref="A1062:D1062"/>
    <mergeCell ref="H1062:I1062"/>
    <mergeCell ref="A1063:D1063"/>
    <mergeCell ref="H1063:I1063"/>
    <mergeCell ref="A1046:D1046"/>
    <mergeCell ref="H1046:I1046"/>
    <mergeCell ref="A1047:D1047"/>
    <mergeCell ref="H1047:I1047"/>
    <mergeCell ref="A1048:D1048"/>
    <mergeCell ref="H1048:I1048"/>
    <mergeCell ref="A1049:D1049"/>
    <mergeCell ref="H1049:I1049"/>
    <mergeCell ref="A1050:D1050"/>
    <mergeCell ref="H1050:I1050"/>
    <mergeCell ref="A1051:D1051"/>
    <mergeCell ref="H1051:I1051"/>
    <mergeCell ref="A1052:D1052"/>
    <mergeCell ref="H1052:I1052"/>
    <mergeCell ref="A1053:D1053"/>
    <mergeCell ref="H1053:I1053"/>
    <mergeCell ref="A1054:D1054"/>
    <mergeCell ref="H1054:I1054"/>
    <mergeCell ref="A1037:D1037"/>
    <mergeCell ref="H1037:I1037"/>
    <mergeCell ref="A1038:D1038"/>
    <mergeCell ref="H1038:I1038"/>
    <mergeCell ref="A1039:D1039"/>
    <mergeCell ref="H1039:I1039"/>
    <mergeCell ref="A1040:D1040"/>
    <mergeCell ref="H1040:I1040"/>
    <mergeCell ref="A1041:D1041"/>
    <mergeCell ref="H1041:I1041"/>
    <mergeCell ref="A1042:D1042"/>
    <mergeCell ref="H1042:I1042"/>
    <mergeCell ref="A1043:D1043"/>
    <mergeCell ref="H1043:I1043"/>
    <mergeCell ref="A1044:D1044"/>
    <mergeCell ref="H1044:I1044"/>
    <mergeCell ref="A1045:D1045"/>
    <mergeCell ref="H1045:I1045"/>
    <mergeCell ref="A1028:D1028"/>
    <mergeCell ref="H1028:I1028"/>
    <mergeCell ref="A1029:D1029"/>
    <mergeCell ref="H1029:I1029"/>
    <mergeCell ref="A1030:D1030"/>
    <mergeCell ref="H1030:I1030"/>
    <mergeCell ref="A1031:D1031"/>
    <mergeCell ref="H1031:I1031"/>
    <mergeCell ref="A1032:D1032"/>
    <mergeCell ref="H1032:I1032"/>
    <mergeCell ref="A1033:D1033"/>
    <mergeCell ref="H1033:I1033"/>
    <mergeCell ref="A1034:D1034"/>
    <mergeCell ref="H1034:I1034"/>
    <mergeCell ref="A1035:D1035"/>
    <mergeCell ref="H1035:I1035"/>
    <mergeCell ref="A1036:D1036"/>
    <mergeCell ref="H1036:I1036"/>
    <mergeCell ref="A1019:D1019"/>
    <mergeCell ref="H1019:I1019"/>
    <mergeCell ref="A1020:D1020"/>
    <mergeCell ref="H1020:I1020"/>
    <mergeCell ref="A1021:D1021"/>
    <mergeCell ref="H1021:I1021"/>
    <mergeCell ref="A1022:D1022"/>
    <mergeCell ref="H1022:I1022"/>
    <mergeCell ref="A1023:D1023"/>
    <mergeCell ref="H1023:I1023"/>
    <mergeCell ref="A1024:D1024"/>
    <mergeCell ref="H1024:I1024"/>
    <mergeCell ref="A1025:D1025"/>
    <mergeCell ref="H1025:I1025"/>
    <mergeCell ref="A1026:D1026"/>
    <mergeCell ref="H1026:I1026"/>
    <mergeCell ref="A1027:D1027"/>
    <mergeCell ref="H1027:I1027"/>
    <mergeCell ref="A1010:D1010"/>
    <mergeCell ref="H1010:I1010"/>
    <mergeCell ref="A1011:D1011"/>
    <mergeCell ref="H1011:I1011"/>
    <mergeCell ref="A1012:D1012"/>
    <mergeCell ref="H1012:I1012"/>
    <mergeCell ref="A1013:D1013"/>
    <mergeCell ref="H1013:I1013"/>
    <mergeCell ref="A1014:D1014"/>
    <mergeCell ref="H1014:I1014"/>
    <mergeCell ref="A1015:D1015"/>
    <mergeCell ref="H1015:I1015"/>
    <mergeCell ref="A1016:D1016"/>
    <mergeCell ref="H1016:I1016"/>
    <mergeCell ref="A1017:D1017"/>
    <mergeCell ref="H1017:I1017"/>
    <mergeCell ref="A1018:D1018"/>
    <mergeCell ref="H1018:I1018"/>
    <mergeCell ref="A1001:D1001"/>
    <mergeCell ref="H1001:I1001"/>
    <mergeCell ref="A1002:D1002"/>
    <mergeCell ref="H1002:I1002"/>
    <mergeCell ref="A1003:D1003"/>
    <mergeCell ref="H1003:I1003"/>
    <mergeCell ref="A1004:D1004"/>
    <mergeCell ref="H1004:I1004"/>
    <mergeCell ref="A1005:D1005"/>
    <mergeCell ref="H1005:I1005"/>
    <mergeCell ref="A1006:D1006"/>
    <mergeCell ref="H1006:I1006"/>
    <mergeCell ref="A1007:D1007"/>
    <mergeCell ref="H1007:I1007"/>
    <mergeCell ref="A1008:D1008"/>
    <mergeCell ref="H1008:I1008"/>
    <mergeCell ref="A1009:D1009"/>
    <mergeCell ref="H1009:I1009"/>
    <mergeCell ref="A992:D992"/>
    <mergeCell ref="H992:I992"/>
    <mergeCell ref="A993:D993"/>
    <mergeCell ref="H993:I993"/>
    <mergeCell ref="A994:D994"/>
    <mergeCell ref="H994:I994"/>
    <mergeCell ref="A995:D995"/>
    <mergeCell ref="H995:I995"/>
    <mergeCell ref="A996:D996"/>
    <mergeCell ref="H996:I996"/>
    <mergeCell ref="A997:D997"/>
    <mergeCell ref="H997:I997"/>
    <mergeCell ref="A998:D998"/>
    <mergeCell ref="H998:I998"/>
    <mergeCell ref="A999:D999"/>
    <mergeCell ref="H999:I999"/>
    <mergeCell ref="A1000:D1000"/>
    <mergeCell ref="H1000:I1000"/>
    <mergeCell ref="A983:D983"/>
    <mergeCell ref="H983:I983"/>
    <mergeCell ref="A984:D984"/>
    <mergeCell ref="H984:I984"/>
    <mergeCell ref="A985:D985"/>
    <mergeCell ref="H985:I985"/>
    <mergeCell ref="A986:D986"/>
    <mergeCell ref="H986:I986"/>
    <mergeCell ref="A987:D987"/>
    <mergeCell ref="H987:I987"/>
    <mergeCell ref="A988:D988"/>
    <mergeCell ref="H988:I988"/>
    <mergeCell ref="A989:D989"/>
    <mergeCell ref="H989:I989"/>
    <mergeCell ref="A990:D990"/>
    <mergeCell ref="H990:I990"/>
    <mergeCell ref="A991:D991"/>
    <mergeCell ref="H991:I991"/>
    <mergeCell ref="A974:D974"/>
    <mergeCell ref="H974:I974"/>
    <mergeCell ref="A975:D975"/>
    <mergeCell ref="H975:I975"/>
    <mergeCell ref="A976:D976"/>
    <mergeCell ref="H976:I976"/>
    <mergeCell ref="A977:D977"/>
    <mergeCell ref="H977:I977"/>
    <mergeCell ref="A978:D978"/>
    <mergeCell ref="H978:I978"/>
    <mergeCell ref="A979:D979"/>
    <mergeCell ref="H979:I979"/>
    <mergeCell ref="A980:D980"/>
    <mergeCell ref="H980:I980"/>
    <mergeCell ref="A981:D981"/>
    <mergeCell ref="H981:I981"/>
    <mergeCell ref="A982:D982"/>
    <mergeCell ref="H982:I982"/>
    <mergeCell ref="A965:D965"/>
    <mergeCell ref="H965:I965"/>
    <mergeCell ref="A966:D966"/>
    <mergeCell ref="H966:I966"/>
    <mergeCell ref="A967:D967"/>
    <mergeCell ref="H967:I967"/>
    <mergeCell ref="A968:D968"/>
    <mergeCell ref="H968:I968"/>
    <mergeCell ref="A969:D969"/>
    <mergeCell ref="H969:I969"/>
    <mergeCell ref="A970:D970"/>
    <mergeCell ref="H970:I970"/>
    <mergeCell ref="A971:D971"/>
    <mergeCell ref="H971:I971"/>
    <mergeCell ref="A972:D972"/>
    <mergeCell ref="H972:I972"/>
    <mergeCell ref="A973:D973"/>
    <mergeCell ref="H973:I973"/>
    <mergeCell ref="A956:D956"/>
    <mergeCell ref="H956:I956"/>
    <mergeCell ref="A957:D957"/>
    <mergeCell ref="H957:I957"/>
    <mergeCell ref="A958:D958"/>
    <mergeCell ref="H958:I958"/>
    <mergeCell ref="A959:D959"/>
    <mergeCell ref="H959:I959"/>
    <mergeCell ref="A960:D960"/>
    <mergeCell ref="H960:I960"/>
    <mergeCell ref="A961:D961"/>
    <mergeCell ref="H961:I961"/>
    <mergeCell ref="A962:D962"/>
    <mergeCell ref="H962:I962"/>
    <mergeCell ref="A963:D963"/>
    <mergeCell ref="H963:I963"/>
    <mergeCell ref="A964:D964"/>
    <mergeCell ref="H964:I964"/>
    <mergeCell ref="A947:D947"/>
    <mergeCell ref="H947:I947"/>
    <mergeCell ref="A948:D948"/>
    <mergeCell ref="H948:I948"/>
    <mergeCell ref="A949:D949"/>
    <mergeCell ref="H949:I949"/>
    <mergeCell ref="A950:D950"/>
    <mergeCell ref="H950:I950"/>
    <mergeCell ref="A951:D951"/>
    <mergeCell ref="H951:I951"/>
    <mergeCell ref="A952:D952"/>
    <mergeCell ref="H952:I952"/>
    <mergeCell ref="A953:D953"/>
    <mergeCell ref="H953:I953"/>
    <mergeCell ref="A954:D954"/>
    <mergeCell ref="H954:I954"/>
    <mergeCell ref="A955:D955"/>
    <mergeCell ref="H955:I955"/>
    <mergeCell ref="A938:D938"/>
    <mergeCell ref="H938:I938"/>
    <mergeCell ref="A939:D939"/>
    <mergeCell ref="H939:I939"/>
    <mergeCell ref="A940:D940"/>
    <mergeCell ref="H940:I940"/>
    <mergeCell ref="A941:D941"/>
    <mergeCell ref="H941:I941"/>
    <mergeCell ref="A942:D942"/>
    <mergeCell ref="H942:I942"/>
    <mergeCell ref="A943:D943"/>
    <mergeCell ref="H943:I943"/>
    <mergeCell ref="A944:D944"/>
    <mergeCell ref="H944:I944"/>
    <mergeCell ref="A945:D945"/>
    <mergeCell ref="H945:I945"/>
    <mergeCell ref="A946:D946"/>
    <mergeCell ref="H946:I946"/>
    <mergeCell ref="A929:D929"/>
    <mergeCell ref="H929:I929"/>
    <mergeCell ref="A930:D930"/>
    <mergeCell ref="H930:I930"/>
    <mergeCell ref="A931:D931"/>
    <mergeCell ref="H931:I931"/>
    <mergeCell ref="A932:D932"/>
    <mergeCell ref="H932:I932"/>
    <mergeCell ref="A933:D933"/>
    <mergeCell ref="H933:I933"/>
    <mergeCell ref="A934:D934"/>
    <mergeCell ref="H934:I934"/>
    <mergeCell ref="A935:D935"/>
    <mergeCell ref="H935:I935"/>
    <mergeCell ref="A936:D936"/>
    <mergeCell ref="H936:I936"/>
    <mergeCell ref="A937:D937"/>
    <mergeCell ref="H937:I937"/>
    <mergeCell ref="A920:D920"/>
    <mergeCell ref="H920:I920"/>
    <mergeCell ref="A921:D921"/>
    <mergeCell ref="H921:I921"/>
    <mergeCell ref="A922:D922"/>
    <mergeCell ref="H922:I922"/>
    <mergeCell ref="A923:D923"/>
    <mergeCell ref="H923:I923"/>
    <mergeCell ref="A924:D924"/>
    <mergeCell ref="H924:I924"/>
    <mergeCell ref="A925:D925"/>
    <mergeCell ref="H925:I925"/>
    <mergeCell ref="A926:D926"/>
    <mergeCell ref="H926:I926"/>
    <mergeCell ref="A927:D927"/>
    <mergeCell ref="H927:I927"/>
    <mergeCell ref="A928:D928"/>
    <mergeCell ref="H928:I928"/>
    <mergeCell ref="A911:D911"/>
    <mergeCell ref="H911:I911"/>
    <mergeCell ref="A912:D912"/>
    <mergeCell ref="H912:I912"/>
    <mergeCell ref="A913:D913"/>
    <mergeCell ref="H913:I913"/>
    <mergeCell ref="A914:D914"/>
    <mergeCell ref="H914:I914"/>
    <mergeCell ref="A915:D915"/>
    <mergeCell ref="H915:I915"/>
    <mergeCell ref="A916:D916"/>
    <mergeCell ref="H916:I916"/>
    <mergeCell ref="A917:D917"/>
    <mergeCell ref="H917:I917"/>
    <mergeCell ref="A918:D918"/>
    <mergeCell ref="H918:I918"/>
    <mergeCell ref="A919:D919"/>
    <mergeCell ref="H919:I919"/>
    <mergeCell ref="A902:D902"/>
    <mergeCell ref="H902:I902"/>
    <mergeCell ref="A903:D903"/>
    <mergeCell ref="H903:I903"/>
    <mergeCell ref="A904:D904"/>
    <mergeCell ref="H904:I904"/>
    <mergeCell ref="A905:D905"/>
    <mergeCell ref="H905:I905"/>
    <mergeCell ref="A906:D906"/>
    <mergeCell ref="H906:I906"/>
    <mergeCell ref="A907:D907"/>
    <mergeCell ref="H907:I907"/>
    <mergeCell ref="A908:D908"/>
    <mergeCell ref="H908:I908"/>
    <mergeCell ref="A909:D909"/>
    <mergeCell ref="H909:I909"/>
    <mergeCell ref="A910:D910"/>
    <mergeCell ref="H910:I910"/>
    <mergeCell ref="A893:D893"/>
    <mergeCell ref="H893:I893"/>
    <mergeCell ref="A894:D894"/>
    <mergeCell ref="H894:I894"/>
    <mergeCell ref="A895:D895"/>
    <mergeCell ref="H895:I895"/>
    <mergeCell ref="A896:D896"/>
    <mergeCell ref="H896:I896"/>
    <mergeCell ref="A897:D897"/>
    <mergeCell ref="H897:I897"/>
    <mergeCell ref="A898:D898"/>
    <mergeCell ref="H898:I898"/>
    <mergeCell ref="A899:D899"/>
    <mergeCell ref="H899:I899"/>
    <mergeCell ref="A900:D900"/>
    <mergeCell ref="H900:I900"/>
    <mergeCell ref="A901:D901"/>
    <mergeCell ref="H901:I901"/>
    <mergeCell ref="A884:D884"/>
    <mergeCell ref="H884:I884"/>
    <mergeCell ref="A885:D885"/>
    <mergeCell ref="H885:I885"/>
    <mergeCell ref="A886:D886"/>
    <mergeCell ref="H886:I886"/>
    <mergeCell ref="A887:D887"/>
    <mergeCell ref="H887:I887"/>
    <mergeCell ref="A888:D888"/>
    <mergeCell ref="H888:I888"/>
    <mergeCell ref="A889:D889"/>
    <mergeCell ref="H889:I889"/>
    <mergeCell ref="A890:D890"/>
    <mergeCell ref="H890:I890"/>
    <mergeCell ref="A891:D891"/>
    <mergeCell ref="H891:I891"/>
    <mergeCell ref="A892:D892"/>
    <mergeCell ref="H892:I892"/>
    <mergeCell ref="A875:D875"/>
    <mergeCell ref="H875:I875"/>
    <mergeCell ref="A876:D876"/>
    <mergeCell ref="H876:I876"/>
    <mergeCell ref="A877:D877"/>
    <mergeCell ref="H877:I877"/>
    <mergeCell ref="A878:D878"/>
    <mergeCell ref="H878:I878"/>
    <mergeCell ref="A879:D879"/>
    <mergeCell ref="H879:I879"/>
    <mergeCell ref="A880:D880"/>
    <mergeCell ref="H880:I880"/>
    <mergeCell ref="A881:D881"/>
    <mergeCell ref="H881:I881"/>
    <mergeCell ref="A882:D882"/>
    <mergeCell ref="H882:I882"/>
    <mergeCell ref="A883:D883"/>
    <mergeCell ref="H883:I883"/>
    <mergeCell ref="A866:D866"/>
    <mergeCell ref="H866:I866"/>
    <mergeCell ref="A867:D867"/>
    <mergeCell ref="H867:I867"/>
    <mergeCell ref="A868:D868"/>
    <mergeCell ref="H868:I868"/>
    <mergeCell ref="A869:D869"/>
    <mergeCell ref="H869:I869"/>
    <mergeCell ref="A870:D870"/>
    <mergeCell ref="H870:I870"/>
    <mergeCell ref="A871:D871"/>
    <mergeCell ref="H871:I871"/>
    <mergeCell ref="A872:D872"/>
    <mergeCell ref="H872:I872"/>
    <mergeCell ref="A873:D873"/>
    <mergeCell ref="H873:I873"/>
    <mergeCell ref="A874:D874"/>
    <mergeCell ref="H874:I874"/>
    <mergeCell ref="A857:D857"/>
    <mergeCell ref="H857:I857"/>
    <mergeCell ref="A858:D858"/>
    <mergeCell ref="H858:I858"/>
    <mergeCell ref="A859:D859"/>
    <mergeCell ref="H859:I859"/>
    <mergeCell ref="A860:D860"/>
    <mergeCell ref="H860:I860"/>
    <mergeCell ref="A861:D861"/>
    <mergeCell ref="H861:I861"/>
    <mergeCell ref="A862:D862"/>
    <mergeCell ref="H862:I862"/>
    <mergeCell ref="A863:D863"/>
    <mergeCell ref="H863:I863"/>
    <mergeCell ref="A864:D864"/>
    <mergeCell ref="H864:I864"/>
    <mergeCell ref="A865:D865"/>
    <mergeCell ref="H865:I865"/>
    <mergeCell ref="A848:D848"/>
    <mergeCell ref="H848:I848"/>
    <mergeCell ref="A849:D849"/>
    <mergeCell ref="H849:I849"/>
    <mergeCell ref="A850:D850"/>
    <mergeCell ref="H850:I850"/>
    <mergeCell ref="A851:D851"/>
    <mergeCell ref="H851:I851"/>
    <mergeCell ref="A852:D852"/>
    <mergeCell ref="H852:I852"/>
    <mergeCell ref="A853:D853"/>
    <mergeCell ref="H853:I853"/>
    <mergeCell ref="A854:D854"/>
    <mergeCell ref="H854:I854"/>
    <mergeCell ref="A855:D855"/>
    <mergeCell ref="H855:I855"/>
    <mergeCell ref="A856:D856"/>
    <mergeCell ref="H856:I856"/>
    <mergeCell ref="A839:D839"/>
    <mergeCell ref="H839:I839"/>
    <mergeCell ref="A840:D840"/>
    <mergeCell ref="H840:I840"/>
    <mergeCell ref="A841:D841"/>
    <mergeCell ref="H841:I841"/>
    <mergeCell ref="A842:D842"/>
    <mergeCell ref="H842:I842"/>
    <mergeCell ref="A843:D843"/>
    <mergeCell ref="H843:I843"/>
    <mergeCell ref="A844:D844"/>
    <mergeCell ref="H844:I844"/>
    <mergeCell ref="A845:D845"/>
    <mergeCell ref="H845:I845"/>
    <mergeCell ref="A846:D846"/>
    <mergeCell ref="H846:I846"/>
    <mergeCell ref="A847:D847"/>
    <mergeCell ref="H847:I847"/>
    <mergeCell ref="A830:D830"/>
    <mergeCell ref="H830:I830"/>
    <mergeCell ref="A831:D831"/>
    <mergeCell ref="H831:I831"/>
    <mergeCell ref="A832:D832"/>
    <mergeCell ref="H832:I832"/>
    <mergeCell ref="A833:D833"/>
    <mergeCell ref="H833:I833"/>
    <mergeCell ref="A834:D834"/>
    <mergeCell ref="H834:I834"/>
    <mergeCell ref="A835:D835"/>
    <mergeCell ref="H835:I835"/>
    <mergeCell ref="A836:D836"/>
    <mergeCell ref="H836:I836"/>
    <mergeCell ref="A837:D837"/>
    <mergeCell ref="H837:I837"/>
    <mergeCell ref="A838:D838"/>
    <mergeCell ref="H838:I838"/>
    <mergeCell ref="A821:D821"/>
    <mergeCell ref="H821:I821"/>
    <mergeCell ref="A822:D822"/>
    <mergeCell ref="H822:I822"/>
    <mergeCell ref="A823:D823"/>
    <mergeCell ref="H823:I823"/>
    <mergeCell ref="A824:D824"/>
    <mergeCell ref="H824:I824"/>
    <mergeCell ref="A825:D825"/>
    <mergeCell ref="H825:I825"/>
    <mergeCell ref="A826:D826"/>
    <mergeCell ref="H826:I826"/>
    <mergeCell ref="A827:D827"/>
    <mergeCell ref="H827:I827"/>
    <mergeCell ref="A828:D828"/>
    <mergeCell ref="H828:I828"/>
    <mergeCell ref="A829:D829"/>
    <mergeCell ref="H829:I829"/>
    <mergeCell ref="A812:D812"/>
    <mergeCell ref="H812:I812"/>
    <mergeCell ref="A813:D813"/>
    <mergeCell ref="H813:I813"/>
    <mergeCell ref="A814:D814"/>
    <mergeCell ref="H814:I814"/>
    <mergeCell ref="A815:D815"/>
    <mergeCell ref="H815:I815"/>
    <mergeCell ref="A816:D816"/>
    <mergeCell ref="H816:I816"/>
    <mergeCell ref="A817:D817"/>
    <mergeCell ref="H817:I817"/>
    <mergeCell ref="A818:D818"/>
    <mergeCell ref="H818:I818"/>
    <mergeCell ref="A819:D819"/>
    <mergeCell ref="H819:I819"/>
    <mergeCell ref="A820:D820"/>
    <mergeCell ref="H820:I820"/>
    <mergeCell ref="A803:D803"/>
    <mergeCell ref="H803:I803"/>
    <mergeCell ref="A804:D804"/>
    <mergeCell ref="H804:I804"/>
    <mergeCell ref="A805:D805"/>
    <mergeCell ref="H805:I805"/>
    <mergeCell ref="A806:D806"/>
    <mergeCell ref="H806:I806"/>
    <mergeCell ref="A807:D807"/>
    <mergeCell ref="H807:I807"/>
    <mergeCell ref="A808:D808"/>
    <mergeCell ref="H808:I808"/>
    <mergeCell ref="A809:D809"/>
    <mergeCell ref="H809:I809"/>
    <mergeCell ref="A810:D810"/>
    <mergeCell ref="H810:I810"/>
    <mergeCell ref="A811:D811"/>
    <mergeCell ref="H811:I811"/>
    <mergeCell ref="A794:D794"/>
    <mergeCell ref="H794:I794"/>
    <mergeCell ref="A795:D795"/>
    <mergeCell ref="H795:I795"/>
    <mergeCell ref="A796:D796"/>
    <mergeCell ref="H796:I796"/>
    <mergeCell ref="A797:D797"/>
    <mergeCell ref="H797:I797"/>
    <mergeCell ref="A798:D798"/>
    <mergeCell ref="H798:I798"/>
    <mergeCell ref="A799:D799"/>
    <mergeCell ref="H799:I799"/>
    <mergeCell ref="A800:D800"/>
    <mergeCell ref="H800:I800"/>
    <mergeCell ref="A801:D801"/>
    <mergeCell ref="H801:I801"/>
    <mergeCell ref="A802:D802"/>
    <mergeCell ref="H802:I802"/>
    <mergeCell ref="A785:D785"/>
    <mergeCell ref="H785:I785"/>
    <mergeCell ref="A786:D786"/>
    <mergeCell ref="H786:I786"/>
    <mergeCell ref="A787:D787"/>
    <mergeCell ref="H787:I787"/>
    <mergeCell ref="A788:D788"/>
    <mergeCell ref="H788:I788"/>
    <mergeCell ref="A789:D789"/>
    <mergeCell ref="H789:I789"/>
    <mergeCell ref="A790:D790"/>
    <mergeCell ref="H790:I790"/>
    <mergeCell ref="A791:D791"/>
    <mergeCell ref="H791:I791"/>
    <mergeCell ref="A792:D792"/>
    <mergeCell ref="H792:I792"/>
    <mergeCell ref="A793:D793"/>
    <mergeCell ref="H793:I793"/>
    <mergeCell ref="A776:D776"/>
    <mergeCell ref="H776:I776"/>
    <mergeCell ref="A777:D777"/>
    <mergeCell ref="H777:I777"/>
    <mergeCell ref="A778:D778"/>
    <mergeCell ref="H778:I778"/>
    <mergeCell ref="A779:D779"/>
    <mergeCell ref="H779:I779"/>
    <mergeCell ref="A780:D780"/>
    <mergeCell ref="H780:I780"/>
    <mergeCell ref="A781:D781"/>
    <mergeCell ref="H781:I781"/>
    <mergeCell ref="A782:D782"/>
    <mergeCell ref="H782:I782"/>
    <mergeCell ref="A783:D783"/>
    <mergeCell ref="H783:I783"/>
    <mergeCell ref="A784:D784"/>
    <mergeCell ref="H784:I784"/>
    <mergeCell ref="A767:D767"/>
    <mergeCell ref="H767:I767"/>
    <mergeCell ref="A768:D768"/>
    <mergeCell ref="H768:I768"/>
    <mergeCell ref="A769:D769"/>
    <mergeCell ref="H769:I769"/>
    <mergeCell ref="A770:D770"/>
    <mergeCell ref="H770:I770"/>
    <mergeCell ref="A771:D771"/>
    <mergeCell ref="H771:I771"/>
    <mergeCell ref="A772:D772"/>
    <mergeCell ref="H772:I772"/>
    <mergeCell ref="A773:D773"/>
    <mergeCell ref="H773:I773"/>
    <mergeCell ref="A774:D774"/>
    <mergeCell ref="H774:I774"/>
    <mergeCell ref="A775:D775"/>
    <mergeCell ref="H775:I775"/>
    <mergeCell ref="A758:D758"/>
    <mergeCell ref="H758:I758"/>
    <mergeCell ref="A759:D759"/>
    <mergeCell ref="H759:I759"/>
    <mergeCell ref="A760:D760"/>
    <mergeCell ref="H760:I760"/>
    <mergeCell ref="A761:D761"/>
    <mergeCell ref="H761:I761"/>
    <mergeCell ref="A762:D762"/>
    <mergeCell ref="H762:I762"/>
    <mergeCell ref="A763:D763"/>
    <mergeCell ref="H763:I763"/>
    <mergeCell ref="A764:D764"/>
    <mergeCell ref="H764:I764"/>
    <mergeCell ref="A765:D765"/>
    <mergeCell ref="H765:I765"/>
    <mergeCell ref="A766:D766"/>
    <mergeCell ref="H766:I766"/>
    <mergeCell ref="A749:D749"/>
    <mergeCell ref="H749:I749"/>
    <mergeCell ref="A750:D750"/>
    <mergeCell ref="H750:I750"/>
    <mergeCell ref="A751:D751"/>
    <mergeCell ref="H751:I751"/>
    <mergeCell ref="A752:D752"/>
    <mergeCell ref="H752:I752"/>
    <mergeCell ref="A753:D753"/>
    <mergeCell ref="H753:I753"/>
    <mergeCell ref="A754:D754"/>
    <mergeCell ref="H754:I754"/>
    <mergeCell ref="A755:D755"/>
    <mergeCell ref="H755:I755"/>
    <mergeCell ref="A756:D756"/>
    <mergeCell ref="H756:I756"/>
    <mergeCell ref="A757:D757"/>
    <mergeCell ref="H757:I757"/>
    <mergeCell ref="A740:D740"/>
    <mergeCell ref="H740:I740"/>
    <mergeCell ref="A741:D741"/>
    <mergeCell ref="H741:I741"/>
    <mergeCell ref="A742:D742"/>
    <mergeCell ref="H742:I742"/>
    <mergeCell ref="A743:D743"/>
    <mergeCell ref="H743:I743"/>
    <mergeCell ref="A744:D744"/>
    <mergeCell ref="H744:I744"/>
    <mergeCell ref="A745:D745"/>
    <mergeCell ref="H745:I745"/>
    <mergeCell ref="A746:D746"/>
    <mergeCell ref="H746:I746"/>
    <mergeCell ref="A747:D747"/>
    <mergeCell ref="H747:I747"/>
    <mergeCell ref="A748:D748"/>
    <mergeCell ref="H748:I748"/>
    <mergeCell ref="A731:D731"/>
    <mergeCell ref="H731:I731"/>
    <mergeCell ref="A732:D732"/>
    <mergeCell ref="H732:I732"/>
    <mergeCell ref="A733:D733"/>
    <mergeCell ref="H733:I733"/>
    <mergeCell ref="A734:D734"/>
    <mergeCell ref="H734:I734"/>
    <mergeCell ref="A735:D735"/>
    <mergeCell ref="H735:I735"/>
    <mergeCell ref="A736:D736"/>
    <mergeCell ref="H736:I736"/>
    <mergeCell ref="A737:D737"/>
    <mergeCell ref="H737:I737"/>
    <mergeCell ref="A738:D738"/>
    <mergeCell ref="H738:I738"/>
    <mergeCell ref="A739:D739"/>
    <mergeCell ref="H739:I739"/>
    <mergeCell ref="A722:D722"/>
    <mergeCell ref="H722:I722"/>
    <mergeCell ref="A723:D723"/>
    <mergeCell ref="H723:I723"/>
    <mergeCell ref="A724:D724"/>
    <mergeCell ref="H724:I724"/>
    <mergeCell ref="A725:D725"/>
    <mergeCell ref="H725:I725"/>
    <mergeCell ref="A726:D726"/>
    <mergeCell ref="H726:I726"/>
    <mergeCell ref="A727:D727"/>
    <mergeCell ref="H727:I727"/>
    <mergeCell ref="A728:D728"/>
    <mergeCell ref="H728:I728"/>
    <mergeCell ref="A729:D729"/>
    <mergeCell ref="H729:I729"/>
    <mergeCell ref="A730:D730"/>
    <mergeCell ref="H730:I730"/>
    <mergeCell ref="A713:D713"/>
    <mergeCell ref="H713:I713"/>
    <mergeCell ref="A714:D714"/>
    <mergeCell ref="H714:I714"/>
    <mergeCell ref="A715:D715"/>
    <mergeCell ref="H715:I715"/>
    <mergeCell ref="A716:D716"/>
    <mergeCell ref="H716:I716"/>
    <mergeCell ref="A717:D717"/>
    <mergeCell ref="H717:I717"/>
    <mergeCell ref="A718:D718"/>
    <mergeCell ref="H718:I718"/>
    <mergeCell ref="A719:D719"/>
    <mergeCell ref="H719:I719"/>
    <mergeCell ref="A720:D720"/>
    <mergeCell ref="H720:I720"/>
    <mergeCell ref="A721:D721"/>
    <mergeCell ref="H721:I721"/>
    <mergeCell ref="A704:D704"/>
    <mergeCell ref="H704:I704"/>
    <mergeCell ref="A705:D705"/>
    <mergeCell ref="H705:I705"/>
    <mergeCell ref="A706:D706"/>
    <mergeCell ref="H706:I706"/>
    <mergeCell ref="A707:D707"/>
    <mergeCell ref="H707:I707"/>
    <mergeCell ref="A708:D708"/>
    <mergeCell ref="H708:I708"/>
    <mergeCell ref="A709:D709"/>
    <mergeCell ref="H709:I709"/>
    <mergeCell ref="A710:D710"/>
    <mergeCell ref="H710:I710"/>
    <mergeCell ref="A711:D711"/>
    <mergeCell ref="H711:I711"/>
    <mergeCell ref="A712:D712"/>
    <mergeCell ref="H712:I712"/>
    <mergeCell ref="A695:D695"/>
    <mergeCell ref="H695:I695"/>
    <mergeCell ref="A696:D696"/>
    <mergeCell ref="H696:I696"/>
    <mergeCell ref="A697:D697"/>
    <mergeCell ref="H697:I697"/>
    <mergeCell ref="A698:D698"/>
    <mergeCell ref="H698:I698"/>
    <mergeCell ref="A699:D699"/>
    <mergeCell ref="H699:I699"/>
    <mergeCell ref="A700:D700"/>
    <mergeCell ref="H700:I700"/>
    <mergeCell ref="A701:D701"/>
    <mergeCell ref="H701:I701"/>
    <mergeCell ref="A702:D702"/>
    <mergeCell ref="H702:I702"/>
    <mergeCell ref="A703:D703"/>
    <mergeCell ref="H703:I703"/>
    <mergeCell ref="A686:D686"/>
    <mergeCell ref="H686:I686"/>
    <mergeCell ref="A687:D687"/>
    <mergeCell ref="H687:I687"/>
    <mergeCell ref="A688:D688"/>
    <mergeCell ref="H688:I688"/>
    <mergeCell ref="A689:D689"/>
    <mergeCell ref="H689:I689"/>
    <mergeCell ref="A690:D690"/>
    <mergeCell ref="H690:I690"/>
    <mergeCell ref="A691:D691"/>
    <mergeCell ref="H691:I691"/>
    <mergeCell ref="A692:D692"/>
    <mergeCell ref="H692:I692"/>
    <mergeCell ref="A693:D693"/>
    <mergeCell ref="H693:I693"/>
    <mergeCell ref="A694:D694"/>
    <mergeCell ref="H694:I694"/>
    <mergeCell ref="A677:D677"/>
    <mergeCell ref="H677:I677"/>
    <mergeCell ref="A678:D678"/>
    <mergeCell ref="H678:I678"/>
    <mergeCell ref="A679:D679"/>
    <mergeCell ref="H679:I679"/>
    <mergeCell ref="A680:D680"/>
    <mergeCell ref="H680:I680"/>
    <mergeCell ref="A681:D681"/>
    <mergeCell ref="H681:I681"/>
    <mergeCell ref="A682:D682"/>
    <mergeCell ref="H682:I682"/>
    <mergeCell ref="A683:D683"/>
    <mergeCell ref="H683:I683"/>
    <mergeCell ref="A684:D684"/>
    <mergeCell ref="H684:I684"/>
    <mergeCell ref="A685:D685"/>
    <mergeCell ref="H685:I685"/>
    <mergeCell ref="A668:D668"/>
    <mergeCell ref="H668:I668"/>
    <mergeCell ref="A669:D669"/>
    <mergeCell ref="H669:I669"/>
    <mergeCell ref="A670:D670"/>
    <mergeCell ref="H670:I670"/>
    <mergeCell ref="A671:D671"/>
    <mergeCell ref="H671:I671"/>
    <mergeCell ref="A672:D672"/>
    <mergeCell ref="H672:I672"/>
    <mergeCell ref="A673:D673"/>
    <mergeCell ref="H673:I673"/>
    <mergeCell ref="A674:D674"/>
    <mergeCell ref="H674:I674"/>
    <mergeCell ref="A675:D675"/>
    <mergeCell ref="H675:I675"/>
    <mergeCell ref="A676:D676"/>
    <mergeCell ref="H676:I676"/>
    <mergeCell ref="A659:D659"/>
    <mergeCell ref="H659:I659"/>
    <mergeCell ref="A660:D660"/>
    <mergeCell ref="H660:I660"/>
    <mergeCell ref="A661:D661"/>
    <mergeCell ref="H661:I661"/>
    <mergeCell ref="A662:D662"/>
    <mergeCell ref="H662:I662"/>
    <mergeCell ref="A663:D663"/>
    <mergeCell ref="H663:I663"/>
    <mergeCell ref="A664:D664"/>
    <mergeCell ref="H664:I664"/>
    <mergeCell ref="A665:D665"/>
    <mergeCell ref="H665:I665"/>
    <mergeCell ref="A666:D666"/>
    <mergeCell ref="H666:I666"/>
    <mergeCell ref="A667:D667"/>
    <mergeCell ref="H667:I667"/>
    <mergeCell ref="A650:D650"/>
    <mergeCell ref="H650:I650"/>
    <mergeCell ref="A651:D651"/>
    <mergeCell ref="H651:I651"/>
    <mergeCell ref="A652:D652"/>
    <mergeCell ref="H652:I652"/>
    <mergeCell ref="A653:D653"/>
    <mergeCell ref="H653:I653"/>
    <mergeCell ref="A654:D654"/>
    <mergeCell ref="H654:I654"/>
    <mergeCell ref="A655:D655"/>
    <mergeCell ref="H655:I655"/>
    <mergeCell ref="A656:D656"/>
    <mergeCell ref="H656:I656"/>
    <mergeCell ref="A657:D657"/>
    <mergeCell ref="H657:I657"/>
    <mergeCell ref="A658:D658"/>
    <mergeCell ref="H658:I658"/>
    <mergeCell ref="A641:D641"/>
    <mergeCell ref="H641:I641"/>
    <mergeCell ref="A642:D642"/>
    <mergeCell ref="H642:I642"/>
    <mergeCell ref="A643:D643"/>
    <mergeCell ref="H643:I643"/>
    <mergeCell ref="A644:D644"/>
    <mergeCell ref="H644:I644"/>
    <mergeCell ref="A645:D645"/>
    <mergeCell ref="H645:I645"/>
    <mergeCell ref="A646:D646"/>
    <mergeCell ref="H646:I646"/>
    <mergeCell ref="A647:D647"/>
    <mergeCell ref="H647:I647"/>
    <mergeCell ref="A648:D648"/>
    <mergeCell ref="H648:I648"/>
    <mergeCell ref="A649:D649"/>
    <mergeCell ref="H649:I649"/>
    <mergeCell ref="A632:D632"/>
    <mergeCell ref="H632:I632"/>
    <mergeCell ref="A633:D633"/>
    <mergeCell ref="H633:I633"/>
    <mergeCell ref="A634:D634"/>
    <mergeCell ref="H634:I634"/>
    <mergeCell ref="A635:D635"/>
    <mergeCell ref="H635:I635"/>
    <mergeCell ref="A636:D636"/>
    <mergeCell ref="H636:I636"/>
    <mergeCell ref="A637:D637"/>
    <mergeCell ref="H637:I637"/>
    <mergeCell ref="A638:D638"/>
    <mergeCell ref="H638:I638"/>
    <mergeCell ref="A639:D639"/>
    <mergeCell ref="H639:I639"/>
    <mergeCell ref="A640:D640"/>
    <mergeCell ref="H640:I640"/>
    <mergeCell ref="A623:D623"/>
    <mergeCell ref="H623:I623"/>
    <mergeCell ref="A624:D624"/>
    <mergeCell ref="H624:I624"/>
    <mergeCell ref="A625:D625"/>
    <mergeCell ref="H625:I625"/>
    <mergeCell ref="A626:D626"/>
    <mergeCell ref="H626:I626"/>
    <mergeCell ref="A627:D627"/>
    <mergeCell ref="H627:I627"/>
    <mergeCell ref="A628:D628"/>
    <mergeCell ref="H628:I628"/>
    <mergeCell ref="A629:D629"/>
    <mergeCell ref="H629:I629"/>
    <mergeCell ref="A630:D630"/>
    <mergeCell ref="H630:I630"/>
    <mergeCell ref="A631:D631"/>
    <mergeCell ref="H631:I631"/>
    <mergeCell ref="A614:D614"/>
    <mergeCell ref="H614:I614"/>
    <mergeCell ref="A615:D615"/>
    <mergeCell ref="H615:I615"/>
    <mergeCell ref="A616:D616"/>
    <mergeCell ref="H616:I616"/>
    <mergeCell ref="A617:D617"/>
    <mergeCell ref="H617:I617"/>
    <mergeCell ref="A618:D618"/>
    <mergeCell ref="H618:I618"/>
    <mergeCell ref="A619:D619"/>
    <mergeCell ref="H619:I619"/>
    <mergeCell ref="A620:D620"/>
    <mergeCell ref="H620:I620"/>
    <mergeCell ref="A621:D621"/>
    <mergeCell ref="H621:I621"/>
    <mergeCell ref="A622:D622"/>
    <mergeCell ref="H622:I622"/>
    <mergeCell ref="A605:D605"/>
    <mergeCell ref="H605:I605"/>
    <mergeCell ref="A606:D606"/>
    <mergeCell ref="H606:I606"/>
    <mergeCell ref="A607:D607"/>
    <mergeCell ref="H607:I607"/>
    <mergeCell ref="A608:D608"/>
    <mergeCell ref="H608:I608"/>
    <mergeCell ref="A609:D609"/>
    <mergeCell ref="H609:I609"/>
    <mergeCell ref="A610:D610"/>
    <mergeCell ref="H610:I610"/>
    <mergeCell ref="A611:D611"/>
    <mergeCell ref="H611:I611"/>
    <mergeCell ref="A612:D612"/>
    <mergeCell ref="H612:I612"/>
    <mergeCell ref="A613:D613"/>
    <mergeCell ref="H613:I613"/>
    <mergeCell ref="A596:D596"/>
    <mergeCell ref="H596:I596"/>
    <mergeCell ref="A597:D597"/>
    <mergeCell ref="H597:I597"/>
    <mergeCell ref="A598:D598"/>
    <mergeCell ref="H598:I598"/>
    <mergeCell ref="A599:D599"/>
    <mergeCell ref="H599:I599"/>
    <mergeCell ref="A600:D600"/>
    <mergeCell ref="H600:I600"/>
    <mergeCell ref="A601:D601"/>
    <mergeCell ref="H601:I601"/>
    <mergeCell ref="A602:D602"/>
    <mergeCell ref="H602:I602"/>
    <mergeCell ref="A603:D603"/>
    <mergeCell ref="H603:I603"/>
    <mergeCell ref="A604:D604"/>
    <mergeCell ref="H604:I604"/>
    <mergeCell ref="A587:D587"/>
    <mergeCell ref="H587:I587"/>
    <mergeCell ref="A588:D588"/>
    <mergeCell ref="H588:I588"/>
    <mergeCell ref="A589:D589"/>
    <mergeCell ref="H589:I589"/>
    <mergeCell ref="A590:D590"/>
    <mergeCell ref="H590:I590"/>
    <mergeCell ref="A591:D591"/>
    <mergeCell ref="H591:I591"/>
    <mergeCell ref="A592:D592"/>
    <mergeCell ref="H592:I592"/>
    <mergeCell ref="A593:D593"/>
    <mergeCell ref="H593:I593"/>
    <mergeCell ref="A594:D594"/>
    <mergeCell ref="H594:I594"/>
    <mergeCell ref="A595:D595"/>
    <mergeCell ref="H595:I595"/>
    <mergeCell ref="A578:D578"/>
    <mergeCell ref="H578:I578"/>
    <mergeCell ref="A579:D579"/>
    <mergeCell ref="H579:I579"/>
    <mergeCell ref="A580:D580"/>
    <mergeCell ref="H580:I580"/>
    <mergeCell ref="A581:D581"/>
    <mergeCell ref="H581:I581"/>
    <mergeCell ref="A582:D582"/>
    <mergeCell ref="H582:I582"/>
    <mergeCell ref="A583:D583"/>
    <mergeCell ref="H583:I583"/>
    <mergeCell ref="A584:D584"/>
    <mergeCell ref="H584:I584"/>
    <mergeCell ref="A585:D585"/>
    <mergeCell ref="H585:I585"/>
    <mergeCell ref="A586:D586"/>
    <mergeCell ref="H586:I586"/>
    <mergeCell ref="A569:D569"/>
    <mergeCell ref="H569:I569"/>
    <mergeCell ref="A570:D570"/>
    <mergeCell ref="H570:I570"/>
    <mergeCell ref="A571:D571"/>
    <mergeCell ref="H571:I571"/>
    <mergeCell ref="A572:D572"/>
    <mergeCell ref="H572:I572"/>
    <mergeCell ref="A573:D573"/>
    <mergeCell ref="H573:I573"/>
    <mergeCell ref="A574:D574"/>
    <mergeCell ref="H574:I574"/>
    <mergeCell ref="A575:D575"/>
    <mergeCell ref="H575:I575"/>
    <mergeCell ref="A576:D576"/>
    <mergeCell ref="H576:I576"/>
    <mergeCell ref="A577:D577"/>
    <mergeCell ref="H577:I577"/>
    <mergeCell ref="A560:D560"/>
    <mergeCell ref="H560:I560"/>
    <mergeCell ref="A561:D561"/>
    <mergeCell ref="H561:I561"/>
    <mergeCell ref="A562:D562"/>
    <mergeCell ref="H562:I562"/>
    <mergeCell ref="A563:D563"/>
    <mergeCell ref="H563:I563"/>
    <mergeCell ref="A564:D564"/>
    <mergeCell ref="H564:I564"/>
    <mergeCell ref="A565:D565"/>
    <mergeCell ref="H565:I565"/>
    <mergeCell ref="A566:D566"/>
    <mergeCell ref="H566:I566"/>
    <mergeCell ref="A567:D567"/>
    <mergeCell ref="H567:I567"/>
    <mergeCell ref="A568:D568"/>
    <mergeCell ref="H568:I568"/>
    <mergeCell ref="A551:D551"/>
    <mergeCell ref="H551:I551"/>
    <mergeCell ref="A552:D552"/>
    <mergeCell ref="H552:I552"/>
    <mergeCell ref="A553:D553"/>
    <mergeCell ref="H553:I553"/>
    <mergeCell ref="A554:D554"/>
    <mergeCell ref="H554:I554"/>
    <mergeCell ref="A555:D555"/>
    <mergeCell ref="H555:I555"/>
    <mergeCell ref="A556:D556"/>
    <mergeCell ref="H556:I556"/>
    <mergeCell ref="A557:D557"/>
    <mergeCell ref="H557:I557"/>
    <mergeCell ref="A558:D558"/>
    <mergeCell ref="H558:I558"/>
    <mergeCell ref="A559:D559"/>
    <mergeCell ref="H559:I559"/>
    <mergeCell ref="A542:D542"/>
    <mergeCell ref="H542:I542"/>
    <mergeCell ref="A543:D543"/>
    <mergeCell ref="H543:I543"/>
    <mergeCell ref="A544:D544"/>
    <mergeCell ref="H544:I544"/>
    <mergeCell ref="A545:D545"/>
    <mergeCell ref="H545:I545"/>
    <mergeCell ref="A546:D546"/>
    <mergeCell ref="H546:I546"/>
    <mergeCell ref="A547:D547"/>
    <mergeCell ref="H547:I547"/>
    <mergeCell ref="A548:D548"/>
    <mergeCell ref="H548:I548"/>
    <mergeCell ref="A549:D549"/>
    <mergeCell ref="H549:I549"/>
    <mergeCell ref="A550:D550"/>
    <mergeCell ref="H550:I550"/>
    <mergeCell ref="A533:D533"/>
    <mergeCell ref="H533:I533"/>
    <mergeCell ref="A534:D534"/>
    <mergeCell ref="H534:I534"/>
    <mergeCell ref="A535:D535"/>
    <mergeCell ref="H535:I535"/>
    <mergeCell ref="A536:D536"/>
    <mergeCell ref="H536:I536"/>
    <mergeCell ref="A537:D537"/>
    <mergeCell ref="H537:I537"/>
    <mergeCell ref="A538:D538"/>
    <mergeCell ref="H538:I538"/>
    <mergeCell ref="A539:D539"/>
    <mergeCell ref="H539:I539"/>
    <mergeCell ref="A540:D540"/>
    <mergeCell ref="H540:I540"/>
    <mergeCell ref="A541:D541"/>
    <mergeCell ref="H541:I541"/>
    <mergeCell ref="A524:D524"/>
    <mergeCell ref="H524:I524"/>
    <mergeCell ref="A525:D525"/>
    <mergeCell ref="H525:I525"/>
    <mergeCell ref="A526:D526"/>
    <mergeCell ref="H526:I526"/>
    <mergeCell ref="A527:D527"/>
    <mergeCell ref="H527:I527"/>
    <mergeCell ref="A528:D528"/>
    <mergeCell ref="H528:I528"/>
    <mergeCell ref="A529:D529"/>
    <mergeCell ref="H529:I529"/>
    <mergeCell ref="A530:D530"/>
    <mergeCell ref="H530:I530"/>
    <mergeCell ref="A531:D531"/>
    <mergeCell ref="H531:I531"/>
    <mergeCell ref="A532:D532"/>
    <mergeCell ref="H532:I532"/>
    <mergeCell ref="A515:D515"/>
    <mergeCell ref="H515:I515"/>
    <mergeCell ref="A516:D516"/>
    <mergeCell ref="H516:I516"/>
    <mergeCell ref="A517:D517"/>
    <mergeCell ref="H517:I517"/>
    <mergeCell ref="A518:D518"/>
    <mergeCell ref="H518:I518"/>
    <mergeCell ref="A519:D519"/>
    <mergeCell ref="H519:I519"/>
    <mergeCell ref="A520:D520"/>
    <mergeCell ref="H520:I520"/>
    <mergeCell ref="A521:D521"/>
    <mergeCell ref="H521:I521"/>
    <mergeCell ref="A522:D522"/>
    <mergeCell ref="H522:I522"/>
    <mergeCell ref="A523:D523"/>
    <mergeCell ref="H523:I523"/>
    <mergeCell ref="A506:D506"/>
    <mergeCell ref="H506:I506"/>
    <mergeCell ref="A507:D507"/>
    <mergeCell ref="H507:I507"/>
    <mergeCell ref="A508:D508"/>
    <mergeCell ref="H508:I508"/>
    <mergeCell ref="A509:D509"/>
    <mergeCell ref="H509:I509"/>
    <mergeCell ref="A510:D510"/>
    <mergeCell ref="H510:I510"/>
    <mergeCell ref="A511:D511"/>
    <mergeCell ref="H511:I511"/>
    <mergeCell ref="A512:D512"/>
    <mergeCell ref="H512:I512"/>
    <mergeCell ref="A513:D513"/>
    <mergeCell ref="H513:I513"/>
    <mergeCell ref="A514:D514"/>
    <mergeCell ref="H514:I514"/>
    <mergeCell ref="A497:D497"/>
    <mergeCell ref="H497:I497"/>
    <mergeCell ref="A498:D498"/>
    <mergeCell ref="H498:I498"/>
    <mergeCell ref="A499:D499"/>
    <mergeCell ref="H499:I499"/>
    <mergeCell ref="A500:D500"/>
    <mergeCell ref="H500:I500"/>
    <mergeCell ref="A501:D501"/>
    <mergeCell ref="H501:I501"/>
    <mergeCell ref="A502:D502"/>
    <mergeCell ref="H502:I502"/>
    <mergeCell ref="A503:D503"/>
    <mergeCell ref="H503:I503"/>
    <mergeCell ref="A504:D504"/>
    <mergeCell ref="H504:I504"/>
    <mergeCell ref="A505:D505"/>
    <mergeCell ref="H505:I505"/>
    <mergeCell ref="A488:D488"/>
    <mergeCell ref="H488:I488"/>
    <mergeCell ref="A489:D489"/>
    <mergeCell ref="H489:I489"/>
    <mergeCell ref="A490:D490"/>
    <mergeCell ref="H490:I490"/>
    <mergeCell ref="A491:D491"/>
    <mergeCell ref="H491:I491"/>
    <mergeCell ref="A492:D492"/>
    <mergeCell ref="H492:I492"/>
    <mergeCell ref="A493:D493"/>
    <mergeCell ref="H493:I493"/>
    <mergeCell ref="A494:D494"/>
    <mergeCell ref="H494:I494"/>
    <mergeCell ref="A495:D495"/>
    <mergeCell ref="H495:I495"/>
    <mergeCell ref="A496:D496"/>
    <mergeCell ref="H496:I496"/>
    <mergeCell ref="A479:D479"/>
    <mergeCell ref="H479:I479"/>
    <mergeCell ref="A480:D480"/>
    <mergeCell ref="H480:I480"/>
    <mergeCell ref="A481:D481"/>
    <mergeCell ref="H481:I481"/>
    <mergeCell ref="A482:D482"/>
    <mergeCell ref="H482:I482"/>
    <mergeCell ref="A483:D483"/>
    <mergeCell ref="H483:I483"/>
    <mergeCell ref="A484:D484"/>
    <mergeCell ref="H484:I484"/>
    <mergeCell ref="A485:D485"/>
    <mergeCell ref="H485:I485"/>
    <mergeCell ref="A486:D486"/>
    <mergeCell ref="H486:I486"/>
    <mergeCell ref="A487:D487"/>
    <mergeCell ref="H487:I487"/>
    <mergeCell ref="A470:D470"/>
    <mergeCell ref="H470:I470"/>
    <mergeCell ref="A471:D471"/>
    <mergeCell ref="H471:I471"/>
    <mergeCell ref="A472:D472"/>
    <mergeCell ref="H472:I472"/>
    <mergeCell ref="A473:D473"/>
    <mergeCell ref="H473:I473"/>
    <mergeCell ref="A474:D474"/>
    <mergeCell ref="H474:I474"/>
    <mergeCell ref="A475:D475"/>
    <mergeCell ref="H475:I475"/>
    <mergeCell ref="A476:D476"/>
    <mergeCell ref="H476:I476"/>
    <mergeCell ref="A477:D477"/>
    <mergeCell ref="H477:I477"/>
    <mergeCell ref="A478:D478"/>
    <mergeCell ref="H478:I478"/>
    <mergeCell ref="A461:D461"/>
    <mergeCell ref="H461:I461"/>
    <mergeCell ref="A462:D462"/>
    <mergeCell ref="H462:I462"/>
    <mergeCell ref="A463:D463"/>
    <mergeCell ref="H463:I463"/>
    <mergeCell ref="A464:D464"/>
    <mergeCell ref="H464:I464"/>
    <mergeCell ref="A465:D465"/>
    <mergeCell ref="H465:I465"/>
    <mergeCell ref="A466:D466"/>
    <mergeCell ref="H466:I466"/>
    <mergeCell ref="A467:D467"/>
    <mergeCell ref="H467:I467"/>
    <mergeCell ref="A468:D468"/>
    <mergeCell ref="H468:I468"/>
    <mergeCell ref="A469:D469"/>
    <mergeCell ref="H469:I469"/>
    <mergeCell ref="A452:D452"/>
    <mergeCell ref="H452:I452"/>
    <mergeCell ref="A453:D453"/>
    <mergeCell ref="H453:I453"/>
    <mergeCell ref="A454:D454"/>
    <mergeCell ref="H454:I454"/>
    <mergeCell ref="A455:D455"/>
    <mergeCell ref="H455:I455"/>
    <mergeCell ref="A456:D456"/>
    <mergeCell ref="H456:I456"/>
    <mergeCell ref="A457:D457"/>
    <mergeCell ref="H457:I457"/>
    <mergeCell ref="A458:D458"/>
    <mergeCell ref="H458:I458"/>
    <mergeCell ref="A459:D459"/>
    <mergeCell ref="H459:I459"/>
    <mergeCell ref="A460:D460"/>
    <mergeCell ref="H460:I460"/>
    <mergeCell ref="A443:D443"/>
    <mergeCell ref="H443:I443"/>
    <mergeCell ref="A444:D444"/>
    <mergeCell ref="H444:I444"/>
    <mergeCell ref="A445:D445"/>
    <mergeCell ref="H445:I445"/>
    <mergeCell ref="A446:D446"/>
    <mergeCell ref="H446:I446"/>
    <mergeCell ref="A447:D447"/>
    <mergeCell ref="H447:I447"/>
    <mergeCell ref="A448:D448"/>
    <mergeCell ref="H448:I448"/>
    <mergeCell ref="A449:D449"/>
    <mergeCell ref="H449:I449"/>
    <mergeCell ref="A450:D450"/>
    <mergeCell ref="H450:I450"/>
    <mergeCell ref="A451:D451"/>
    <mergeCell ref="H451:I451"/>
    <mergeCell ref="A434:D434"/>
    <mergeCell ref="H434:I434"/>
    <mergeCell ref="A435:D435"/>
    <mergeCell ref="H435:I435"/>
    <mergeCell ref="A436:D436"/>
    <mergeCell ref="H436:I436"/>
    <mergeCell ref="A437:D437"/>
    <mergeCell ref="H437:I437"/>
    <mergeCell ref="A438:D438"/>
    <mergeCell ref="H438:I438"/>
    <mergeCell ref="A439:D439"/>
    <mergeCell ref="H439:I439"/>
    <mergeCell ref="A440:D440"/>
    <mergeCell ref="H440:I440"/>
    <mergeCell ref="A441:D441"/>
    <mergeCell ref="H441:I441"/>
    <mergeCell ref="A442:D442"/>
    <mergeCell ref="H442:I442"/>
    <mergeCell ref="A425:D425"/>
    <mergeCell ref="H425:I425"/>
    <mergeCell ref="A426:D426"/>
    <mergeCell ref="H426:I426"/>
    <mergeCell ref="A427:D427"/>
    <mergeCell ref="H427:I427"/>
    <mergeCell ref="A428:D428"/>
    <mergeCell ref="H428:I428"/>
    <mergeCell ref="A429:D429"/>
    <mergeCell ref="H429:I429"/>
    <mergeCell ref="A430:D430"/>
    <mergeCell ref="H430:I430"/>
    <mergeCell ref="A431:D431"/>
    <mergeCell ref="H431:I431"/>
    <mergeCell ref="A432:D432"/>
    <mergeCell ref="H432:I432"/>
    <mergeCell ref="A433:D433"/>
    <mergeCell ref="H433:I433"/>
    <mergeCell ref="A416:D416"/>
    <mergeCell ref="H416:I416"/>
    <mergeCell ref="A417:D417"/>
    <mergeCell ref="H417:I417"/>
    <mergeCell ref="A418:D418"/>
    <mergeCell ref="H418:I418"/>
    <mergeCell ref="A419:D419"/>
    <mergeCell ref="H419:I419"/>
    <mergeCell ref="A420:D420"/>
    <mergeCell ref="H420:I420"/>
    <mergeCell ref="A421:D421"/>
    <mergeCell ref="H421:I421"/>
    <mergeCell ref="A422:D422"/>
    <mergeCell ref="H422:I422"/>
    <mergeCell ref="A423:D423"/>
    <mergeCell ref="H423:I423"/>
    <mergeCell ref="A424:D424"/>
    <mergeCell ref="H424:I424"/>
    <mergeCell ref="A407:D407"/>
    <mergeCell ref="H407:I407"/>
    <mergeCell ref="A408:D408"/>
    <mergeCell ref="H408:I408"/>
    <mergeCell ref="A409:D409"/>
    <mergeCell ref="H409:I409"/>
    <mergeCell ref="A410:D410"/>
    <mergeCell ref="H410:I410"/>
    <mergeCell ref="A411:D411"/>
    <mergeCell ref="H411:I411"/>
    <mergeCell ref="A412:D412"/>
    <mergeCell ref="H412:I412"/>
    <mergeCell ref="A413:D413"/>
    <mergeCell ref="H413:I413"/>
    <mergeCell ref="A414:D414"/>
    <mergeCell ref="H414:I414"/>
    <mergeCell ref="A415:D415"/>
    <mergeCell ref="H415:I415"/>
    <mergeCell ref="A398:D398"/>
    <mergeCell ref="H398:I398"/>
    <mergeCell ref="A399:D399"/>
    <mergeCell ref="H399:I399"/>
    <mergeCell ref="A400:D400"/>
    <mergeCell ref="H400:I400"/>
    <mergeCell ref="A401:D401"/>
    <mergeCell ref="H401:I401"/>
    <mergeCell ref="A402:D402"/>
    <mergeCell ref="H402:I402"/>
    <mergeCell ref="A403:D403"/>
    <mergeCell ref="H403:I403"/>
    <mergeCell ref="A404:D404"/>
    <mergeCell ref="H404:I404"/>
    <mergeCell ref="A405:D405"/>
    <mergeCell ref="H405:I405"/>
    <mergeCell ref="A406:D406"/>
    <mergeCell ref="H406:I406"/>
    <mergeCell ref="A389:D389"/>
    <mergeCell ref="H389:I389"/>
    <mergeCell ref="A390:D390"/>
    <mergeCell ref="H390:I390"/>
    <mergeCell ref="A391:D391"/>
    <mergeCell ref="H391:I391"/>
    <mergeCell ref="A392:D392"/>
    <mergeCell ref="H392:I392"/>
    <mergeCell ref="A393:D393"/>
    <mergeCell ref="H393:I393"/>
    <mergeCell ref="A394:D394"/>
    <mergeCell ref="H394:I394"/>
    <mergeCell ref="A395:D395"/>
    <mergeCell ref="H395:I395"/>
    <mergeCell ref="A396:D396"/>
    <mergeCell ref="H396:I396"/>
    <mergeCell ref="A397:D397"/>
    <mergeCell ref="H397:I397"/>
    <mergeCell ref="A380:D380"/>
    <mergeCell ref="H380:I380"/>
    <mergeCell ref="A381:D381"/>
    <mergeCell ref="H381:I381"/>
    <mergeCell ref="A382:D382"/>
    <mergeCell ref="H382:I382"/>
    <mergeCell ref="A383:D383"/>
    <mergeCell ref="H383:I383"/>
    <mergeCell ref="A384:D384"/>
    <mergeCell ref="H384:I384"/>
    <mergeCell ref="A385:D385"/>
    <mergeCell ref="H385:I385"/>
    <mergeCell ref="A386:D386"/>
    <mergeCell ref="H386:I386"/>
    <mergeCell ref="A387:D387"/>
    <mergeCell ref="H387:I387"/>
    <mergeCell ref="A388:D388"/>
    <mergeCell ref="H388:I388"/>
    <mergeCell ref="A371:D371"/>
    <mergeCell ref="H371:I371"/>
    <mergeCell ref="A372:D372"/>
    <mergeCell ref="H372:I372"/>
    <mergeCell ref="A373:D373"/>
    <mergeCell ref="H373:I373"/>
    <mergeCell ref="A374:D374"/>
    <mergeCell ref="H374:I374"/>
    <mergeCell ref="A375:D375"/>
    <mergeCell ref="H375:I375"/>
    <mergeCell ref="A376:D376"/>
    <mergeCell ref="H376:I376"/>
    <mergeCell ref="A377:D377"/>
    <mergeCell ref="H377:I377"/>
    <mergeCell ref="A378:D378"/>
    <mergeCell ref="H378:I378"/>
    <mergeCell ref="A379:D379"/>
    <mergeCell ref="H379:I379"/>
    <mergeCell ref="A362:D362"/>
    <mergeCell ref="H362:I362"/>
    <mergeCell ref="A363:D363"/>
    <mergeCell ref="H363:I363"/>
    <mergeCell ref="A364:D364"/>
    <mergeCell ref="H364:I364"/>
    <mergeCell ref="A365:D365"/>
    <mergeCell ref="H365:I365"/>
    <mergeCell ref="A366:D366"/>
    <mergeCell ref="H366:I366"/>
    <mergeCell ref="A367:D367"/>
    <mergeCell ref="H367:I367"/>
    <mergeCell ref="A368:D368"/>
    <mergeCell ref="H368:I368"/>
    <mergeCell ref="A369:D369"/>
    <mergeCell ref="H369:I369"/>
    <mergeCell ref="A370:D370"/>
    <mergeCell ref="H370:I370"/>
    <mergeCell ref="A353:D353"/>
    <mergeCell ref="H353:I353"/>
    <mergeCell ref="A354:D354"/>
    <mergeCell ref="H354:I354"/>
    <mergeCell ref="A355:D355"/>
    <mergeCell ref="H355:I355"/>
    <mergeCell ref="A356:D356"/>
    <mergeCell ref="H356:I356"/>
    <mergeCell ref="A357:D357"/>
    <mergeCell ref="H357:I357"/>
    <mergeCell ref="A358:D358"/>
    <mergeCell ref="H358:I358"/>
    <mergeCell ref="A359:D359"/>
    <mergeCell ref="H359:I359"/>
    <mergeCell ref="A360:D360"/>
    <mergeCell ref="H360:I360"/>
    <mergeCell ref="A361:D361"/>
    <mergeCell ref="H361:I361"/>
    <mergeCell ref="A344:D344"/>
    <mergeCell ref="H344:I344"/>
    <mergeCell ref="A345:D345"/>
    <mergeCell ref="H345:I345"/>
    <mergeCell ref="A346:D346"/>
    <mergeCell ref="H346:I346"/>
    <mergeCell ref="A347:D347"/>
    <mergeCell ref="H347:I347"/>
    <mergeCell ref="A348:D348"/>
    <mergeCell ref="H348:I348"/>
    <mergeCell ref="A349:D349"/>
    <mergeCell ref="H349:I349"/>
    <mergeCell ref="A350:D350"/>
    <mergeCell ref="H350:I350"/>
    <mergeCell ref="A351:D351"/>
    <mergeCell ref="H351:I351"/>
    <mergeCell ref="A352:D352"/>
    <mergeCell ref="H352:I352"/>
    <mergeCell ref="A335:D335"/>
    <mergeCell ref="H335:I335"/>
    <mergeCell ref="A336:D336"/>
    <mergeCell ref="H336:I336"/>
    <mergeCell ref="A337:D337"/>
    <mergeCell ref="H337:I337"/>
    <mergeCell ref="A338:D338"/>
    <mergeCell ref="H338:I338"/>
    <mergeCell ref="A339:D339"/>
    <mergeCell ref="H339:I339"/>
    <mergeCell ref="A340:D340"/>
    <mergeCell ref="H340:I340"/>
    <mergeCell ref="A341:D341"/>
    <mergeCell ref="H341:I341"/>
    <mergeCell ref="A342:D342"/>
    <mergeCell ref="H342:I342"/>
    <mergeCell ref="A343:D343"/>
    <mergeCell ref="H343:I343"/>
    <mergeCell ref="A326:D326"/>
    <mergeCell ref="H326:I326"/>
    <mergeCell ref="A327:D327"/>
    <mergeCell ref="H327:I327"/>
    <mergeCell ref="A328:D328"/>
    <mergeCell ref="H328:I328"/>
    <mergeCell ref="A329:D329"/>
    <mergeCell ref="H329:I329"/>
    <mergeCell ref="A330:D330"/>
    <mergeCell ref="H330:I330"/>
    <mergeCell ref="A331:D331"/>
    <mergeCell ref="H331:I331"/>
    <mergeCell ref="A332:D332"/>
    <mergeCell ref="H332:I332"/>
    <mergeCell ref="A333:D333"/>
    <mergeCell ref="H333:I333"/>
    <mergeCell ref="A334:D334"/>
    <mergeCell ref="H334:I334"/>
    <mergeCell ref="A317:D317"/>
    <mergeCell ref="H317:I317"/>
    <mergeCell ref="A318:D318"/>
    <mergeCell ref="H318:I318"/>
    <mergeCell ref="A319:D319"/>
    <mergeCell ref="H319:I319"/>
    <mergeCell ref="A320:D320"/>
    <mergeCell ref="H320:I320"/>
    <mergeCell ref="A321:D321"/>
    <mergeCell ref="H321:I321"/>
    <mergeCell ref="A322:D322"/>
    <mergeCell ref="H322:I322"/>
    <mergeCell ref="A323:D323"/>
    <mergeCell ref="H323:I323"/>
    <mergeCell ref="A324:D324"/>
    <mergeCell ref="H324:I324"/>
    <mergeCell ref="A325:D325"/>
    <mergeCell ref="H325:I325"/>
    <mergeCell ref="A308:D308"/>
    <mergeCell ref="H308:I308"/>
    <mergeCell ref="A309:D309"/>
    <mergeCell ref="H309:I309"/>
    <mergeCell ref="A310:D310"/>
    <mergeCell ref="H310:I310"/>
    <mergeCell ref="A311:D311"/>
    <mergeCell ref="H311:I311"/>
    <mergeCell ref="A312:D312"/>
    <mergeCell ref="H312:I312"/>
    <mergeCell ref="A313:D313"/>
    <mergeCell ref="H313:I313"/>
    <mergeCell ref="A314:D314"/>
    <mergeCell ref="H314:I314"/>
    <mergeCell ref="A315:D315"/>
    <mergeCell ref="H315:I315"/>
    <mergeCell ref="A316:D316"/>
    <mergeCell ref="H316:I316"/>
    <mergeCell ref="A299:D299"/>
    <mergeCell ref="H299:I299"/>
    <mergeCell ref="A300:D300"/>
    <mergeCell ref="H300:I300"/>
    <mergeCell ref="A301:D301"/>
    <mergeCell ref="H301:I301"/>
    <mergeCell ref="A302:D302"/>
    <mergeCell ref="H302:I302"/>
    <mergeCell ref="A303:D303"/>
    <mergeCell ref="H303:I303"/>
    <mergeCell ref="A304:D304"/>
    <mergeCell ref="H304:I304"/>
    <mergeCell ref="A305:D305"/>
    <mergeCell ref="H305:I305"/>
    <mergeCell ref="A306:D306"/>
    <mergeCell ref="H306:I306"/>
    <mergeCell ref="A307:D307"/>
    <mergeCell ref="H307:I307"/>
    <mergeCell ref="A290:D290"/>
    <mergeCell ref="H290:I290"/>
    <mergeCell ref="A291:D291"/>
    <mergeCell ref="H291:I291"/>
    <mergeCell ref="A292:D292"/>
    <mergeCell ref="H292:I292"/>
    <mergeCell ref="A293:D293"/>
    <mergeCell ref="H293:I293"/>
    <mergeCell ref="A294:D294"/>
    <mergeCell ref="H294:I294"/>
    <mergeCell ref="A295:D295"/>
    <mergeCell ref="H295:I295"/>
    <mergeCell ref="A296:D296"/>
    <mergeCell ref="H296:I296"/>
    <mergeCell ref="A297:D297"/>
    <mergeCell ref="H297:I297"/>
    <mergeCell ref="A298:D298"/>
    <mergeCell ref="H298:I298"/>
    <mergeCell ref="A281:D281"/>
    <mergeCell ref="H281:I281"/>
    <mergeCell ref="A282:D282"/>
    <mergeCell ref="H282:I282"/>
    <mergeCell ref="A283:D283"/>
    <mergeCell ref="H283:I283"/>
    <mergeCell ref="A284:D284"/>
    <mergeCell ref="H284:I284"/>
    <mergeCell ref="A285:D285"/>
    <mergeCell ref="H285:I285"/>
    <mergeCell ref="A286:D286"/>
    <mergeCell ref="H286:I286"/>
    <mergeCell ref="A287:D287"/>
    <mergeCell ref="H287:I287"/>
    <mergeCell ref="A288:D288"/>
    <mergeCell ref="H288:I288"/>
    <mergeCell ref="A289:D289"/>
    <mergeCell ref="H289:I289"/>
    <mergeCell ref="A272:D272"/>
    <mergeCell ref="H272:I272"/>
    <mergeCell ref="A273:D273"/>
    <mergeCell ref="H273:I273"/>
    <mergeCell ref="A274:D274"/>
    <mergeCell ref="H274:I274"/>
    <mergeCell ref="A275:D275"/>
    <mergeCell ref="H275:I275"/>
    <mergeCell ref="A276:D276"/>
    <mergeCell ref="H276:I276"/>
    <mergeCell ref="A277:D277"/>
    <mergeCell ref="H277:I277"/>
    <mergeCell ref="A278:D278"/>
    <mergeCell ref="H278:I278"/>
    <mergeCell ref="A279:D279"/>
    <mergeCell ref="H279:I279"/>
    <mergeCell ref="A280:D280"/>
    <mergeCell ref="H280:I280"/>
    <mergeCell ref="A263:D263"/>
    <mergeCell ref="H263:I263"/>
    <mergeCell ref="A264:D264"/>
    <mergeCell ref="H264:I264"/>
    <mergeCell ref="A265:D265"/>
    <mergeCell ref="H265:I265"/>
    <mergeCell ref="A266:D266"/>
    <mergeCell ref="H266:I266"/>
    <mergeCell ref="A267:D267"/>
    <mergeCell ref="H267:I267"/>
    <mergeCell ref="A268:D268"/>
    <mergeCell ref="H268:I268"/>
    <mergeCell ref="A269:D269"/>
    <mergeCell ref="H269:I269"/>
    <mergeCell ref="A270:D270"/>
    <mergeCell ref="H270:I270"/>
    <mergeCell ref="A271:D271"/>
    <mergeCell ref="H271:I271"/>
    <mergeCell ref="A254:D254"/>
    <mergeCell ref="H254:I254"/>
    <mergeCell ref="A255:D255"/>
    <mergeCell ref="H255:I255"/>
    <mergeCell ref="A256:D256"/>
    <mergeCell ref="H256:I256"/>
    <mergeCell ref="A257:D257"/>
    <mergeCell ref="H257:I257"/>
    <mergeCell ref="A258:D258"/>
    <mergeCell ref="H258:I258"/>
    <mergeCell ref="A259:D259"/>
    <mergeCell ref="H259:I259"/>
    <mergeCell ref="A260:D260"/>
    <mergeCell ref="H260:I260"/>
    <mergeCell ref="A261:D261"/>
    <mergeCell ref="H261:I261"/>
    <mergeCell ref="A262:D262"/>
    <mergeCell ref="H262:I262"/>
    <mergeCell ref="A245:D245"/>
    <mergeCell ref="H245:I245"/>
    <mergeCell ref="A246:D246"/>
    <mergeCell ref="H246:I246"/>
    <mergeCell ref="A247:D247"/>
    <mergeCell ref="H247:I247"/>
    <mergeCell ref="A248:D248"/>
    <mergeCell ref="H248:I248"/>
    <mergeCell ref="A249:D249"/>
    <mergeCell ref="H249:I249"/>
    <mergeCell ref="A250:D250"/>
    <mergeCell ref="H250:I250"/>
    <mergeCell ref="A251:D251"/>
    <mergeCell ref="H251:I251"/>
    <mergeCell ref="A252:D252"/>
    <mergeCell ref="H252:I252"/>
    <mergeCell ref="A253:D253"/>
    <mergeCell ref="H253:I253"/>
    <mergeCell ref="A236:D236"/>
    <mergeCell ref="H236:I236"/>
    <mergeCell ref="A237:D237"/>
    <mergeCell ref="H237:I237"/>
    <mergeCell ref="A238:D238"/>
    <mergeCell ref="H238:I238"/>
    <mergeCell ref="A239:D239"/>
    <mergeCell ref="H239:I239"/>
    <mergeCell ref="A240:D240"/>
    <mergeCell ref="H240:I240"/>
    <mergeCell ref="A241:D241"/>
    <mergeCell ref="H241:I241"/>
    <mergeCell ref="A242:D242"/>
    <mergeCell ref="H242:I242"/>
    <mergeCell ref="A243:D243"/>
    <mergeCell ref="H243:I243"/>
    <mergeCell ref="A244:D244"/>
    <mergeCell ref="H244:I244"/>
    <mergeCell ref="A227:D227"/>
    <mergeCell ref="H227:I227"/>
    <mergeCell ref="A228:D228"/>
    <mergeCell ref="H228:I228"/>
    <mergeCell ref="A229:D229"/>
    <mergeCell ref="H229:I229"/>
    <mergeCell ref="A230:D230"/>
    <mergeCell ref="H230:I230"/>
    <mergeCell ref="A231:D231"/>
    <mergeCell ref="H231:I231"/>
    <mergeCell ref="A232:D232"/>
    <mergeCell ref="H232:I232"/>
    <mergeCell ref="A233:D233"/>
    <mergeCell ref="H233:I233"/>
    <mergeCell ref="A234:D234"/>
    <mergeCell ref="H234:I234"/>
    <mergeCell ref="A235:D235"/>
    <mergeCell ref="H235:I235"/>
    <mergeCell ref="A218:D218"/>
    <mergeCell ref="H218:I218"/>
    <mergeCell ref="A219:D219"/>
    <mergeCell ref="H219:I219"/>
    <mergeCell ref="A220:D220"/>
    <mergeCell ref="H220:I220"/>
    <mergeCell ref="A221:D221"/>
    <mergeCell ref="H221:I221"/>
    <mergeCell ref="A222:D222"/>
    <mergeCell ref="H222:I222"/>
    <mergeCell ref="A223:D223"/>
    <mergeCell ref="H223:I223"/>
    <mergeCell ref="A224:D224"/>
    <mergeCell ref="H224:I224"/>
    <mergeCell ref="A225:D225"/>
    <mergeCell ref="H225:I225"/>
    <mergeCell ref="A226:D226"/>
    <mergeCell ref="H226:I226"/>
    <mergeCell ref="A209:D209"/>
    <mergeCell ref="H209:I209"/>
    <mergeCell ref="A210:D210"/>
    <mergeCell ref="H210:I210"/>
    <mergeCell ref="A211:D211"/>
    <mergeCell ref="H211:I211"/>
    <mergeCell ref="A212:D212"/>
    <mergeCell ref="H212:I212"/>
    <mergeCell ref="A213:D213"/>
    <mergeCell ref="H213:I213"/>
    <mergeCell ref="A214:D214"/>
    <mergeCell ref="H214:I214"/>
    <mergeCell ref="A215:D215"/>
    <mergeCell ref="H215:I215"/>
    <mergeCell ref="A216:D216"/>
    <mergeCell ref="H216:I216"/>
    <mergeCell ref="A217:D217"/>
    <mergeCell ref="H217:I217"/>
    <mergeCell ref="A200:D200"/>
    <mergeCell ref="H200:I200"/>
    <mergeCell ref="A201:D201"/>
    <mergeCell ref="H201:I201"/>
    <mergeCell ref="A202:D202"/>
    <mergeCell ref="H202:I202"/>
    <mergeCell ref="A203:D203"/>
    <mergeCell ref="H203:I203"/>
    <mergeCell ref="A204:D204"/>
    <mergeCell ref="H204:I204"/>
    <mergeCell ref="A205:D205"/>
    <mergeCell ref="H205:I205"/>
    <mergeCell ref="A206:D206"/>
    <mergeCell ref="H206:I206"/>
    <mergeCell ref="A207:D207"/>
    <mergeCell ref="H207:I207"/>
    <mergeCell ref="A208:D208"/>
    <mergeCell ref="H208:I208"/>
    <mergeCell ref="A191:D191"/>
    <mergeCell ref="H191:I191"/>
    <mergeCell ref="A192:D192"/>
    <mergeCell ref="H192:I192"/>
    <mergeCell ref="A193:D193"/>
    <mergeCell ref="H193:I193"/>
    <mergeCell ref="A194:D194"/>
    <mergeCell ref="H194:I194"/>
    <mergeCell ref="A195:D195"/>
    <mergeCell ref="H195:I195"/>
    <mergeCell ref="A196:D196"/>
    <mergeCell ref="H196:I196"/>
    <mergeCell ref="A197:D197"/>
    <mergeCell ref="H197:I197"/>
    <mergeCell ref="A198:D198"/>
    <mergeCell ref="H198:I198"/>
    <mergeCell ref="A199:D199"/>
    <mergeCell ref="H199:I199"/>
    <mergeCell ref="A182:D182"/>
    <mergeCell ref="H182:I182"/>
    <mergeCell ref="A183:D183"/>
    <mergeCell ref="H183:I183"/>
    <mergeCell ref="A184:D184"/>
    <mergeCell ref="H184:I184"/>
    <mergeCell ref="A185:D185"/>
    <mergeCell ref="H185:I185"/>
    <mergeCell ref="A186:D186"/>
    <mergeCell ref="H186:I186"/>
    <mergeCell ref="A187:D187"/>
    <mergeCell ref="H187:I187"/>
    <mergeCell ref="A188:D188"/>
    <mergeCell ref="H188:I188"/>
    <mergeCell ref="A189:D189"/>
    <mergeCell ref="H189:I189"/>
    <mergeCell ref="A190:D190"/>
    <mergeCell ref="H190:I190"/>
    <mergeCell ref="A173:D173"/>
    <mergeCell ref="H173:I173"/>
    <mergeCell ref="A174:D174"/>
    <mergeCell ref="H174:I174"/>
    <mergeCell ref="A175:D175"/>
    <mergeCell ref="H175:I175"/>
    <mergeCell ref="A176:D176"/>
    <mergeCell ref="H176:I176"/>
    <mergeCell ref="A177:D177"/>
    <mergeCell ref="H177:I177"/>
    <mergeCell ref="A178:D178"/>
    <mergeCell ref="H178:I178"/>
    <mergeCell ref="A179:D179"/>
    <mergeCell ref="H179:I179"/>
    <mergeCell ref="A180:D180"/>
    <mergeCell ref="H180:I180"/>
    <mergeCell ref="A181:D181"/>
    <mergeCell ref="H181:I181"/>
    <mergeCell ref="A164:D164"/>
    <mergeCell ref="H164:I164"/>
    <mergeCell ref="A165:D165"/>
    <mergeCell ref="H165:I165"/>
    <mergeCell ref="A166:D166"/>
    <mergeCell ref="H166:I166"/>
    <mergeCell ref="A167:D167"/>
    <mergeCell ref="H167:I167"/>
    <mergeCell ref="A168:D168"/>
    <mergeCell ref="H168:I168"/>
    <mergeCell ref="A169:D169"/>
    <mergeCell ref="H169:I169"/>
    <mergeCell ref="A170:D170"/>
    <mergeCell ref="H170:I170"/>
    <mergeCell ref="A171:D171"/>
    <mergeCell ref="H171:I171"/>
    <mergeCell ref="A172:D172"/>
    <mergeCell ref="H172:I172"/>
    <mergeCell ref="A155:D155"/>
    <mergeCell ref="H155:I155"/>
    <mergeCell ref="A156:D156"/>
    <mergeCell ref="H156:I156"/>
    <mergeCell ref="A157:D157"/>
    <mergeCell ref="H157:I157"/>
    <mergeCell ref="A158:D158"/>
    <mergeCell ref="H158:I158"/>
    <mergeCell ref="A159:D159"/>
    <mergeCell ref="H159:I159"/>
    <mergeCell ref="A160:D160"/>
    <mergeCell ref="H160:I160"/>
    <mergeCell ref="A161:D161"/>
    <mergeCell ref="H161:I161"/>
    <mergeCell ref="A162:D162"/>
    <mergeCell ref="H162:I162"/>
    <mergeCell ref="A163:D163"/>
    <mergeCell ref="H163:I163"/>
    <mergeCell ref="A146:D146"/>
    <mergeCell ref="H146:I146"/>
    <mergeCell ref="A147:D147"/>
    <mergeCell ref="H147:I147"/>
    <mergeCell ref="A148:D148"/>
    <mergeCell ref="H148:I148"/>
    <mergeCell ref="A149:D149"/>
    <mergeCell ref="H149:I149"/>
    <mergeCell ref="A150:D150"/>
    <mergeCell ref="H150:I150"/>
    <mergeCell ref="A151:D151"/>
    <mergeCell ref="H151:I151"/>
    <mergeCell ref="A152:D152"/>
    <mergeCell ref="H152:I152"/>
    <mergeCell ref="A153:D153"/>
    <mergeCell ref="H153:I153"/>
    <mergeCell ref="A154:D154"/>
    <mergeCell ref="H154:I154"/>
    <mergeCell ref="A137:D137"/>
    <mergeCell ref="H137:I137"/>
    <mergeCell ref="A138:D138"/>
    <mergeCell ref="H138:I138"/>
    <mergeCell ref="A139:D139"/>
    <mergeCell ref="H139:I139"/>
    <mergeCell ref="A140:D140"/>
    <mergeCell ref="H140:I140"/>
    <mergeCell ref="A141:D141"/>
    <mergeCell ref="H141:I141"/>
    <mergeCell ref="A142:D142"/>
    <mergeCell ref="H142:I142"/>
    <mergeCell ref="A143:D143"/>
    <mergeCell ref="H143:I143"/>
    <mergeCell ref="A144:D144"/>
    <mergeCell ref="H144:I144"/>
    <mergeCell ref="A145:D145"/>
    <mergeCell ref="H145:I145"/>
    <mergeCell ref="A128:D128"/>
    <mergeCell ref="H128:I128"/>
    <mergeCell ref="A129:D129"/>
    <mergeCell ref="H129:I129"/>
    <mergeCell ref="A130:D130"/>
    <mergeCell ref="H130:I130"/>
    <mergeCell ref="A131:D131"/>
    <mergeCell ref="H131:I131"/>
    <mergeCell ref="A132:D132"/>
    <mergeCell ref="H132:I132"/>
    <mergeCell ref="A133:D133"/>
    <mergeCell ref="H133:I133"/>
    <mergeCell ref="A134:D134"/>
    <mergeCell ref="H134:I134"/>
    <mergeCell ref="A135:D135"/>
    <mergeCell ref="H135:I135"/>
    <mergeCell ref="A136:D136"/>
    <mergeCell ref="H136:I136"/>
    <mergeCell ref="A119:D119"/>
    <mergeCell ref="H119:I119"/>
    <mergeCell ref="A120:D120"/>
    <mergeCell ref="H120:I120"/>
    <mergeCell ref="A121:D121"/>
    <mergeCell ref="H121:I121"/>
    <mergeCell ref="A122:D122"/>
    <mergeCell ref="H122:I122"/>
    <mergeCell ref="A123:D123"/>
    <mergeCell ref="H123:I123"/>
    <mergeCell ref="A124:D124"/>
    <mergeCell ref="H124:I124"/>
    <mergeCell ref="A125:D125"/>
    <mergeCell ref="H125:I125"/>
    <mergeCell ref="A126:D126"/>
    <mergeCell ref="H126:I126"/>
    <mergeCell ref="A127:D127"/>
    <mergeCell ref="H127:I127"/>
    <mergeCell ref="A110:D110"/>
    <mergeCell ref="H110:I110"/>
    <mergeCell ref="A111:D111"/>
    <mergeCell ref="H111:I111"/>
    <mergeCell ref="A112:D112"/>
    <mergeCell ref="H112:I112"/>
    <mergeCell ref="A113:D113"/>
    <mergeCell ref="H113:I113"/>
    <mergeCell ref="A114:D114"/>
    <mergeCell ref="H114:I114"/>
    <mergeCell ref="A115:D115"/>
    <mergeCell ref="H115:I115"/>
    <mergeCell ref="A116:D116"/>
    <mergeCell ref="H116:I116"/>
    <mergeCell ref="A117:D117"/>
    <mergeCell ref="H117:I117"/>
    <mergeCell ref="A118:D118"/>
    <mergeCell ref="H118:I118"/>
    <mergeCell ref="A101:D101"/>
    <mergeCell ref="H101:I101"/>
    <mergeCell ref="A102:D102"/>
    <mergeCell ref="H102:I102"/>
    <mergeCell ref="A103:D103"/>
    <mergeCell ref="H103:I103"/>
    <mergeCell ref="A104:D104"/>
    <mergeCell ref="H104:I104"/>
    <mergeCell ref="A105:D105"/>
    <mergeCell ref="H105:I105"/>
    <mergeCell ref="A106:D106"/>
    <mergeCell ref="H106:I106"/>
    <mergeCell ref="A107:D107"/>
    <mergeCell ref="H107:I107"/>
    <mergeCell ref="A108:D108"/>
    <mergeCell ref="H108:I108"/>
    <mergeCell ref="A109:D109"/>
    <mergeCell ref="H109:I109"/>
    <mergeCell ref="A92:D92"/>
    <mergeCell ref="H92:I92"/>
    <mergeCell ref="A93:D93"/>
    <mergeCell ref="H93:I93"/>
    <mergeCell ref="A94:D94"/>
    <mergeCell ref="H94:I94"/>
    <mergeCell ref="A95:D95"/>
    <mergeCell ref="H95:I95"/>
    <mergeCell ref="A96:D96"/>
    <mergeCell ref="H96:I96"/>
    <mergeCell ref="A97:D97"/>
    <mergeCell ref="H97:I97"/>
    <mergeCell ref="A98:D98"/>
    <mergeCell ref="H98:I98"/>
    <mergeCell ref="A99:D99"/>
    <mergeCell ref="H99:I99"/>
    <mergeCell ref="A100:D100"/>
    <mergeCell ref="H100:I100"/>
    <mergeCell ref="A83:D83"/>
    <mergeCell ref="H83:I83"/>
    <mergeCell ref="A84:D84"/>
    <mergeCell ref="H84:I84"/>
    <mergeCell ref="A85:D85"/>
    <mergeCell ref="H85:I85"/>
    <mergeCell ref="A86:D86"/>
    <mergeCell ref="H86:I86"/>
    <mergeCell ref="A87:D87"/>
    <mergeCell ref="H87:I87"/>
    <mergeCell ref="A88:D88"/>
    <mergeCell ref="H88:I88"/>
    <mergeCell ref="A89:D89"/>
    <mergeCell ref="H89:I89"/>
    <mergeCell ref="A90:D90"/>
    <mergeCell ref="H90:I90"/>
    <mergeCell ref="A91:D91"/>
    <mergeCell ref="H91:I91"/>
    <mergeCell ref="A74:D74"/>
    <mergeCell ref="H74:I74"/>
    <mergeCell ref="A75:D75"/>
    <mergeCell ref="H75:I75"/>
    <mergeCell ref="A76:D76"/>
    <mergeCell ref="H76:I76"/>
    <mergeCell ref="A77:D77"/>
    <mergeCell ref="H77:I77"/>
    <mergeCell ref="A78:D78"/>
    <mergeCell ref="H78:I78"/>
    <mergeCell ref="A79:D79"/>
    <mergeCell ref="H79:I79"/>
    <mergeCell ref="A80:D80"/>
    <mergeCell ref="H80:I80"/>
    <mergeCell ref="A81:D81"/>
    <mergeCell ref="H81:I81"/>
    <mergeCell ref="A82:D82"/>
    <mergeCell ref="H82:I82"/>
    <mergeCell ref="A65:D65"/>
    <mergeCell ref="H65:I65"/>
    <mergeCell ref="A66:D66"/>
    <mergeCell ref="H66:I66"/>
    <mergeCell ref="A67:D67"/>
    <mergeCell ref="H67:I67"/>
    <mergeCell ref="A68:D68"/>
    <mergeCell ref="H68:I68"/>
    <mergeCell ref="A69:D69"/>
    <mergeCell ref="H69:I69"/>
    <mergeCell ref="A70:D70"/>
    <mergeCell ref="H70:I70"/>
    <mergeCell ref="A71:D71"/>
    <mergeCell ref="H71:I71"/>
    <mergeCell ref="A72:D72"/>
    <mergeCell ref="H72:I72"/>
    <mergeCell ref="A73:D73"/>
    <mergeCell ref="H73:I73"/>
    <mergeCell ref="A56:D56"/>
    <mergeCell ref="H56:I56"/>
    <mergeCell ref="A57:D57"/>
    <mergeCell ref="H57:I57"/>
    <mergeCell ref="A58:D58"/>
    <mergeCell ref="H58:I58"/>
    <mergeCell ref="A59:D59"/>
    <mergeCell ref="H59:I59"/>
    <mergeCell ref="A60:D60"/>
    <mergeCell ref="H60:I60"/>
    <mergeCell ref="A61:D61"/>
    <mergeCell ref="H61:I61"/>
    <mergeCell ref="A62:D62"/>
    <mergeCell ref="H62:I62"/>
    <mergeCell ref="A63:D63"/>
    <mergeCell ref="H63:I63"/>
    <mergeCell ref="A64:D64"/>
    <mergeCell ref="H64:I64"/>
    <mergeCell ref="A47:D47"/>
    <mergeCell ref="H47:I47"/>
    <mergeCell ref="A48:D48"/>
    <mergeCell ref="H48:I48"/>
    <mergeCell ref="A49:D49"/>
    <mergeCell ref="H49:I49"/>
    <mergeCell ref="A50:D50"/>
    <mergeCell ref="H50:I50"/>
    <mergeCell ref="A51:D51"/>
    <mergeCell ref="H51:I51"/>
    <mergeCell ref="A52:D52"/>
    <mergeCell ref="H52:I52"/>
    <mergeCell ref="A53:D53"/>
    <mergeCell ref="H53:I53"/>
    <mergeCell ref="A54:D54"/>
    <mergeCell ref="H54:I54"/>
    <mergeCell ref="A55:D55"/>
    <mergeCell ref="H55:I55"/>
    <mergeCell ref="A38:D38"/>
    <mergeCell ref="H38:I38"/>
    <mergeCell ref="A39:D39"/>
    <mergeCell ref="H39:I39"/>
    <mergeCell ref="A40:D40"/>
    <mergeCell ref="H40:I40"/>
    <mergeCell ref="A41:D41"/>
    <mergeCell ref="H41:I41"/>
    <mergeCell ref="A42:D42"/>
    <mergeCell ref="H42:I42"/>
    <mergeCell ref="A43:D43"/>
    <mergeCell ref="H43:I43"/>
    <mergeCell ref="A44:D44"/>
    <mergeCell ref="H44:I44"/>
    <mergeCell ref="A45:D45"/>
    <mergeCell ref="H45:I45"/>
    <mergeCell ref="A46:D46"/>
    <mergeCell ref="H46:I46"/>
    <mergeCell ref="A29:D29"/>
    <mergeCell ref="H29:I29"/>
    <mergeCell ref="A30:D30"/>
    <mergeCell ref="H30:I30"/>
    <mergeCell ref="A31:D31"/>
    <mergeCell ref="H31:I31"/>
    <mergeCell ref="A32:D32"/>
    <mergeCell ref="H32:I32"/>
    <mergeCell ref="A33:D33"/>
    <mergeCell ref="H33:I33"/>
    <mergeCell ref="A34:D34"/>
    <mergeCell ref="H34:I34"/>
    <mergeCell ref="A35:D35"/>
    <mergeCell ref="H35:I35"/>
    <mergeCell ref="A36:D36"/>
    <mergeCell ref="H36:I36"/>
    <mergeCell ref="A37:D37"/>
    <mergeCell ref="H37:I37"/>
    <mergeCell ref="A20:D20"/>
    <mergeCell ref="H20:I20"/>
    <mergeCell ref="A21:D21"/>
    <mergeCell ref="H21:I21"/>
    <mergeCell ref="A22:D22"/>
    <mergeCell ref="H22:I22"/>
    <mergeCell ref="A23:D23"/>
    <mergeCell ref="H23:I23"/>
    <mergeCell ref="A24:D24"/>
    <mergeCell ref="H24:I24"/>
    <mergeCell ref="A25:D25"/>
    <mergeCell ref="H25:I25"/>
    <mergeCell ref="A26:D26"/>
    <mergeCell ref="H26:I26"/>
    <mergeCell ref="A27:D27"/>
    <mergeCell ref="H27:I27"/>
    <mergeCell ref="A28:D28"/>
    <mergeCell ref="H28:I28"/>
    <mergeCell ref="A11:D11"/>
    <mergeCell ref="H11:I11"/>
    <mergeCell ref="A12:D12"/>
    <mergeCell ref="H12:I12"/>
    <mergeCell ref="A13:D13"/>
    <mergeCell ref="H13:I13"/>
    <mergeCell ref="A14:D14"/>
    <mergeCell ref="H14:I14"/>
    <mergeCell ref="A15:D15"/>
    <mergeCell ref="H15:I15"/>
    <mergeCell ref="A16:D16"/>
    <mergeCell ref="H16:I16"/>
    <mergeCell ref="A17:D17"/>
    <mergeCell ref="H17:I17"/>
    <mergeCell ref="A18:D18"/>
    <mergeCell ref="H18:I18"/>
    <mergeCell ref="A19:D19"/>
    <mergeCell ref="H19:I19"/>
    <mergeCell ref="A1:L1"/>
    <mergeCell ref="B2:C2"/>
    <mergeCell ref="A3:D3"/>
    <mergeCell ref="H3:I3"/>
    <mergeCell ref="A4:D4"/>
    <mergeCell ref="H4:I4"/>
    <mergeCell ref="A5:D5"/>
    <mergeCell ref="H5:I5"/>
    <mergeCell ref="A6:D6"/>
    <mergeCell ref="H6:I6"/>
    <mergeCell ref="A7:D7"/>
    <mergeCell ref="H7:I7"/>
    <mergeCell ref="A8:D8"/>
    <mergeCell ref="H8:I8"/>
    <mergeCell ref="A9:D9"/>
    <mergeCell ref="H9:I9"/>
    <mergeCell ref="A10:D10"/>
    <mergeCell ref="H10:I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345"/>
  <sheetViews>
    <sheetView workbookViewId="0">
      <selection activeCell="E1345" sqref="A1:E1345"/>
    </sheetView>
  </sheetViews>
  <sheetFormatPr defaultRowHeight="15" x14ac:dyDescent="0.25"/>
  <cols>
    <col min="1" max="1" width="25.5703125" bestFit="1" customWidth="1"/>
    <col min="2" max="2" width="11.85546875" customWidth="1"/>
    <col min="3" max="3" width="15" customWidth="1"/>
    <col min="4" max="4" width="20.7109375" customWidth="1"/>
    <col min="5" max="5" width="10.7109375" customWidth="1"/>
  </cols>
  <sheetData>
    <row r="1" spans="1:5" x14ac:dyDescent="0.25">
      <c r="A1" s="35" t="s">
        <v>2</v>
      </c>
      <c r="B1" s="35" t="s">
        <v>3</v>
      </c>
      <c r="C1" s="35" t="s">
        <v>4</v>
      </c>
      <c r="D1" s="35" t="s">
        <v>5</v>
      </c>
      <c r="E1" s="36" t="s">
        <v>6</v>
      </c>
    </row>
    <row r="2" spans="1:5" ht="15" customHeight="1" x14ac:dyDescent="0.25">
      <c r="A2" s="7" t="s">
        <v>7</v>
      </c>
      <c r="B2" s="3">
        <v>264456.68</v>
      </c>
      <c r="C2" s="3">
        <v>130570.38</v>
      </c>
      <c r="D2" s="3">
        <v>157768.79</v>
      </c>
      <c r="E2" s="8">
        <v>552795.85</v>
      </c>
    </row>
    <row r="3" spans="1:5" ht="15" customHeight="1" x14ac:dyDescent="0.25">
      <c r="A3" s="7" t="s">
        <v>8</v>
      </c>
      <c r="B3" s="3">
        <v>96703.28</v>
      </c>
      <c r="C3" s="3">
        <v>76128.25</v>
      </c>
      <c r="D3" s="3">
        <v>131215.32999999999</v>
      </c>
      <c r="E3" s="8">
        <v>304046.86</v>
      </c>
    </row>
    <row r="4" spans="1:5" ht="15" customHeight="1" x14ac:dyDescent="0.25">
      <c r="A4" s="7" t="s">
        <v>9</v>
      </c>
      <c r="B4" s="3">
        <v>562040.54</v>
      </c>
      <c r="C4" s="3">
        <v>473583.56</v>
      </c>
      <c r="D4" s="3">
        <v>475997.31</v>
      </c>
      <c r="E4" s="8">
        <v>1511621.41</v>
      </c>
    </row>
    <row r="5" spans="1:5" ht="15" customHeight="1" x14ac:dyDescent="0.25">
      <c r="A5" s="7" t="s">
        <v>10</v>
      </c>
      <c r="B5" s="3">
        <v>257226.63</v>
      </c>
      <c r="C5" s="3">
        <v>408334.61</v>
      </c>
      <c r="D5" s="3">
        <v>295269.33</v>
      </c>
      <c r="E5" s="8">
        <v>960830.57</v>
      </c>
    </row>
    <row r="6" spans="1:5" ht="15" customHeight="1" x14ac:dyDescent="0.25">
      <c r="A6" s="7" t="s">
        <v>11</v>
      </c>
      <c r="B6" s="3">
        <v>1127267.2</v>
      </c>
      <c r="C6" s="3">
        <v>1124849.18</v>
      </c>
      <c r="D6" s="3">
        <v>1140798.95</v>
      </c>
      <c r="E6" s="8">
        <v>3392915.33</v>
      </c>
    </row>
    <row r="7" spans="1:5" ht="15" customHeight="1" x14ac:dyDescent="0.25">
      <c r="A7" s="7" t="s">
        <v>12</v>
      </c>
      <c r="B7" s="3">
        <v>32249.93</v>
      </c>
      <c r="C7" s="3">
        <v>6191</v>
      </c>
      <c r="D7" s="3">
        <v>2705.75</v>
      </c>
      <c r="E7" s="8">
        <v>41146.68</v>
      </c>
    </row>
    <row r="8" spans="1:5" ht="15" customHeight="1" x14ac:dyDescent="0.25">
      <c r="A8" s="7" t="s">
        <v>13</v>
      </c>
      <c r="B8" s="4" t="s">
        <v>14</v>
      </c>
      <c r="C8" s="4" t="s">
        <v>15</v>
      </c>
      <c r="D8" s="4" t="s">
        <v>16</v>
      </c>
      <c r="E8" s="11" t="s">
        <v>17</v>
      </c>
    </row>
    <row r="9" spans="1:5" ht="15" customHeight="1" x14ac:dyDescent="0.25">
      <c r="A9" s="7" t="s">
        <v>18</v>
      </c>
      <c r="B9" s="3">
        <v>25829.599999999999</v>
      </c>
      <c r="C9" s="3">
        <v>17434.689999999999</v>
      </c>
      <c r="D9" s="3">
        <v>66742.8</v>
      </c>
      <c r="E9" s="8">
        <v>110007.09</v>
      </c>
    </row>
    <row r="10" spans="1:5" ht="15" customHeight="1" x14ac:dyDescent="0.25">
      <c r="A10" s="7" t="s">
        <v>19</v>
      </c>
      <c r="B10" s="4" t="s">
        <v>20</v>
      </c>
      <c r="C10" s="3">
        <v>20544.14</v>
      </c>
      <c r="D10" s="3">
        <v>22630.17</v>
      </c>
      <c r="E10" s="8">
        <v>36828.239999999998</v>
      </c>
    </row>
    <row r="11" spans="1:5" ht="15" customHeight="1" x14ac:dyDescent="0.25">
      <c r="A11" s="7" t="s">
        <v>21</v>
      </c>
      <c r="B11" s="4" t="s">
        <v>22</v>
      </c>
      <c r="C11" s="4" t="s">
        <v>23</v>
      </c>
      <c r="D11" s="4" t="s">
        <v>24</v>
      </c>
      <c r="E11" s="11" t="s">
        <v>25</v>
      </c>
    </row>
    <row r="12" spans="1:5" ht="15" customHeight="1" x14ac:dyDescent="0.25">
      <c r="A12" s="7" t="s">
        <v>26</v>
      </c>
      <c r="B12" s="3">
        <v>437721.3</v>
      </c>
      <c r="C12" s="3">
        <v>593334.19999999995</v>
      </c>
      <c r="D12" s="3">
        <v>414622.87</v>
      </c>
      <c r="E12" s="8">
        <v>1445678.37</v>
      </c>
    </row>
    <row r="13" spans="1:5" ht="15" customHeight="1" x14ac:dyDescent="0.25">
      <c r="A13" s="7" t="s">
        <v>27</v>
      </c>
      <c r="B13" s="3">
        <v>42897.67</v>
      </c>
      <c r="C13" s="3">
        <v>35333.980000000003</v>
      </c>
      <c r="D13" s="3">
        <v>82229.67</v>
      </c>
      <c r="E13" s="8">
        <v>160461.32</v>
      </c>
    </row>
    <row r="14" spans="1:5" ht="15" customHeight="1" x14ac:dyDescent="0.25">
      <c r="A14" s="7" t="s">
        <v>28</v>
      </c>
      <c r="B14" s="3">
        <v>1639.04</v>
      </c>
      <c r="C14" s="5"/>
      <c r="D14" s="3">
        <v>6528.88</v>
      </c>
      <c r="E14" s="8">
        <v>8167.92</v>
      </c>
    </row>
    <row r="15" spans="1:5" ht="15" customHeight="1" x14ac:dyDescent="0.25">
      <c r="A15" s="7" t="s">
        <v>30</v>
      </c>
      <c r="B15" s="3">
        <v>251663.64</v>
      </c>
      <c r="C15" s="3">
        <v>209980.92</v>
      </c>
      <c r="D15" s="3">
        <v>204174.37</v>
      </c>
      <c r="E15" s="8">
        <v>665818.93000000005</v>
      </c>
    </row>
    <row r="16" spans="1:5" ht="15" customHeight="1" x14ac:dyDescent="0.25">
      <c r="A16" s="7" t="s">
        <v>31</v>
      </c>
      <c r="B16" s="3">
        <v>332597.44</v>
      </c>
      <c r="C16" s="3">
        <v>94407.06</v>
      </c>
      <c r="D16" s="3">
        <v>437057.57</v>
      </c>
      <c r="E16" s="8">
        <v>864062.07</v>
      </c>
    </row>
    <row r="17" spans="1:5" ht="15" customHeight="1" x14ac:dyDescent="0.25">
      <c r="A17" s="7" t="s">
        <v>32</v>
      </c>
      <c r="B17" s="3">
        <v>7351.84</v>
      </c>
      <c r="C17" s="5"/>
      <c r="D17" s="3">
        <v>2672.72</v>
      </c>
      <c r="E17" s="8">
        <v>10024.56</v>
      </c>
    </row>
    <row r="18" spans="1:5" ht="15" customHeight="1" x14ac:dyDescent="0.25">
      <c r="A18" s="7" t="s">
        <v>33</v>
      </c>
      <c r="B18" s="3">
        <v>27691.55</v>
      </c>
      <c r="C18" s="3">
        <v>26220.63</v>
      </c>
      <c r="D18" s="3">
        <v>110228.03</v>
      </c>
      <c r="E18" s="8">
        <v>164140.21</v>
      </c>
    </row>
    <row r="19" spans="1:5" ht="15" customHeight="1" x14ac:dyDescent="0.25">
      <c r="A19" s="7" t="s">
        <v>34</v>
      </c>
      <c r="B19" s="3">
        <v>50021.16</v>
      </c>
      <c r="C19" s="3">
        <v>33936.68</v>
      </c>
      <c r="D19" s="3">
        <v>65472.480000000003</v>
      </c>
      <c r="E19" s="8">
        <v>149430.32</v>
      </c>
    </row>
    <row r="20" spans="1:5" ht="15" customHeight="1" x14ac:dyDescent="0.25">
      <c r="A20" s="7" t="s">
        <v>35</v>
      </c>
      <c r="B20" s="3">
        <v>90720.78</v>
      </c>
      <c r="C20" s="3">
        <v>71189.05</v>
      </c>
      <c r="D20" s="3">
        <v>111702.31</v>
      </c>
      <c r="E20" s="8">
        <v>273612.14</v>
      </c>
    </row>
    <row r="21" spans="1:5" ht="15" customHeight="1" x14ac:dyDescent="0.25">
      <c r="A21" s="7" t="s">
        <v>36</v>
      </c>
      <c r="B21" s="3">
        <v>231608.23</v>
      </c>
      <c r="C21" s="3">
        <v>168723.53</v>
      </c>
      <c r="D21" s="3">
        <v>229271.87</v>
      </c>
      <c r="E21" s="8">
        <v>629603.63</v>
      </c>
    </row>
    <row r="22" spans="1:5" ht="15" customHeight="1" x14ac:dyDescent="0.25">
      <c r="A22" s="7" t="s">
        <v>37</v>
      </c>
      <c r="B22" s="3">
        <v>209850.34</v>
      </c>
      <c r="C22" s="5"/>
      <c r="D22" s="3">
        <v>237332.78</v>
      </c>
      <c r="E22" s="8">
        <v>447183.12</v>
      </c>
    </row>
    <row r="23" spans="1:5" ht="15" customHeight="1" x14ac:dyDescent="0.25">
      <c r="A23" s="7" t="s">
        <v>38</v>
      </c>
      <c r="B23" s="3">
        <v>27144.57</v>
      </c>
      <c r="C23" s="3">
        <v>29164.26</v>
      </c>
      <c r="D23" s="3">
        <v>152750.78</v>
      </c>
      <c r="E23" s="8">
        <v>209059.61</v>
      </c>
    </row>
    <row r="24" spans="1:5" ht="15" customHeight="1" x14ac:dyDescent="0.25">
      <c r="A24" s="7" t="s">
        <v>39</v>
      </c>
      <c r="B24" s="3">
        <v>29182.75</v>
      </c>
      <c r="C24" s="3">
        <v>29228.22</v>
      </c>
      <c r="D24" s="3">
        <v>82057.17</v>
      </c>
      <c r="E24" s="8">
        <v>140468.14000000001</v>
      </c>
    </row>
    <row r="25" spans="1:5" ht="15" customHeight="1" x14ac:dyDescent="0.25">
      <c r="A25" s="7" t="s">
        <v>40</v>
      </c>
      <c r="B25" s="3">
        <v>373074.52</v>
      </c>
      <c r="C25" s="3">
        <v>119975.27</v>
      </c>
      <c r="D25" s="3">
        <v>233898.42</v>
      </c>
      <c r="E25" s="8">
        <v>726948.21</v>
      </c>
    </row>
    <row r="26" spans="1:5" ht="15" customHeight="1" x14ac:dyDescent="0.25">
      <c r="A26" s="7" t="s">
        <v>41</v>
      </c>
      <c r="B26" s="3">
        <v>23817.13</v>
      </c>
      <c r="C26" s="3">
        <v>18881.48</v>
      </c>
      <c r="D26" s="3">
        <v>27146.1</v>
      </c>
      <c r="E26" s="8">
        <v>69844.710000000006</v>
      </c>
    </row>
    <row r="27" spans="1:5" ht="15" customHeight="1" x14ac:dyDescent="0.25">
      <c r="A27" s="7" t="s">
        <v>42</v>
      </c>
      <c r="B27" s="3">
        <v>858</v>
      </c>
      <c r="C27" s="3">
        <v>9440.7099999999991</v>
      </c>
      <c r="D27" s="3">
        <v>53721.440000000002</v>
      </c>
      <c r="E27" s="8">
        <v>64020.15</v>
      </c>
    </row>
    <row r="28" spans="1:5" ht="15" customHeight="1" x14ac:dyDescent="0.25">
      <c r="A28" s="7" t="s">
        <v>45</v>
      </c>
      <c r="B28" s="3">
        <v>130730.19</v>
      </c>
      <c r="C28" s="3">
        <v>72990.5</v>
      </c>
      <c r="D28" s="3">
        <v>186471.49</v>
      </c>
      <c r="E28" s="8">
        <v>390192.18</v>
      </c>
    </row>
    <row r="29" spans="1:5" ht="15" customHeight="1" x14ac:dyDescent="0.25">
      <c r="A29" s="7" t="s">
        <v>46</v>
      </c>
      <c r="B29" s="3">
        <v>301595</v>
      </c>
      <c r="C29" s="3">
        <v>19184.96</v>
      </c>
      <c r="D29" s="3">
        <v>525581.93000000005</v>
      </c>
      <c r="E29" s="8">
        <v>846361.89</v>
      </c>
    </row>
    <row r="30" spans="1:5" ht="15" customHeight="1" x14ac:dyDescent="0.25">
      <c r="A30" s="7" t="s">
        <v>47</v>
      </c>
      <c r="B30" s="3">
        <v>125835.28</v>
      </c>
      <c r="C30" s="3">
        <v>105320.59</v>
      </c>
      <c r="D30" s="3">
        <v>185175</v>
      </c>
      <c r="E30" s="8">
        <v>416330.87</v>
      </c>
    </row>
    <row r="31" spans="1:5" ht="15" customHeight="1" x14ac:dyDescent="0.25">
      <c r="A31" s="7" t="s">
        <v>48</v>
      </c>
      <c r="B31" s="3">
        <v>102404.58</v>
      </c>
      <c r="C31" s="3">
        <v>71407.12</v>
      </c>
      <c r="D31" s="3">
        <v>139126.32999999999</v>
      </c>
      <c r="E31" s="8">
        <v>312938.03000000003</v>
      </c>
    </row>
    <row r="32" spans="1:5" ht="15" customHeight="1" x14ac:dyDescent="0.25">
      <c r="A32" s="7" t="s">
        <v>49</v>
      </c>
      <c r="B32" s="3">
        <v>104026.96</v>
      </c>
      <c r="C32" s="3">
        <v>57188.36</v>
      </c>
      <c r="D32" s="3">
        <v>160740.69</v>
      </c>
      <c r="E32" s="8">
        <v>321956.01</v>
      </c>
    </row>
    <row r="33" spans="1:5" ht="15" customHeight="1" x14ac:dyDescent="0.25">
      <c r="A33" s="7" t="s">
        <v>50</v>
      </c>
      <c r="B33" s="3">
        <v>499020.88</v>
      </c>
      <c r="C33" s="3">
        <v>544680.13</v>
      </c>
      <c r="D33" s="3">
        <v>767580.87</v>
      </c>
      <c r="E33" s="8">
        <v>1811281.88</v>
      </c>
    </row>
    <row r="34" spans="1:5" ht="15" customHeight="1" x14ac:dyDescent="0.25">
      <c r="A34" s="7" t="s">
        <v>51</v>
      </c>
      <c r="B34" s="3">
        <v>57557.64</v>
      </c>
      <c r="C34" s="3">
        <v>48983.32</v>
      </c>
      <c r="D34" s="3">
        <v>184876.45</v>
      </c>
      <c r="E34" s="8">
        <v>291417.40999999997</v>
      </c>
    </row>
    <row r="35" spans="1:5" ht="15" customHeight="1" x14ac:dyDescent="0.25">
      <c r="A35" s="7" t="s">
        <v>52</v>
      </c>
      <c r="B35" s="3">
        <v>158817.53</v>
      </c>
      <c r="C35" s="3">
        <v>117829</v>
      </c>
      <c r="D35" s="3">
        <v>261034.79</v>
      </c>
      <c r="E35" s="8">
        <v>537681.31999999995</v>
      </c>
    </row>
    <row r="36" spans="1:5" ht="15" customHeight="1" x14ac:dyDescent="0.25">
      <c r="A36" s="7" t="s">
        <v>53</v>
      </c>
      <c r="B36" s="3">
        <v>76080</v>
      </c>
      <c r="C36" s="3">
        <v>66447.820000000007</v>
      </c>
      <c r="D36" s="3">
        <v>156218.62</v>
      </c>
      <c r="E36" s="8">
        <v>298746.44</v>
      </c>
    </row>
    <row r="37" spans="1:5" ht="15" customHeight="1" x14ac:dyDescent="0.25">
      <c r="A37" s="7" t="s">
        <v>54</v>
      </c>
      <c r="B37" s="3">
        <v>10768.4</v>
      </c>
      <c r="C37" s="5"/>
      <c r="D37" s="5"/>
      <c r="E37" s="8">
        <v>10768.4</v>
      </c>
    </row>
    <row r="38" spans="1:5" ht="15" customHeight="1" x14ac:dyDescent="0.25">
      <c r="A38" s="7" t="s">
        <v>55</v>
      </c>
      <c r="B38" s="3">
        <v>121367.62</v>
      </c>
      <c r="C38" s="3">
        <v>74262.64</v>
      </c>
      <c r="D38" s="3">
        <v>141381.60999999999</v>
      </c>
      <c r="E38" s="8">
        <v>337011.87</v>
      </c>
    </row>
    <row r="39" spans="1:5" ht="15" customHeight="1" x14ac:dyDescent="0.25">
      <c r="A39" s="7" t="s">
        <v>56</v>
      </c>
      <c r="B39" s="3">
        <v>288298.78000000003</v>
      </c>
      <c r="C39" s="3">
        <v>199611.5</v>
      </c>
      <c r="D39" s="3">
        <v>372290.47</v>
      </c>
      <c r="E39" s="8">
        <v>860200.75</v>
      </c>
    </row>
    <row r="40" spans="1:5" ht="15" customHeight="1" x14ac:dyDescent="0.25">
      <c r="A40" s="7" t="s">
        <v>64</v>
      </c>
      <c r="B40" s="3">
        <v>130399.2</v>
      </c>
      <c r="C40" s="3">
        <v>78229.929999999993</v>
      </c>
      <c r="D40" s="3">
        <v>158803.10999999999</v>
      </c>
      <c r="E40" s="8">
        <v>367432.24</v>
      </c>
    </row>
    <row r="41" spans="1:5" ht="15" customHeight="1" x14ac:dyDescent="0.25">
      <c r="A41" s="7" t="s">
        <v>66</v>
      </c>
      <c r="B41" s="3">
        <v>365706.73</v>
      </c>
      <c r="C41" s="3">
        <v>321008.06</v>
      </c>
      <c r="D41" s="3">
        <v>470003.56</v>
      </c>
      <c r="E41" s="8">
        <v>1156718.3500000001</v>
      </c>
    </row>
    <row r="42" spans="1:5" ht="15" customHeight="1" x14ac:dyDescent="0.25">
      <c r="A42" s="7" t="s">
        <v>67</v>
      </c>
      <c r="B42" s="3">
        <v>284648.49</v>
      </c>
      <c r="C42" s="3">
        <v>158366.42000000001</v>
      </c>
      <c r="D42" s="3">
        <v>265108.03999999998</v>
      </c>
      <c r="E42" s="8">
        <v>708122.95</v>
      </c>
    </row>
    <row r="43" spans="1:5" ht="15" customHeight="1" x14ac:dyDescent="0.25">
      <c r="A43" s="7" t="s">
        <v>68</v>
      </c>
      <c r="B43" s="3">
        <v>802226.64</v>
      </c>
      <c r="C43" s="3">
        <v>759216.88</v>
      </c>
      <c r="D43" s="3">
        <v>842922.31</v>
      </c>
      <c r="E43" s="8">
        <v>2404365.83</v>
      </c>
    </row>
    <row r="44" spans="1:5" ht="15" customHeight="1" x14ac:dyDescent="0.25">
      <c r="A44" s="7" t="s">
        <v>69</v>
      </c>
      <c r="B44" s="3">
        <v>775034.81</v>
      </c>
      <c r="C44" s="3">
        <v>591995.28</v>
      </c>
      <c r="D44" s="3">
        <v>626635.42000000004</v>
      </c>
      <c r="E44" s="8">
        <v>1993665.51</v>
      </c>
    </row>
    <row r="45" spans="1:5" ht="15" customHeight="1" x14ac:dyDescent="0.25">
      <c r="A45" s="7" t="s">
        <v>70</v>
      </c>
      <c r="B45" s="3">
        <v>1330.35</v>
      </c>
      <c r="C45" s="3">
        <v>1291.8900000000001</v>
      </c>
      <c r="D45" s="3">
        <v>1339.76</v>
      </c>
      <c r="E45" s="8">
        <v>3962</v>
      </c>
    </row>
    <row r="46" spans="1:5" ht="15" customHeight="1" x14ac:dyDescent="0.25">
      <c r="A46" s="7" t="s">
        <v>71</v>
      </c>
      <c r="B46" s="3">
        <v>2980.48</v>
      </c>
      <c r="C46" s="3">
        <v>4409.04</v>
      </c>
      <c r="D46" s="3">
        <v>2611.5</v>
      </c>
      <c r="E46" s="8">
        <v>10001.02</v>
      </c>
    </row>
    <row r="47" spans="1:5" ht="15" customHeight="1" x14ac:dyDescent="0.25">
      <c r="A47" s="7" t="s">
        <v>72</v>
      </c>
      <c r="B47" s="3">
        <v>4364.2700000000004</v>
      </c>
      <c r="C47" s="3">
        <v>2487.09</v>
      </c>
      <c r="D47" s="3">
        <v>2520.2199999999998</v>
      </c>
      <c r="E47" s="8">
        <v>9371.58</v>
      </c>
    </row>
    <row r="48" spans="1:5" ht="15" customHeight="1" x14ac:dyDescent="0.25">
      <c r="A48" s="7" t="s">
        <v>73</v>
      </c>
      <c r="B48" s="3">
        <v>11193.11</v>
      </c>
      <c r="C48" s="3">
        <v>6845.71</v>
      </c>
      <c r="D48" s="3">
        <v>8017.24</v>
      </c>
      <c r="E48" s="8">
        <v>26056.06</v>
      </c>
    </row>
    <row r="49" spans="1:5" ht="15" customHeight="1" x14ac:dyDescent="0.25">
      <c r="A49" s="7" t="s">
        <v>74</v>
      </c>
      <c r="B49" s="3">
        <v>3840.5</v>
      </c>
      <c r="C49" s="3">
        <v>2188.62</v>
      </c>
      <c r="D49" s="3">
        <v>2217.8000000000002</v>
      </c>
      <c r="E49" s="8">
        <v>8246.92</v>
      </c>
    </row>
    <row r="50" spans="1:5" ht="15" customHeight="1" x14ac:dyDescent="0.25">
      <c r="A50" s="7" t="s">
        <v>75</v>
      </c>
      <c r="B50" s="3">
        <v>79818.69</v>
      </c>
      <c r="C50" s="3">
        <v>68117.710000000006</v>
      </c>
      <c r="D50" s="3">
        <v>61361.599999999999</v>
      </c>
      <c r="E50" s="8">
        <v>209298</v>
      </c>
    </row>
    <row r="51" spans="1:5" ht="15" customHeight="1" x14ac:dyDescent="0.25">
      <c r="A51" s="7" t="s">
        <v>76</v>
      </c>
      <c r="B51" s="4" t="s">
        <v>77</v>
      </c>
      <c r="C51" s="4" t="s">
        <v>78</v>
      </c>
      <c r="D51" s="4" t="s">
        <v>79</v>
      </c>
      <c r="E51" s="11" t="s">
        <v>80</v>
      </c>
    </row>
    <row r="52" spans="1:5" ht="15" customHeight="1" x14ac:dyDescent="0.25">
      <c r="A52" s="7" t="s">
        <v>81</v>
      </c>
      <c r="B52" s="3">
        <v>40895.339999999997</v>
      </c>
      <c r="C52" s="3">
        <v>43269.9</v>
      </c>
      <c r="D52" s="3">
        <v>17536.78</v>
      </c>
      <c r="E52" s="8">
        <v>101702.02</v>
      </c>
    </row>
    <row r="53" spans="1:5" ht="15" customHeight="1" x14ac:dyDescent="0.25">
      <c r="A53" s="7" t="s">
        <v>82</v>
      </c>
      <c r="B53" s="3">
        <v>144218.5</v>
      </c>
      <c r="C53" s="3">
        <v>152593.44</v>
      </c>
      <c r="D53" s="3">
        <v>61824.45</v>
      </c>
      <c r="E53" s="8">
        <v>358636.39</v>
      </c>
    </row>
    <row r="54" spans="1:5" ht="15" customHeight="1" x14ac:dyDescent="0.25">
      <c r="A54" s="7" t="s">
        <v>83</v>
      </c>
      <c r="B54" s="3">
        <v>7794.95</v>
      </c>
      <c r="C54" s="3">
        <v>8237.1200000000008</v>
      </c>
      <c r="D54" s="3">
        <v>3344.29</v>
      </c>
      <c r="E54" s="8">
        <v>19376.36</v>
      </c>
    </row>
    <row r="55" spans="1:5" ht="15" customHeight="1" x14ac:dyDescent="0.25">
      <c r="A55" s="7" t="s">
        <v>84</v>
      </c>
      <c r="B55" s="3">
        <v>16595.95</v>
      </c>
      <c r="C55" s="3">
        <v>17520.03</v>
      </c>
      <c r="D55" s="3">
        <v>14656.06</v>
      </c>
      <c r="E55" s="8">
        <v>48772.04</v>
      </c>
    </row>
    <row r="56" spans="1:5" ht="15" customHeight="1" x14ac:dyDescent="0.25">
      <c r="A56" s="7" t="s">
        <v>85</v>
      </c>
      <c r="B56" s="3">
        <v>3912.22</v>
      </c>
      <c r="C56" s="3">
        <v>4134.05</v>
      </c>
      <c r="D56" s="3">
        <v>1678.51</v>
      </c>
      <c r="E56" s="8">
        <v>9724.7800000000007</v>
      </c>
    </row>
    <row r="57" spans="1:5" ht="15" customHeight="1" x14ac:dyDescent="0.25">
      <c r="A57" s="7" t="s">
        <v>86</v>
      </c>
      <c r="B57" s="3">
        <v>10090.9</v>
      </c>
      <c r="C57" s="3">
        <v>10671.14</v>
      </c>
      <c r="D57" s="3">
        <v>4328.1099999999997</v>
      </c>
      <c r="E57" s="8">
        <v>25090.15</v>
      </c>
    </row>
    <row r="58" spans="1:5" ht="15" customHeight="1" x14ac:dyDescent="0.25">
      <c r="A58" s="7" t="s">
        <v>87</v>
      </c>
      <c r="B58" s="3">
        <v>6222.27</v>
      </c>
      <c r="C58" s="3">
        <v>6573.02</v>
      </c>
      <c r="D58" s="3">
        <v>2669.91</v>
      </c>
      <c r="E58" s="8">
        <v>15465.2</v>
      </c>
    </row>
    <row r="59" spans="1:5" ht="15" customHeight="1" x14ac:dyDescent="0.25">
      <c r="A59" s="7" t="s">
        <v>88</v>
      </c>
      <c r="B59" s="3">
        <v>37100.04</v>
      </c>
      <c r="C59" s="3">
        <v>62564.79</v>
      </c>
      <c r="D59" s="3">
        <v>62781.03</v>
      </c>
      <c r="E59" s="8">
        <v>162445.85999999999</v>
      </c>
    </row>
    <row r="60" spans="1:5" ht="15" customHeight="1" x14ac:dyDescent="0.25">
      <c r="A60" s="7" t="s">
        <v>89</v>
      </c>
      <c r="B60" s="3">
        <v>3694.65</v>
      </c>
      <c r="C60" s="3">
        <v>6230.56</v>
      </c>
      <c r="D60" s="3">
        <v>6252.11</v>
      </c>
      <c r="E60" s="8">
        <v>16177.32</v>
      </c>
    </row>
    <row r="61" spans="1:5" ht="15" customHeight="1" x14ac:dyDescent="0.25">
      <c r="A61" s="7" t="s">
        <v>90</v>
      </c>
      <c r="B61" s="3">
        <v>4650.34</v>
      </c>
      <c r="C61" s="3">
        <v>7842.22</v>
      </c>
      <c r="D61" s="3">
        <v>7869.33</v>
      </c>
      <c r="E61" s="8">
        <v>20361.89</v>
      </c>
    </row>
    <row r="62" spans="1:5" ht="15" customHeight="1" x14ac:dyDescent="0.25">
      <c r="A62" s="7" t="s">
        <v>91</v>
      </c>
      <c r="B62" s="3">
        <v>13830.46</v>
      </c>
      <c r="C62" s="3">
        <v>23323.51</v>
      </c>
      <c r="D62" s="3">
        <v>23404.15</v>
      </c>
      <c r="E62" s="8">
        <v>60558.12</v>
      </c>
    </row>
    <row r="63" spans="1:5" ht="15" customHeight="1" x14ac:dyDescent="0.25">
      <c r="A63" s="7" t="s">
        <v>92</v>
      </c>
      <c r="B63" s="3">
        <v>11963.27</v>
      </c>
      <c r="C63" s="3">
        <v>20174.63</v>
      </c>
      <c r="D63" s="3">
        <v>20244.400000000001</v>
      </c>
      <c r="E63" s="8">
        <v>52382.3</v>
      </c>
    </row>
    <row r="64" spans="1:5" ht="15" customHeight="1" x14ac:dyDescent="0.25">
      <c r="A64" s="7" t="s">
        <v>93</v>
      </c>
      <c r="B64" s="3">
        <v>11581.13</v>
      </c>
      <c r="C64" s="3">
        <v>19530.36</v>
      </c>
      <c r="D64" s="3">
        <v>19597.84</v>
      </c>
      <c r="E64" s="8">
        <v>50709.33</v>
      </c>
    </row>
    <row r="65" spans="1:5" ht="15" customHeight="1" x14ac:dyDescent="0.25">
      <c r="A65" s="7" t="s">
        <v>94</v>
      </c>
      <c r="B65" s="3">
        <v>103564.56</v>
      </c>
      <c r="C65" s="3">
        <v>108982.08</v>
      </c>
      <c r="D65" s="3">
        <v>133098.07</v>
      </c>
      <c r="E65" s="8">
        <v>345644.71</v>
      </c>
    </row>
    <row r="66" spans="1:5" ht="15" customHeight="1" x14ac:dyDescent="0.25">
      <c r="A66" s="7" t="s">
        <v>95</v>
      </c>
      <c r="B66" s="4" t="s">
        <v>96</v>
      </c>
      <c r="C66" s="4" t="s">
        <v>97</v>
      </c>
      <c r="D66" s="4" t="s">
        <v>98</v>
      </c>
      <c r="E66" s="11" t="s">
        <v>99</v>
      </c>
    </row>
    <row r="67" spans="1:5" ht="15" customHeight="1" x14ac:dyDescent="0.25">
      <c r="A67" s="7" t="s">
        <v>100</v>
      </c>
      <c r="B67" s="3">
        <v>1361.26</v>
      </c>
      <c r="C67" s="3">
        <v>4102.18</v>
      </c>
      <c r="D67" s="3">
        <v>1604.5</v>
      </c>
      <c r="E67" s="8">
        <v>7067.94</v>
      </c>
    </row>
    <row r="68" spans="1:5" ht="15" customHeight="1" x14ac:dyDescent="0.25">
      <c r="A68" s="7" t="s">
        <v>101</v>
      </c>
      <c r="B68" s="3">
        <v>91947.61</v>
      </c>
      <c r="C68" s="3">
        <v>71831.83</v>
      </c>
      <c r="D68" s="3">
        <v>108233.83</v>
      </c>
      <c r="E68" s="8">
        <v>272013.27</v>
      </c>
    </row>
    <row r="69" spans="1:5" ht="15" customHeight="1" x14ac:dyDescent="0.25">
      <c r="A69" s="7" t="s">
        <v>102</v>
      </c>
      <c r="B69" s="3">
        <v>71385.37</v>
      </c>
      <c r="C69" s="3">
        <v>55677.75</v>
      </c>
      <c r="D69" s="3">
        <v>83993.75</v>
      </c>
      <c r="E69" s="8">
        <v>211056.87</v>
      </c>
    </row>
    <row r="70" spans="1:5" ht="15" customHeight="1" x14ac:dyDescent="0.25">
      <c r="A70" s="7" t="s">
        <v>103</v>
      </c>
      <c r="B70" s="3">
        <v>800.73</v>
      </c>
      <c r="C70" s="3">
        <v>625.17999999999995</v>
      </c>
      <c r="D70" s="3">
        <v>942.41</v>
      </c>
      <c r="E70" s="8">
        <v>2368.3200000000002</v>
      </c>
    </row>
    <row r="71" spans="1:5" ht="15" customHeight="1" x14ac:dyDescent="0.25">
      <c r="A71" s="7" t="s">
        <v>104</v>
      </c>
      <c r="B71" s="4" t="s">
        <v>105</v>
      </c>
      <c r="C71" s="4" t="s">
        <v>106</v>
      </c>
      <c r="D71" s="4" t="s">
        <v>107</v>
      </c>
      <c r="E71" s="11" t="s">
        <v>108</v>
      </c>
    </row>
    <row r="72" spans="1:5" ht="15" customHeight="1" x14ac:dyDescent="0.25">
      <c r="A72" s="7" t="s">
        <v>109</v>
      </c>
      <c r="B72" s="3">
        <v>657.99</v>
      </c>
      <c r="C72" s="3">
        <v>664.36</v>
      </c>
      <c r="D72" s="3">
        <v>1354.76</v>
      </c>
      <c r="E72" s="8">
        <v>2677.11</v>
      </c>
    </row>
    <row r="73" spans="1:5" ht="15" customHeight="1" x14ac:dyDescent="0.25">
      <c r="A73" s="7" t="s">
        <v>110</v>
      </c>
      <c r="B73" s="3">
        <v>6259.46</v>
      </c>
      <c r="C73" s="3">
        <v>6319.98</v>
      </c>
      <c r="D73" s="3">
        <v>12887</v>
      </c>
      <c r="E73" s="8">
        <v>25466.44</v>
      </c>
    </row>
    <row r="74" spans="1:5" ht="15" customHeight="1" x14ac:dyDescent="0.25">
      <c r="A74" s="7" t="s">
        <v>111</v>
      </c>
      <c r="B74" s="3">
        <v>14901.34</v>
      </c>
      <c r="C74" s="3">
        <v>15045.23</v>
      </c>
      <c r="D74" s="3">
        <v>30678.47</v>
      </c>
      <c r="E74" s="8">
        <v>60625.04</v>
      </c>
    </row>
    <row r="75" spans="1:5" ht="15" customHeight="1" x14ac:dyDescent="0.25">
      <c r="A75" s="7" t="s">
        <v>112</v>
      </c>
      <c r="B75" s="4" t="s">
        <v>113</v>
      </c>
      <c r="C75" s="4" t="s">
        <v>114</v>
      </c>
      <c r="D75" s="4" t="s">
        <v>115</v>
      </c>
      <c r="E75" s="11" t="s">
        <v>116</v>
      </c>
    </row>
    <row r="76" spans="1:5" ht="15" customHeight="1" x14ac:dyDescent="0.25">
      <c r="A76" s="7" t="s">
        <v>117</v>
      </c>
      <c r="B76" s="3">
        <v>2856.42</v>
      </c>
      <c r="C76" s="3">
        <v>1292.79</v>
      </c>
      <c r="D76" s="3">
        <v>2502.88</v>
      </c>
      <c r="E76" s="8">
        <v>6652.09</v>
      </c>
    </row>
    <row r="77" spans="1:5" ht="15" customHeight="1" x14ac:dyDescent="0.25">
      <c r="A77" s="7" t="s">
        <v>118</v>
      </c>
      <c r="B77" s="3">
        <v>90798.59</v>
      </c>
      <c r="C77" s="3">
        <v>100023.05</v>
      </c>
      <c r="D77" s="3">
        <v>79559.06</v>
      </c>
      <c r="E77" s="8">
        <v>270380.7</v>
      </c>
    </row>
    <row r="78" spans="1:5" ht="15" customHeight="1" x14ac:dyDescent="0.25">
      <c r="A78" s="7" t="s">
        <v>119</v>
      </c>
      <c r="B78" s="3">
        <v>58756.12</v>
      </c>
      <c r="C78" s="3">
        <v>26592.16</v>
      </c>
      <c r="D78" s="3">
        <v>51482.98</v>
      </c>
      <c r="E78" s="8">
        <v>136831.26</v>
      </c>
    </row>
    <row r="79" spans="1:5" ht="15" customHeight="1" x14ac:dyDescent="0.25">
      <c r="A79" s="7" t="s">
        <v>120</v>
      </c>
      <c r="B79" s="3">
        <v>19078.400000000001</v>
      </c>
      <c r="C79" s="4" t="s">
        <v>121</v>
      </c>
      <c r="D79" s="3">
        <v>13078.37</v>
      </c>
      <c r="E79" s="8">
        <v>31396.52</v>
      </c>
    </row>
    <row r="80" spans="1:5" ht="15" customHeight="1" x14ac:dyDescent="0.25">
      <c r="A80" s="7" t="s">
        <v>122</v>
      </c>
      <c r="B80" s="3">
        <v>26512.35</v>
      </c>
      <c r="C80" s="3">
        <v>15720.1</v>
      </c>
      <c r="D80" s="3">
        <v>13848.54</v>
      </c>
      <c r="E80" s="8">
        <v>56080.99</v>
      </c>
    </row>
    <row r="81" spans="1:5" ht="15" customHeight="1" x14ac:dyDescent="0.25">
      <c r="A81" s="7" t="s">
        <v>123</v>
      </c>
      <c r="B81" s="3">
        <v>2584.75</v>
      </c>
      <c r="C81" s="3">
        <v>27721.25</v>
      </c>
      <c r="D81" s="3">
        <v>4369.92</v>
      </c>
      <c r="E81" s="8">
        <v>34675.919999999998</v>
      </c>
    </row>
    <row r="82" spans="1:5" ht="15" customHeight="1" x14ac:dyDescent="0.25">
      <c r="A82" s="7" t="s">
        <v>124</v>
      </c>
      <c r="B82" s="3">
        <v>16867.490000000002</v>
      </c>
      <c r="C82" s="3">
        <v>7606.8</v>
      </c>
      <c r="D82" s="3">
        <v>18936.169999999998</v>
      </c>
      <c r="E82" s="8">
        <v>43410.46</v>
      </c>
    </row>
    <row r="83" spans="1:5" ht="15" customHeight="1" x14ac:dyDescent="0.25">
      <c r="A83" s="7" t="s">
        <v>125</v>
      </c>
      <c r="B83" s="3">
        <v>2961.21</v>
      </c>
      <c r="C83" s="3">
        <v>1335.39</v>
      </c>
      <c r="D83" s="3">
        <v>3324.3</v>
      </c>
      <c r="E83" s="8">
        <v>7620.9</v>
      </c>
    </row>
    <row r="84" spans="1:5" ht="15" customHeight="1" x14ac:dyDescent="0.25">
      <c r="A84" s="7" t="s">
        <v>126</v>
      </c>
      <c r="B84" s="3">
        <v>2961.21</v>
      </c>
      <c r="C84" s="3">
        <v>1335.39</v>
      </c>
      <c r="D84" s="3">
        <v>3324.3</v>
      </c>
      <c r="E84" s="8">
        <v>7620.9</v>
      </c>
    </row>
    <row r="85" spans="1:5" ht="15" customHeight="1" x14ac:dyDescent="0.25">
      <c r="A85" s="7" t="s">
        <v>127</v>
      </c>
      <c r="B85" s="3">
        <v>2961.18</v>
      </c>
      <c r="C85" s="3">
        <v>1335.35</v>
      </c>
      <c r="D85" s="3">
        <v>3324.29</v>
      </c>
      <c r="E85" s="8">
        <v>7620.82</v>
      </c>
    </row>
    <row r="86" spans="1:5" ht="15" customHeight="1" x14ac:dyDescent="0.25">
      <c r="A86" s="7" t="s">
        <v>128</v>
      </c>
      <c r="B86" s="3">
        <v>2961.21</v>
      </c>
      <c r="C86" s="3">
        <v>1335.39</v>
      </c>
      <c r="D86" s="3">
        <v>3324.3</v>
      </c>
      <c r="E86" s="8">
        <v>7620.9</v>
      </c>
    </row>
    <row r="87" spans="1:5" ht="15" customHeight="1" x14ac:dyDescent="0.25">
      <c r="A87" s="7" t="s">
        <v>129</v>
      </c>
      <c r="B87" s="3">
        <v>2961.04</v>
      </c>
      <c r="C87" s="3">
        <v>1335.4</v>
      </c>
      <c r="D87" s="3">
        <v>3324.36</v>
      </c>
      <c r="E87" s="8">
        <v>7620.8</v>
      </c>
    </row>
    <row r="88" spans="1:5" ht="15" customHeight="1" x14ac:dyDescent="0.25">
      <c r="A88" s="7" t="s">
        <v>130</v>
      </c>
      <c r="B88" s="3">
        <v>2961.09</v>
      </c>
      <c r="C88" s="3">
        <v>1335.42</v>
      </c>
      <c r="D88" s="3">
        <v>3324.32</v>
      </c>
      <c r="E88" s="8">
        <v>7620.83</v>
      </c>
    </row>
    <row r="89" spans="1:5" ht="15" customHeight="1" x14ac:dyDescent="0.25">
      <c r="A89" s="7" t="s">
        <v>131</v>
      </c>
      <c r="B89" s="3">
        <v>2961.21</v>
      </c>
      <c r="C89" s="3">
        <v>1335.39</v>
      </c>
      <c r="D89" s="3">
        <v>3324.3</v>
      </c>
      <c r="E89" s="8">
        <v>7620.9</v>
      </c>
    </row>
    <row r="90" spans="1:5" ht="15" customHeight="1" x14ac:dyDescent="0.25">
      <c r="A90" s="7" t="s">
        <v>132</v>
      </c>
      <c r="B90" s="4" t="s">
        <v>133</v>
      </c>
      <c r="C90" s="4" t="s">
        <v>134</v>
      </c>
      <c r="D90" s="4" t="s">
        <v>135</v>
      </c>
      <c r="E90" s="11" t="s">
        <v>136</v>
      </c>
    </row>
    <row r="91" spans="1:5" ht="15" customHeight="1" x14ac:dyDescent="0.25">
      <c r="A91" s="7" t="s">
        <v>137</v>
      </c>
      <c r="B91" s="3">
        <v>4546.38</v>
      </c>
      <c r="C91" s="3">
        <v>4414.88</v>
      </c>
      <c r="D91" s="3">
        <v>4578.4799999999996</v>
      </c>
      <c r="E91" s="8">
        <v>13539.74</v>
      </c>
    </row>
    <row r="92" spans="1:5" ht="15" customHeight="1" x14ac:dyDescent="0.25">
      <c r="A92" s="7" t="s">
        <v>138</v>
      </c>
      <c r="B92" s="3">
        <v>10770.16</v>
      </c>
      <c r="C92" s="3">
        <v>10458.73</v>
      </c>
      <c r="D92" s="3">
        <v>10846.2</v>
      </c>
      <c r="E92" s="8">
        <v>32075.09</v>
      </c>
    </row>
    <row r="93" spans="1:5" ht="15" customHeight="1" x14ac:dyDescent="0.25">
      <c r="A93" s="7" t="s">
        <v>139</v>
      </c>
      <c r="B93" s="3">
        <v>6876.56</v>
      </c>
      <c r="C93" s="3">
        <v>6677.73</v>
      </c>
      <c r="D93" s="3">
        <v>6925.2</v>
      </c>
      <c r="E93" s="8">
        <v>20479.490000000002</v>
      </c>
    </row>
    <row r="94" spans="1:5" ht="15" customHeight="1" x14ac:dyDescent="0.25">
      <c r="A94" s="7" t="s">
        <v>140</v>
      </c>
      <c r="B94" s="3">
        <v>2961.15</v>
      </c>
      <c r="C94" s="3">
        <v>1335.44</v>
      </c>
      <c r="D94" s="3">
        <v>3324.37</v>
      </c>
      <c r="E94" s="8">
        <v>7620.96</v>
      </c>
    </row>
    <row r="95" spans="1:5" ht="15" customHeight="1" x14ac:dyDescent="0.25">
      <c r="A95" s="7" t="s">
        <v>141</v>
      </c>
      <c r="B95" s="3">
        <v>2961.21</v>
      </c>
      <c r="C95" s="3">
        <v>1335.39</v>
      </c>
      <c r="D95" s="3">
        <v>3324.3</v>
      </c>
      <c r="E95" s="8">
        <v>7620.9</v>
      </c>
    </row>
    <row r="96" spans="1:5" ht="15" customHeight="1" x14ac:dyDescent="0.25">
      <c r="A96" s="7" t="s">
        <v>142</v>
      </c>
      <c r="B96" s="3">
        <v>2961.15</v>
      </c>
      <c r="C96" s="3">
        <v>1335.42</v>
      </c>
      <c r="D96" s="3">
        <v>3324.26</v>
      </c>
      <c r="E96" s="8">
        <v>7620.83</v>
      </c>
    </row>
    <row r="97" spans="1:5" ht="15" customHeight="1" x14ac:dyDescent="0.25">
      <c r="A97" s="7" t="s">
        <v>143</v>
      </c>
      <c r="B97" s="3">
        <v>930.63</v>
      </c>
      <c r="C97" s="3">
        <v>419.73</v>
      </c>
      <c r="D97" s="3">
        <v>1044.92</v>
      </c>
      <c r="E97" s="8">
        <v>2395.2800000000002</v>
      </c>
    </row>
    <row r="98" spans="1:5" ht="15" customHeight="1" x14ac:dyDescent="0.25">
      <c r="A98" s="7" t="s">
        <v>144</v>
      </c>
      <c r="B98" s="4" t="s">
        <v>145</v>
      </c>
      <c r="C98" s="4" t="s">
        <v>146</v>
      </c>
      <c r="D98" s="4" t="s">
        <v>147</v>
      </c>
      <c r="E98" s="11" t="s">
        <v>148</v>
      </c>
    </row>
    <row r="99" spans="1:5" ht="15" customHeight="1" x14ac:dyDescent="0.25">
      <c r="A99" s="7" t="s">
        <v>149</v>
      </c>
      <c r="B99" s="3">
        <v>99191.67</v>
      </c>
      <c r="C99" s="3">
        <v>60665.79</v>
      </c>
      <c r="D99" s="3">
        <v>71047.64</v>
      </c>
      <c r="E99" s="8">
        <v>230905.1</v>
      </c>
    </row>
    <row r="100" spans="1:5" ht="15" customHeight="1" x14ac:dyDescent="0.25">
      <c r="A100" s="7" t="s">
        <v>150</v>
      </c>
      <c r="B100" s="3">
        <v>110971.01</v>
      </c>
      <c r="C100" s="3">
        <v>67870.03</v>
      </c>
      <c r="D100" s="3">
        <v>79485.279999999999</v>
      </c>
      <c r="E100" s="8">
        <v>258326.32</v>
      </c>
    </row>
    <row r="101" spans="1:5" ht="15" customHeight="1" x14ac:dyDescent="0.25">
      <c r="A101" s="7" t="s">
        <v>151</v>
      </c>
      <c r="B101" s="3">
        <v>1749.74</v>
      </c>
      <c r="C101" s="3">
        <v>789.2</v>
      </c>
      <c r="D101" s="3">
        <v>1964.43</v>
      </c>
      <c r="E101" s="8">
        <v>4503.37</v>
      </c>
    </row>
    <row r="102" spans="1:5" ht="15" customHeight="1" x14ac:dyDescent="0.25">
      <c r="A102" s="7" t="s">
        <v>152</v>
      </c>
      <c r="B102" s="3">
        <v>1464194.39</v>
      </c>
      <c r="C102" s="3">
        <v>797048.95</v>
      </c>
      <c r="D102" s="3">
        <v>1739680.63</v>
      </c>
      <c r="E102" s="8">
        <v>4000923.97</v>
      </c>
    </row>
    <row r="103" spans="1:5" ht="15" customHeight="1" x14ac:dyDescent="0.25">
      <c r="A103" s="7" t="s">
        <v>153</v>
      </c>
      <c r="B103" s="3">
        <v>257319.36</v>
      </c>
      <c r="C103" s="3">
        <v>109905.39</v>
      </c>
      <c r="D103" s="3">
        <v>728977.83</v>
      </c>
      <c r="E103" s="8">
        <v>1096202.58</v>
      </c>
    </row>
    <row r="104" spans="1:5" ht="15" customHeight="1" x14ac:dyDescent="0.25">
      <c r="A104" s="7" t="s">
        <v>154</v>
      </c>
      <c r="B104" s="3">
        <v>138580.43</v>
      </c>
      <c r="C104" s="3">
        <v>156124.20000000001</v>
      </c>
      <c r="D104" s="3">
        <v>269499.81</v>
      </c>
      <c r="E104" s="8">
        <v>564204.43999999994</v>
      </c>
    </row>
    <row r="105" spans="1:5" ht="15" customHeight="1" x14ac:dyDescent="0.25">
      <c r="A105" s="7" t="s">
        <v>155</v>
      </c>
      <c r="B105" s="3">
        <v>930448.36</v>
      </c>
      <c r="C105" s="3">
        <v>444001.45</v>
      </c>
      <c r="D105" s="3">
        <v>1020208.37</v>
      </c>
      <c r="E105" s="8">
        <v>2394658.1800000002</v>
      </c>
    </row>
    <row r="106" spans="1:5" ht="15" customHeight="1" x14ac:dyDescent="0.25">
      <c r="A106" s="7" t="s">
        <v>156</v>
      </c>
      <c r="B106" s="3">
        <v>270279.53000000003</v>
      </c>
      <c r="C106" s="3">
        <v>5512.94</v>
      </c>
      <c r="D106" s="3">
        <v>301503.05</v>
      </c>
      <c r="E106" s="8">
        <v>577295.52</v>
      </c>
    </row>
    <row r="107" spans="1:5" ht="15" customHeight="1" x14ac:dyDescent="0.25">
      <c r="A107" s="7" t="s">
        <v>157</v>
      </c>
      <c r="B107" s="3">
        <v>830090.69</v>
      </c>
      <c r="C107" s="3">
        <v>343023.37</v>
      </c>
      <c r="D107" s="3">
        <v>643521.72</v>
      </c>
      <c r="E107" s="8">
        <v>1816635.78</v>
      </c>
    </row>
    <row r="108" spans="1:5" ht="15" customHeight="1" x14ac:dyDescent="0.25">
      <c r="A108" s="7" t="s">
        <v>158</v>
      </c>
      <c r="B108" s="3">
        <v>1069375.6599999999</v>
      </c>
      <c r="C108" s="3">
        <v>425155.23</v>
      </c>
      <c r="D108" s="3">
        <v>860362.38</v>
      </c>
      <c r="E108" s="8">
        <v>2354893.27</v>
      </c>
    </row>
    <row r="109" spans="1:5" ht="15" customHeight="1" x14ac:dyDescent="0.25">
      <c r="A109" s="7" t="s">
        <v>159</v>
      </c>
      <c r="B109" s="3">
        <v>153113.31</v>
      </c>
      <c r="C109" s="3">
        <v>49468.83</v>
      </c>
      <c r="D109" s="3">
        <v>87195.6</v>
      </c>
      <c r="E109" s="8">
        <v>289777.74</v>
      </c>
    </row>
    <row r="110" spans="1:5" ht="15" customHeight="1" x14ac:dyDescent="0.25">
      <c r="A110" s="7" t="s">
        <v>160</v>
      </c>
      <c r="B110" s="3">
        <v>1057964.67</v>
      </c>
      <c r="C110" s="3">
        <v>1394657.73</v>
      </c>
      <c r="D110" s="3">
        <v>2054145.37</v>
      </c>
      <c r="E110" s="8">
        <v>4506767.7699999996</v>
      </c>
    </row>
    <row r="111" spans="1:5" ht="15" customHeight="1" x14ac:dyDescent="0.25">
      <c r="A111" s="7" t="s">
        <v>161</v>
      </c>
      <c r="B111" s="3">
        <v>560641.4</v>
      </c>
      <c r="C111" s="3">
        <v>286886.98</v>
      </c>
      <c r="D111" s="3">
        <v>756169.18</v>
      </c>
      <c r="E111" s="8">
        <v>1603697.56</v>
      </c>
    </row>
    <row r="112" spans="1:5" ht="15" customHeight="1" x14ac:dyDescent="0.25">
      <c r="A112" s="7" t="s">
        <v>162</v>
      </c>
      <c r="B112" s="3">
        <v>3337912.33</v>
      </c>
      <c r="C112" s="3">
        <v>1393942.23</v>
      </c>
      <c r="D112" s="3">
        <v>3777803</v>
      </c>
      <c r="E112" s="8">
        <v>8509657.5600000005</v>
      </c>
    </row>
    <row r="113" spans="1:5" ht="15" customHeight="1" x14ac:dyDescent="0.25">
      <c r="A113" s="7" t="s">
        <v>163</v>
      </c>
      <c r="B113" s="3">
        <v>1022908.13</v>
      </c>
      <c r="C113" s="3">
        <v>1753975.87</v>
      </c>
      <c r="D113" s="3">
        <v>1334558.72</v>
      </c>
      <c r="E113" s="8">
        <v>4111442.72</v>
      </c>
    </row>
    <row r="114" spans="1:5" ht="15" customHeight="1" x14ac:dyDescent="0.25">
      <c r="A114" s="7" t="s">
        <v>164</v>
      </c>
      <c r="B114" s="3">
        <v>960016.97</v>
      </c>
      <c r="C114" s="3">
        <v>1122814.6000000001</v>
      </c>
      <c r="D114" s="3">
        <v>857729.55</v>
      </c>
      <c r="E114" s="8">
        <v>2940561.12</v>
      </c>
    </row>
    <row r="115" spans="1:5" ht="15" customHeight="1" x14ac:dyDescent="0.25">
      <c r="A115" s="7" t="s">
        <v>165</v>
      </c>
      <c r="B115" s="3">
        <v>74385.23</v>
      </c>
      <c r="C115" s="3">
        <v>31491.49</v>
      </c>
      <c r="D115" s="3">
        <v>38726.51</v>
      </c>
      <c r="E115" s="8">
        <v>144603.23000000001</v>
      </c>
    </row>
    <row r="116" spans="1:5" ht="15" customHeight="1" x14ac:dyDescent="0.25">
      <c r="A116" s="7" t="s">
        <v>166</v>
      </c>
      <c r="B116" s="3">
        <v>56701.95</v>
      </c>
      <c r="C116" s="3">
        <v>56814.09</v>
      </c>
      <c r="D116" s="3">
        <v>33369.769999999997</v>
      </c>
      <c r="E116" s="8">
        <v>146885.81</v>
      </c>
    </row>
    <row r="117" spans="1:5" ht="15" customHeight="1" x14ac:dyDescent="0.25">
      <c r="A117" s="7" t="s">
        <v>167</v>
      </c>
      <c r="B117" s="3">
        <v>105580.08</v>
      </c>
      <c r="C117" s="3">
        <v>78111.009999999995</v>
      </c>
      <c r="D117" s="3">
        <v>564092.62</v>
      </c>
      <c r="E117" s="8">
        <v>747783.71</v>
      </c>
    </row>
    <row r="118" spans="1:5" ht="15" customHeight="1" x14ac:dyDescent="0.25">
      <c r="A118" s="7" t="s">
        <v>168</v>
      </c>
      <c r="B118" s="3">
        <v>744196.46</v>
      </c>
      <c r="C118" s="3">
        <v>359957.67</v>
      </c>
      <c r="D118" s="3">
        <v>723989.3</v>
      </c>
      <c r="E118" s="8">
        <v>1828143.43</v>
      </c>
    </row>
    <row r="119" spans="1:5" ht="15" customHeight="1" x14ac:dyDescent="0.25">
      <c r="A119" s="7" t="s">
        <v>169</v>
      </c>
      <c r="B119" s="3">
        <v>423275.45</v>
      </c>
      <c r="C119" s="3">
        <v>392230.46</v>
      </c>
      <c r="D119" s="3">
        <v>443628.7</v>
      </c>
      <c r="E119" s="8">
        <v>1259134.6100000001</v>
      </c>
    </row>
    <row r="120" spans="1:5" ht="15" customHeight="1" x14ac:dyDescent="0.25">
      <c r="A120" s="7" t="s">
        <v>170</v>
      </c>
      <c r="B120" s="3">
        <v>183826.02</v>
      </c>
      <c r="C120" s="3">
        <v>127769.69</v>
      </c>
      <c r="D120" s="3">
        <v>336177.14</v>
      </c>
      <c r="E120" s="8">
        <v>647772.85</v>
      </c>
    </row>
    <row r="121" spans="1:5" ht="15" customHeight="1" x14ac:dyDescent="0.25">
      <c r="A121" s="7" t="s">
        <v>171</v>
      </c>
      <c r="B121" s="3">
        <v>377263.68</v>
      </c>
      <c r="C121" s="3">
        <v>352340.8</v>
      </c>
      <c r="D121" s="3">
        <v>490023.25</v>
      </c>
      <c r="E121" s="8">
        <v>1219627.73</v>
      </c>
    </row>
    <row r="122" spans="1:5" ht="15" customHeight="1" x14ac:dyDescent="0.25">
      <c r="A122" s="7" t="s">
        <v>172</v>
      </c>
      <c r="B122" s="3">
        <v>313710.34999999998</v>
      </c>
      <c r="C122" s="3">
        <v>156906.32999999999</v>
      </c>
      <c r="D122" s="3">
        <v>542047.65</v>
      </c>
      <c r="E122" s="8">
        <v>1012664.33</v>
      </c>
    </row>
    <row r="123" spans="1:5" ht="15" customHeight="1" x14ac:dyDescent="0.25">
      <c r="A123" s="7" t="s">
        <v>173</v>
      </c>
      <c r="B123" s="3">
        <v>448959.65</v>
      </c>
      <c r="C123" s="3">
        <v>235775.68</v>
      </c>
      <c r="D123" s="3">
        <v>782130.12</v>
      </c>
      <c r="E123" s="8">
        <v>1466865.45</v>
      </c>
    </row>
    <row r="124" spans="1:5" ht="15" customHeight="1" x14ac:dyDescent="0.25">
      <c r="A124" s="7" t="s">
        <v>174</v>
      </c>
      <c r="B124" s="3">
        <v>158691.9</v>
      </c>
      <c r="C124" s="3">
        <v>242103.84</v>
      </c>
      <c r="D124" s="3">
        <v>206460.51</v>
      </c>
      <c r="E124" s="8">
        <v>607256.25</v>
      </c>
    </row>
    <row r="125" spans="1:5" ht="15" customHeight="1" x14ac:dyDescent="0.25">
      <c r="A125" s="7" t="s">
        <v>175</v>
      </c>
      <c r="B125" s="3">
        <v>208603.28</v>
      </c>
      <c r="C125" s="3">
        <v>75230.83</v>
      </c>
      <c r="D125" s="3">
        <v>258413.71</v>
      </c>
      <c r="E125" s="8">
        <v>542247.81999999995</v>
      </c>
    </row>
    <row r="126" spans="1:5" ht="15" customHeight="1" x14ac:dyDescent="0.25">
      <c r="A126" s="7" t="s">
        <v>176</v>
      </c>
      <c r="B126" s="4" t="s">
        <v>177</v>
      </c>
      <c r="C126" s="4" t="s">
        <v>178</v>
      </c>
      <c r="D126" s="4" t="s">
        <v>179</v>
      </c>
      <c r="E126" s="11" t="s">
        <v>180</v>
      </c>
    </row>
    <row r="127" spans="1:5" ht="15" customHeight="1" x14ac:dyDescent="0.25">
      <c r="A127" s="7" t="s">
        <v>181</v>
      </c>
      <c r="B127" s="3">
        <v>296226.96999999997</v>
      </c>
      <c r="C127" s="3">
        <v>59021.58</v>
      </c>
      <c r="D127" s="3">
        <v>74880.399999999994</v>
      </c>
      <c r="E127" s="8">
        <v>430128.95</v>
      </c>
    </row>
    <row r="128" spans="1:5" ht="15" customHeight="1" x14ac:dyDescent="0.25">
      <c r="A128" s="7" t="s">
        <v>182</v>
      </c>
      <c r="B128" s="3">
        <v>432826.61</v>
      </c>
      <c r="C128" s="3">
        <v>426063.68</v>
      </c>
      <c r="D128" s="3">
        <v>625272.05000000005</v>
      </c>
      <c r="E128" s="8">
        <v>1484162.34</v>
      </c>
    </row>
    <row r="129" spans="1:5" ht="15" customHeight="1" x14ac:dyDescent="0.25">
      <c r="A129" s="7" t="s">
        <v>183</v>
      </c>
      <c r="B129" s="3">
        <v>11769.48</v>
      </c>
      <c r="C129" s="3">
        <v>4244.5200000000004</v>
      </c>
      <c r="D129" s="3">
        <v>14579.81</v>
      </c>
      <c r="E129" s="8">
        <v>30593.81</v>
      </c>
    </row>
    <row r="130" spans="1:5" ht="15" customHeight="1" x14ac:dyDescent="0.25">
      <c r="A130" s="7" t="s">
        <v>184</v>
      </c>
      <c r="B130" s="3">
        <v>2205318.48</v>
      </c>
      <c r="C130" s="3">
        <v>1159248.2</v>
      </c>
      <c r="D130" s="3">
        <v>2276447.5299999998</v>
      </c>
      <c r="E130" s="8">
        <v>5641014.21</v>
      </c>
    </row>
    <row r="131" spans="1:5" ht="15" customHeight="1" x14ac:dyDescent="0.25">
      <c r="A131" s="7" t="s">
        <v>185</v>
      </c>
      <c r="B131" s="3">
        <v>1037994.44</v>
      </c>
      <c r="C131" s="3">
        <v>948217.79</v>
      </c>
      <c r="D131" s="3">
        <v>1465285.72</v>
      </c>
      <c r="E131" s="8">
        <v>3451497.95</v>
      </c>
    </row>
    <row r="132" spans="1:5" ht="15" customHeight="1" x14ac:dyDescent="0.25">
      <c r="A132" s="7" t="s">
        <v>186</v>
      </c>
      <c r="B132" s="3">
        <v>10959.06</v>
      </c>
      <c r="C132" s="3">
        <v>3318.12</v>
      </c>
      <c r="D132" s="3">
        <v>13034.4</v>
      </c>
      <c r="E132" s="8">
        <v>27311.58</v>
      </c>
    </row>
    <row r="133" spans="1:5" ht="15" customHeight="1" x14ac:dyDescent="0.25">
      <c r="A133" s="7" t="s">
        <v>187</v>
      </c>
      <c r="B133" s="3">
        <v>572240.9</v>
      </c>
      <c r="C133" s="3">
        <v>320051.78999999998</v>
      </c>
      <c r="D133" s="3">
        <v>708160.7</v>
      </c>
      <c r="E133" s="8">
        <v>1600453.39</v>
      </c>
    </row>
    <row r="134" spans="1:5" ht="15" customHeight="1" x14ac:dyDescent="0.25">
      <c r="A134" s="7" t="s">
        <v>188</v>
      </c>
      <c r="B134" s="3">
        <v>1058984.8400000001</v>
      </c>
      <c r="C134" s="3">
        <v>862250.39</v>
      </c>
      <c r="D134" s="3">
        <v>1141348.54</v>
      </c>
      <c r="E134" s="8">
        <v>3062583.77</v>
      </c>
    </row>
    <row r="135" spans="1:5" ht="15" customHeight="1" x14ac:dyDescent="0.25">
      <c r="A135" s="7" t="s">
        <v>189</v>
      </c>
      <c r="B135" s="3">
        <v>8620.32</v>
      </c>
      <c r="C135" s="3">
        <v>3108.8</v>
      </c>
      <c r="D135" s="3">
        <v>10678.62</v>
      </c>
      <c r="E135" s="8">
        <v>22407.74</v>
      </c>
    </row>
    <row r="136" spans="1:5" ht="15" customHeight="1" x14ac:dyDescent="0.25">
      <c r="A136" s="7" t="s">
        <v>190</v>
      </c>
      <c r="B136" s="3">
        <v>14949.48</v>
      </c>
      <c r="C136" s="3">
        <v>5391.42</v>
      </c>
      <c r="D136" s="3">
        <v>18519.259999999998</v>
      </c>
      <c r="E136" s="8">
        <v>38860.160000000003</v>
      </c>
    </row>
    <row r="137" spans="1:5" ht="15" customHeight="1" x14ac:dyDescent="0.25">
      <c r="A137" s="7" t="s">
        <v>191</v>
      </c>
      <c r="B137" s="3">
        <v>1307830.24</v>
      </c>
      <c r="C137" s="3">
        <v>1002457.02</v>
      </c>
      <c r="D137" s="3">
        <v>1446931.07</v>
      </c>
      <c r="E137" s="8">
        <v>3757218.33</v>
      </c>
    </row>
    <row r="138" spans="1:5" ht="15" customHeight="1" x14ac:dyDescent="0.25">
      <c r="A138" s="7" t="s">
        <v>192</v>
      </c>
      <c r="B138" s="3">
        <v>849596.04</v>
      </c>
      <c r="C138" s="3">
        <v>593961.34</v>
      </c>
      <c r="D138" s="3">
        <v>803072.49</v>
      </c>
      <c r="E138" s="8">
        <v>2246629.87</v>
      </c>
    </row>
    <row r="139" spans="1:5" ht="15" customHeight="1" x14ac:dyDescent="0.25">
      <c r="A139" s="7" t="s">
        <v>193</v>
      </c>
      <c r="B139" s="3">
        <v>751534.06</v>
      </c>
      <c r="C139" s="3">
        <v>751001.48</v>
      </c>
      <c r="D139" s="3">
        <v>1464401.04</v>
      </c>
      <c r="E139" s="8">
        <v>2966936.58</v>
      </c>
    </row>
    <row r="140" spans="1:5" ht="15" customHeight="1" x14ac:dyDescent="0.25">
      <c r="A140" s="7" t="s">
        <v>194</v>
      </c>
      <c r="B140" s="3">
        <v>7343.84</v>
      </c>
      <c r="C140" s="4" t="s">
        <v>195</v>
      </c>
      <c r="D140" s="3">
        <v>11252.7</v>
      </c>
      <c r="E140" s="8">
        <v>16410.62</v>
      </c>
    </row>
    <row r="141" spans="1:5" ht="15" customHeight="1" x14ac:dyDescent="0.25">
      <c r="A141" s="7" t="s">
        <v>196</v>
      </c>
      <c r="B141" s="3">
        <v>2540</v>
      </c>
      <c r="C141" s="5"/>
      <c r="D141" s="5"/>
      <c r="E141" s="8">
        <v>2540</v>
      </c>
    </row>
    <row r="142" spans="1:5" ht="15" customHeight="1" x14ac:dyDescent="0.25">
      <c r="A142" s="7" t="s">
        <v>197</v>
      </c>
      <c r="B142" s="4" t="s">
        <v>198</v>
      </c>
      <c r="C142" s="3">
        <v>18957.23</v>
      </c>
      <c r="D142" s="4" t="s">
        <v>199</v>
      </c>
      <c r="E142" s="8">
        <v>1139.5899999999999</v>
      </c>
    </row>
    <row r="143" spans="1:5" ht="15" customHeight="1" x14ac:dyDescent="0.25">
      <c r="A143" s="7" t="s">
        <v>200</v>
      </c>
      <c r="B143" s="3">
        <v>662154.4</v>
      </c>
      <c r="C143" s="3">
        <v>1286825.03</v>
      </c>
      <c r="D143" s="3">
        <v>1207820.74</v>
      </c>
      <c r="E143" s="8">
        <v>3156800.17</v>
      </c>
    </row>
    <row r="144" spans="1:5" ht="15" customHeight="1" x14ac:dyDescent="0.25">
      <c r="A144" s="7" t="s">
        <v>201</v>
      </c>
      <c r="B144" s="3">
        <v>328477.24</v>
      </c>
      <c r="C144" s="3">
        <v>155387.32</v>
      </c>
      <c r="D144" s="3">
        <v>282480.32</v>
      </c>
      <c r="E144" s="8">
        <v>766344.88</v>
      </c>
    </row>
    <row r="145" spans="1:5" ht="15" customHeight="1" x14ac:dyDescent="0.25">
      <c r="A145" s="7" t="s">
        <v>202</v>
      </c>
      <c r="B145" s="3">
        <v>42095.22</v>
      </c>
      <c r="C145" s="3">
        <v>19964.62</v>
      </c>
      <c r="D145" s="3">
        <v>36203.129999999997</v>
      </c>
      <c r="E145" s="8">
        <v>98262.97</v>
      </c>
    </row>
    <row r="146" spans="1:5" ht="15" customHeight="1" x14ac:dyDescent="0.25">
      <c r="A146" s="7" t="s">
        <v>203</v>
      </c>
      <c r="B146" s="3">
        <v>25440.55</v>
      </c>
      <c r="C146" s="3">
        <v>11947.34</v>
      </c>
      <c r="D146" s="3">
        <v>21873.75</v>
      </c>
      <c r="E146" s="8">
        <v>59261.64</v>
      </c>
    </row>
    <row r="147" spans="1:5" ht="15" customHeight="1" x14ac:dyDescent="0.25">
      <c r="A147" s="7" t="s">
        <v>204</v>
      </c>
      <c r="B147" s="3">
        <v>130121.65</v>
      </c>
      <c r="C147" s="3">
        <v>60870.26</v>
      </c>
      <c r="D147" s="3">
        <v>111866.57</v>
      </c>
      <c r="E147" s="8">
        <v>302858.48</v>
      </c>
    </row>
    <row r="148" spans="1:5" ht="15" customHeight="1" x14ac:dyDescent="0.25">
      <c r="A148" s="7" t="s">
        <v>205</v>
      </c>
      <c r="B148" s="3">
        <v>109777.5</v>
      </c>
      <c r="C148" s="3">
        <v>120666.93</v>
      </c>
      <c r="D148" s="3">
        <v>211375.17</v>
      </c>
      <c r="E148" s="8">
        <v>441819.6</v>
      </c>
    </row>
    <row r="149" spans="1:5" ht="15" customHeight="1" x14ac:dyDescent="0.25">
      <c r="A149" s="7" t="s">
        <v>206</v>
      </c>
      <c r="B149" s="3">
        <v>7207.09</v>
      </c>
      <c r="C149" s="3">
        <v>416.53</v>
      </c>
      <c r="D149" s="3">
        <v>5970.94</v>
      </c>
      <c r="E149" s="8">
        <v>13594.56</v>
      </c>
    </row>
    <row r="150" spans="1:5" ht="15" customHeight="1" x14ac:dyDescent="0.25">
      <c r="A150" s="7" t="s">
        <v>207</v>
      </c>
      <c r="B150" s="3">
        <v>45110.07</v>
      </c>
      <c r="C150" s="3">
        <v>144880.95999999999</v>
      </c>
      <c r="D150" s="3">
        <v>235779.31</v>
      </c>
      <c r="E150" s="8">
        <v>425770.34</v>
      </c>
    </row>
    <row r="151" spans="1:5" ht="15" customHeight="1" x14ac:dyDescent="0.25">
      <c r="A151" s="7" t="s">
        <v>208</v>
      </c>
      <c r="B151" s="3">
        <v>197057.5</v>
      </c>
      <c r="C151" s="3">
        <v>7388.55</v>
      </c>
      <c r="D151" s="3">
        <v>163258.9</v>
      </c>
      <c r="E151" s="8">
        <v>367704.95</v>
      </c>
    </row>
    <row r="152" spans="1:5" ht="22.5" customHeight="1" x14ac:dyDescent="0.25">
      <c r="A152" s="7" t="s">
        <v>209</v>
      </c>
      <c r="B152" s="4" t="s">
        <v>210</v>
      </c>
      <c r="C152" s="4" t="s">
        <v>211</v>
      </c>
      <c r="D152" s="4" t="s">
        <v>212</v>
      </c>
      <c r="E152" s="11" t="s">
        <v>213</v>
      </c>
    </row>
    <row r="153" spans="1:5" ht="15" customHeight="1" x14ac:dyDescent="0.25">
      <c r="A153" s="7" t="s">
        <v>214</v>
      </c>
      <c r="B153" s="3">
        <v>544778.31000000006</v>
      </c>
      <c r="C153" s="4" t="s">
        <v>215</v>
      </c>
      <c r="D153" s="3">
        <v>224948.33</v>
      </c>
      <c r="E153" s="8">
        <v>769226.51</v>
      </c>
    </row>
    <row r="154" spans="1:5" ht="15" customHeight="1" x14ac:dyDescent="0.25">
      <c r="A154" s="7" t="s">
        <v>216</v>
      </c>
      <c r="B154" s="3">
        <v>787111.22</v>
      </c>
      <c r="C154" s="4" t="s">
        <v>217</v>
      </c>
      <c r="D154" s="3">
        <v>325011.55</v>
      </c>
      <c r="E154" s="8">
        <v>1111400.17</v>
      </c>
    </row>
    <row r="155" spans="1:5" ht="15" customHeight="1" x14ac:dyDescent="0.25">
      <c r="A155" s="7" t="s">
        <v>218</v>
      </c>
      <c r="B155" s="3">
        <v>39996.949999999997</v>
      </c>
      <c r="C155" s="3">
        <v>432245.03</v>
      </c>
      <c r="D155" s="3">
        <v>16515.490000000002</v>
      </c>
      <c r="E155" s="8">
        <v>488757.47</v>
      </c>
    </row>
    <row r="156" spans="1:5" ht="15" customHeight="1" x14ac:dyDescent="0.25">
      <c r="A156" s="7" t="s">
        <v>219</v>
      </c>
      <c r="B156" s="3">
        <v>128716.76</v>
      </c>
      <c r="C156" s="4" t="s">
        <v>220</v>
      </c>
      <c r="D156" s="3">
        <v>53149.35</v>
      </c>
      <c r="E156" s="8">
        <v>181747.98</v>
      </c>
    </row>
    <row r="157" spans="1:5" ht="15" customHeight="1" x14ac:dyDescent="0.25">
      <c r="A157" s="7" t="s">
        <v>222</v>
      </c>
      <c r="B157" s="3">
        <v>1972220.49</v>
      </c>
      <c r="C157" s="3">
        <v>946959.67</v>
      </c>
      <c r="D157" s="3">
        <v>1469631.37</v>
      </c>
      <c r="E157" s="8">
        <v>4388811.53</v>
      </c>
    </row>
    <row r="158" spans="1:5" ht="15" customHeight="1" x14ac:dyDescent="0.25">
      <c r="A158" s="7" t="s">
        <v>223</v>
      </c>
      <c r="B158" s="3">
        <v>324179.39</v>
      </c>
      <c r="C158" s="3">
        <v>118835.12</v>
      </c>
      <c r="D158" s="3">
        <v>266231.25</v>
      </c>
      <c r="E158" s="8">
        <v>709245.76</v>
      </c>
    </row>
    <row r="159" spans="1:5" ht="15" customHeight="1" x14ac:dyDescent="0.25">
      <c r="A159" s="7" t="s">
        <v>224</v>
      </c>
      <c r="B159" s="4" t="s">
        <v>225</v>
      </c>
      <c r="C159" s="3">
        <v>154831.79</v>
      </c>
      <c r="D159" s="4" t="s">
        <v>226</v>
      </c>
      <c r="E159" s="11" t="s">
        <v>227</v>
      </c>
    </row>
    <row r="160" spans="1:5" ht="15" customHeight="1" x14ac:dyDescent="0.25">
      <c r="A160" s="7" t="s">
        <v>228</v>
      </c>
      <c r="B160" s="4" t="s">
        <v>229</v>
      </c>
      <c r="C160" s="3">
        <v>37467.49</v>
      </c>
      <c r="D160" s="3">
        <v>45555.839999999997</v>
      </c>
      <c r="E160" s="8">
        <v>67710.13</v>
      </c>
    </row>
    <row r="161" spans="1:5" ht="15" customHeight="1" x14ac:dyDescent="0.25">
      <c r="A161" s="7" t="s">
        <v>230</v>
      </c>
      <c r="B161" s="3">
        <v>54782.36</v>
      </c>
      <c r="C161" s="3">
        <v>164.34</v>
      </c>
      <c r="D161" s="3">
        <v>171591.18</v>
      </c>
      <c r="E161" s="8">
        <v>226537.88</v>
      </c>
    </row>
    <row r="162" spans="1:5" ht="15" customHeight="1" x14ac:dyDescent="0.25">
      <c r="A162" s="7" t="s">
        <v>231</v>
      </c>
      <c r="B162" s="3">
        <v>22187.599999999999</v>
      </c>
      <c r="C162" s="3">
        <v>66.58</v>
      </c>
      <c r="D162" s="3">
        <v>69496.87</v>
      </c>
      <c r="E162" s="8">
        <v>91751.05</v>
      </c>
    </row>
    <row r="163" spans="1:5" ht="15" customHeight="1" x14ac:dyDescent="0.25">
      <c r="A163" s="7" t="s">
        <v>232</v>
      </c>
      <c r="B163" s="3">
        <v>4101.4399999999996</v>
      </c>
      <c r="C163" s="3">
        <v>11.78</v>
      </c>
      <c r="D163" s="3">
        <v>11224.8</v>
      </c>
      <c r="E163" s="8">
        <v>15338.02</v>
      </c>
    </row>
    <row r="164" spans="1:5" ht="15" customHeight="1" x14ac:dyDescent="0.25">
      <c r="A164" s="7" t="s">
        <v>233</v>
      </c>
      <c r="B164" s="3">
        <v>90845.05</v>
      </c>
      <c r="C164" s="3">
        <v>81085.38</v>
      </c>
      <c r="D164" s="3">
        <v>126624.09</v>
      </c>
      <c r="E164" s="8">
        <v>298554.52</v>
      </c>
    </row>
    <row r="165" spans="1:5" ht="15" customHeight="1" x14ac:dyDescent="0.25">
      <c r="A165" s="7" t="s">
        <v>234</v>
      </c>
      <c r="B165" s="3">
        <v>29812.79</v>
      </c>
      <c r="C165" s="3">
        <v>14518.99</v>
      </c>
      <c r="D165" s="3">
        <v>29662.26</v>
      </c>
      <c r="E165" s="8">
        <v>73994.039999999994</v>
      </c>
    </row>
    <row r="166" spans="1:5" ht="15" customHeight="1" x14ac:dyDescent="0.25">
      <c r="A166" s="7" t="s">
        <v>235</v>
      </c>
      <c r="B166" s="3">
        <v>27571.15</v>
      </c>
      <c r="C166" s="3">
        <v>14710.76</v>
      </c>
      <c r="D166" s="3">
        <v>30054.12</v>
      </c>
      <c r="E166" s="8">
        <v>72336.03</v>
      </c>
    </row>
    <row r="167" spans="1:5" ht="15" customHeight="1" x14ac:dyDescent="0.25">
      <c r="A167" s="7" t="s">
        <v>236</v>
      </c>
      <c r="B167" s="3">
        <v>27661.22</v>
      </c>
      <c r="C167" s="3">
        <v>14977.89</v>
      </c>
      <c r="D167" s="3">
        <v>32580.43</v>
      </c>
      <c r="E167" s="8">
        <v>75219.539999999994</v>
      </c>
    </row>
    <row r="168" spans="1:5" ht="15" customHeight="1" x14ac:dyDescent="0.25">
      <c r="A168" s="7" t="s">
        <v>237</v>
      </c>
      <c r="B168" s="3">
        <v>67864.149999999994</v>
      </c>
      <c r="C168" s="3">
        <v>41924.97</v>
      </c>
      <c r="D168" s="3">
        <v>85652.62</v>
      </c>
      <c r="E168" s="8">
        <v>195441.74</v>
      </c>
    </row>
    <row r="169" spans="1:5" ht="15" customHeight="1" x14ac:dyDescent="0.25">
      <c r="A169" s="7" t="s">
        <v>238</v>
      </c>
      <c r="B169" s="3">
        <v>420.38</v>
      </c>
      <c r="C169" s="3">
        <v>1249.06</v>
      </c>
      <c r="D169" s="3">
        <v>2551.8000000000002</v>
      </c>
      <c r="E169" s="8">
        <v>4221.24</v>
      </c>
    </row>
    <row r="170" spans="1:5" ht="15" customHeight="1" x14ac:dyDescent="0.25">
      <c r="A170" s="7" t="s">
        <v>239</v>
      </c>
      <c r="B170" s="3">
        <v>373.53</v>
      </c>
      <c r="C170" s="3">
        <v>1109.68</v>
      </c>
      <c r="D170" s="3">
        <v>2267.1</v>
      </c>
      <c r="E170" s="8">
        <v>3750.31</v>
      </c>
    </row>
    <row r="171" spans="1:5" ht="15" customHeight="1" x14ac:dyDescent="0.25">
      <c r="A171" s="7" t="s">
        <v>241</v>
      </c>
      <c r="B171" s="4" t="s">
        <v>242</v>
      </c>
      <c r="C171" s="4" t="s">
        <v>243</v>
      </c>
      <c r="D171" s="4" t="s">
        <v>244</v>
      </c>
      <c r="E171" s="11" t="s">
        <v>245</v>
      </c>
    </row>
    <row r="172" spans="1:5" ht="15" customHeight="1" x14ac:dyDescent="0.25">
      <c r="A172" s="7" t="s">
        <v>246</v>
      </c>
      <c r="B172" s="3">
        <v>18361.04</v>
      </c>
      <c r="C172" s="3">
        <v>8923.82</v>
      </c>
      <c r="D172" s="3">
        <v>39582.06</v>
      </c>
      <c r="E172" s="8">
        <v>66866.92</v>
      </c>
    </row>
    <row r="173" spans="1:5" ht="15" customHeight="1" x14ac:dyDescent="0.25">
      <c r="A173" s="7" t="s">
        <v>247</v>
      </c>
      <c r="B173" s="3">
        <v>19326.36</v>
      </c>
      <c r="C173" s="3">
        <v>7689.45</v>
      </c>
      <c r="D173" s="3">
        <v>38340.67</v>
      </c>
      <c r="E173" s="8">
        <v>65356.480000000003</v>
      </c>
    </row>
    <row r="174" spans="1:5" ht="15" customHeight="1" x14ac:dyDescent="0.25">
      <c r="A174" s="7" t="s">
        <v>248</v>
      </c>
      <c r="B174" s="3">
        <v>121305</v>
      </c>
      <c r="C174" s="3">
        <v>52399.23</v>
      </c>
      <c r="D174" s="3">
        <v>263617.65999999997</v>
      </c>
      <c r="E174" s="8">
        <v>437321.89</v>
      </c>
    </row>
    <row r="175" spans="1:5" ht="15" customHeight="1" x14ac:dyDescent="0.25">
      <c r="A175" s="7" t="s">
        <v>249</v>
      </c>
      <c r="B175" s="3">
        <v>84650.07</v>
      </c>
      <c r="C175" s="3">
        <v>126311.64</v>
      </c>
      <c r="D175" s="3">
        <v>134165.22</v>
      </c>
      <c r="E175" s="8">
        <v>345126.93</v>
      </c>
    </row>
    <row r="176" spans="1:5" ht="15" customHeight="1" x14ac:dyDescent="0.25">
      <c r="A176" s="7" t="s">
        <v>250</v>
      </c>
      <c r="B176" s="3">
        <v>90962.4</v>
      </c>
      <c r="C176" s="3">
        <v>101567.85</v>
      </c>
      <c r="D176" s="3">
        <v>143042.92000000001</v>
      </c>
      <c r="E176" s="8">
        <v>335573.17</v>
      </c>
    </row>
    <row r="177" spans="1:5" ht="15" customHeight="1" x14ac:dyDescent="0.25">
      <c r="A177" s="7" t="s">
        <v>251</v>
      </c>
      <c r="B177" s="3">
        <v>185889.46</v>
      </c>
      <c r="C177" s="3">
        <v>216343.29</v>
      </c>
      <c r="D177" s="3">
        <v>290525.8</v>
      </c>
      <c r="E177" s="8">
        <v>692758.55</v>
      </c>
    </row>
    <row r="178" spans="1:5" ht="15" customHeight="1" x14ac:dyDescent="0.25">
      <c r="A178" s="7" t="s">
        <v>252</v>
      </c>
      <c r="B178" s="3">
        <v>7338.99</v>
      </c>
      <c r="C178" s="3">
        <v>8154.74</v>
      </c>
      <c r="D178" s="3">
        <v>8940.6200000000008</v>
      </c>
      <c r="E178" s="8">
        <v>24434.35</v>
      </c>
    </row>
    <row r="179" spans="1:5" ht="15" customHeight="1" x14ac:dyDescent="0.25">
      <c r="A179" s="7" t="s">
        <v>253</v>
      </c>
      <c r="B179" s="3">
        <v>4026.84</v>
      </c>
      <c r="C179" s="3">
        <v>6148.71</v>
      </c>
      <c r="D179" s="3">
        <v>8253.64</v>
      </c>
      <c r="E179" s="8">
        <v>18429.189999999999</v>
      </c>
    </row>
    <row r="180" spans="1:5" ht="15" customHeight="1" x14ac:dyDescent="0.25">
      <c r="A180" s="7" t="s">
        <v>254</v>
      </c>
      <c r="B180" s="3">
        <v>22863.18</v>
      </c>
      <c r="C180" s="3">
        <v>35303.910000000003</v>
      </c>
      <c r="D180" s="3">
        <v>36770.93</v>
      </c>
      <c r="E180" s="8">
        <v>94938.02</v>
      </c>
    </row>
    <row r="181" spans="1:5" ht="15" customHeight="1" x14ac:dyDescent="0.25">
      <c r="A181" s="7" t="s">
        <v>255</v>
      </c>
      <c r="B181" s="3">
        <v>2474.3000000000002</v>
      </c>
      <c r="C181" s="3">
        <v>3820.11</v>
      </c>
      <c r="D181" s="3">
        <v>3879.23</v>
      </c>
      <c r="E181" s="8">
        <v>10173.64</v>
      </c>
    </row>
    <row r="182" spans="1:5" ht="15" customHeight="1" x14ac:dyDescent="0.25">
      <c r="A182" s="7" t="s">
        <v>256</v>
      </c>
      <c r="B182" s="3">
        <v>10634.06</v>
      </c>
      <c r="C182" s="3">
        <v>16419.39</v>
      </c>
      <c r="D182" s="3">
        <v>17266.72</v>
      </c>
      <c r="E182" s="8">
        <v>44320.17</v>
      </c>
    </row>
    <row r="183" spans="1:5" ht="15" customHeight="1" x14ac:dyDescent="0.25">
      <c r="A183" s="7" t="s">
        <v>257</v>
      </c>
      <c r="B183" s="3">
        <v>20720.87</v>
      </c>
      <c r="C183" s="4" t="s">
        <v>258</v>
      </c>
      <c r="D183" s="3">
        <v>32484.639999999999</v>
      </c>
      <c r="E183" s="11" t="s">
        <v>259</v>
      </c>
    </row>
    <row r="184" spans="1:5" ht="15" customHeight="1" x14ac:dyDescent="0.25">
      <c r="A184" s="7" t="s">
        <v>260</v>
      </c>
      <c r="B184" s="3">
        <v>1171.73</v>
      </c>
      <c r="C184" s="3">
        <v>1805.52</v>
      </c>
      <c r="D184" s="3">
        <v>1838.57</v>
      </c>
      <c r="E184" s="8">
        <v>4815.82</v>
      </c>
    </row>
    <row r="185" spans="1:5" ht="15" customHeight="1" x14ac:dyDescent="0.25">
      <c r="A185" s="7" t="s">
        <v>261</v>
      </c>
      <c r="B185" s="3">
        <v>4043.15</v>
      </c>
      <c r="C185" s="4" t="s">
        <v>262</v>
      </c>
      <c r="D185" s="3">
        <v>6338.97</v>
      </c>
      <c r="E185" s="11" t="s">
        <v>263</v>
      </c>
    </row>
    <row r="186" spans="1:5" ht="15" customHeight="1" x14ac:dyDescent="0.25">
      <c r="A186" s="7" t="s">
        <v>264</v>
      </c>
      <c r="B186" s="3">
        <v>808.44</v>
      </c>
      <c r="C186" s="3">
        <v>1248.3599999999999</v>
      </c>
      <c r="D186" s="3">
        <v>1267.47</v>
      </c>
      <c r="E186" s="8">
        <v>3324.27</v>
      </c>
    </row>
    <row r="187" spans="1:5" ht="15" customHeight="1" x14ac:dyDescent="0.25">
      <c r="A187" s="7" t="s">
        <v>265</v>
      </c>
      <c r="B187" s="3">
        <v>26838.27</v>
      </c>
      <c r="C187" s="3">
        <v>36500.339999999997</v>
      </c>
      <c r="D187" s="3">
        <v>37989.22</v>
      </c>
      <c r="E187" s="8">
        <v>101327.83</v>
      </c>
    </row>
    <row r="188" spans="1:5" ht="15" customHeight="1" x14ac:dyDescent="0.25">
      <c r="A188" s="7" t="s">
        <v>266</v>
      </c>
      <c r="B188" s="3">
        <v>304219.31</v>
      </c>
      <c r="C188" s="4" t="s">
        <v>267</v>
      </c>
      <c r="D188" s="3">
        <v>492156.32</v>
      </c>
      <c r="E188" s="8">
        <v>542524.52</v>
      </c>
    </row>
    <row r="189" spans="1:5" ht="15" customHeight="1" x14ac:dyDescent="0.25">
      <c r="A189" s="7" t="s">
        <v>268</v>
      </c>
      <c r="B189" s="3">
        <v>6238.61</v>
      </c>
      <c r="C189" s="3">
        <v>9636.31</v>
      </c>
      <c r="D189" s="3">
        <v>9779.02</v>
      </c>
      <c r="E189" s="8">
        <v>25653.94</v>
      </c>
    </row>
    <row r="190" spans="1:5" ht="15" customHeight="1" x14ac:dyDescent="0.25">
      <c r="A190" s="7" t="s">
        <v>269</v>
      </c>
      <c r="B190" s="3">
        <v>25530.95</v>
      </c>
      <c r="C190" s="3">
        <v>35459.360000000001</v>
      </c>
      <c r="D190" s="3">
        <v>36023.07</v>
      </c>
      <c r="E190" s="8">
        <v>97013.38</v>
      </c>
    </row>
    <row r="191" spans="1:5" ht="15" customHeight="1" x14ac:dyDescent="0.25">
      <c r="A191" s="7" t="s">
        <v>270</v>
      </c>
      <c r="B191" s="3">
        <v>64068.75</v>
      </c>
      <c r="C191" s="3">
        <v>27597.75</v>
      </c>
      <c r="D191" s="3">
        <v>52061.02</v>
      </c>
      <c r="E191" s="8">
        <v>143727.51999999999</v>
      </c>
    </row>
    <row r="192" spans="1:5" ht="15" customHeight="1" x14ac:dyDescent="0.25">
      <c r="A192" s="7" t="s">
        <v>271</v>
      </c>
      <c r="B192" s="3">
        <v>644096.34</v>
      </c>
      <c r="C192" s="3">
        <v>153489.65</v>
      </c>
      <c r="D192" s="3">
        <v>290396.71000000002</v>
      </c>
      <c r="E192" s="8">
        <v>1087982.7</v>
      </c>
    </row>
    <row r="193" spans="1:5" ht="15" customHeight="1" x14ac:dyDescent="0.25">
      <c r="A193" s="7" t="s">
        <v>272</v>
      </c>
      <c r="B193" s="3">
        <v>386227.77</v>
      </c>
      <c r="C193" s="3">
        <v>245891.54</v>
      </c>
      <c r="D193" s="3">
        <v>212991.31</v>
      </c>
      <c r="E193" s="8">
        <v>845110.62</v>
      </c>
    </row>
    <row r="194" spans="1:5" ht="15" customHeight="1" x14ac:dyDescent="0.25">
      <c r="A194" s="7" t="s">
        <v>273</v>
      </c>
      <c r="B194" s="3">
        <v>320778.15000000002</v>
      </c>
      <c r="C194" s="3">
        <v>439555.53</v>
      </c>
      <c r="D194" s="3">
        <v>540761.5</v>
      </c>
      <c r="E194" s="8">
        <v>1301095.18</v>
      </c>
    </row>
    <row r="195" spans="1:5" ht="15" customHeight="1" x14ac:dyDescent="0.25">
      <c r="A195" s="7" t="s">
        <v>274</v>
      </c>
      <c r="B195" s="3">
        <v>75218.009999999995</v>
      </c>
      <c r="C195" s="3">
        <v>23157.15</v>
      </c>
      <c r="D195" s="3">
        <v>142408.74</v>
      </c>
      <c r="E195" s="8">
        <v>240783.9</v>
      </c>
    </row>
    <row r="196" spans="1:5" ht="15" customHeight="1" x14ac:dyDescent="0.25">
      <c r="A196" s="7" t="s">
        <v>275</v>
      </c>
      <c r="B196" s="3">
        <v>595225.55000000005</v>
      </c>
      <c r="C196" s="3">
        <v>809644.18</v>
      </c>
      <c r="D196" s="3">
        <v>1009428.65</v>
      </c>
      <c r="E196" s="8">
        <v>2414298.38</v>
      </c>
    </row>
    <row r="197" spans="1:5" ht="15" customHeight="1" x14ac:dyDescent="0.25">
      <c r="A197" s="7" t="s">
        <v>276</v>
      </c>
      <c r="B197" s="3">
        <v>160815.85</v>
      </c>
      <c r="C197" s="3">
        <v>57370.94</v>
      </c>
      <c r="D197" s="3">
        <v>243447.82</v>
      </c>
      <c r="E197" s="8">
        <v>461634.61</v>
      </c>
    </row>
    <row r="198" spans="1:5" ht="15" customHeight="1" x14ac:dyDescent="0.25">
      <c r="A198" s="7" t="s">
        <v>277</v>
      </c>
      <c r="B198" s="3">
        <v>17061.84</v>
      </c>
      <c r="C198" s="3">
        <v>4509.7</v>
      </c>
      <c r="D198" s="3">
        <v>8980.15</v>
      </c>
      <c r="E198" s="8">
        <v>30551.69</v>
      </c>
    </row>
    <row r="199" spans="1:5" ht="15" customHeight="1" x14ac:dyDescent="0.25">
      <c r="A199" s="7" t="s">
        <v>278</v>
      </c>
      <c r="B199" s="3">
        <v>16458.509999999998</v>
      </c>
      <c r="C199" s="3">
        <v>10729.99</v>
      </c>
      <c r="D199" s="3">
        <v>13416.31</v>
      </c>
      <c r="E199" s="8">
        <v>40604.81</v>
      </c>
    </row>
    <row r="200" spans="1:5" ht="15" customHeight="1" x14ac:dyDescent="0.25">
      <c r="A200" s="7" t="s">
        <v>279</v>
      </c>
      <c r="B200" s="3">
        <v>28454</v>
      </c>
      <c r="C200" s="3">
        <v>2310.37</v>
      </c>
      <c r="D200" s="3">
        <v>5062.32</v>
      </c>
      <c r="E200" s="8">
        <v>35826.69</v>
      </c>
    </row>
    <row r="201" spans="1:5" ht="15" customHeight="1" x14ac:dyDescent="0.25">
      <c r="A201" s="7" t="s">
        <v>280</v>
      </c>
      <c r="B201" s="3">
        <v>325844.74</v>
      </c>
      <c r="C201" s="3">
        <v>252638.12</v>
      </c>
      <c r="D201" s="3">
        <v>331933.96999999997</v>
      </c>
      <c r="E201" s="8">
        <v>910416.83</v>
      </c>
    </row>
    <row r="202" spans="1:5" ht="15" customHeight="1" x14ac:dyDescent="0.25">
      <c r="A202" s="7" t="s">
        <v>281</v>
      </c>
      <c r="B202" s="3">
        <v>665146.53</v>
      </c>
      <c r="C202" s="3">
        <v>82000</v>
      </c>
      <c r="D202" s="3">
        <v>1043956.62</v>
      </c>
      <c r="E202" s="8">
        <v>1791103.15</v>
      </c>
    </row>
    <row r="203" spans="1:5" ht="15" customHeight="1" x14ac:dyDescent="0.25">
      <c r="A203" s="7" t="s">
        <v>282</v>
      </c>
      <c r="B203" s="3">
        <v>413106.7</v>
      </c>
      <c r="C203" s="3">
        <v>591360.29</v>
      </c>
      <c r="D203" s="3">
        <v>844669.05</v>
      </c>
      <c r="E203" s="8">
        <v>1849136.04</v>
      </c>
    </row>
    <row r="204" spans="1:5" ht="15" customHeight="1" x14ac:dyDescent="0.25">
      <c r="A204" s="7" t="s">
        <v>283</v>
      </c>
      <c r="B204" s="3">
        <v>119103.92</v>
      </c>
      <c r="C204" s="4" t="s">
        <v>284</v>
      </c>
      <c r="D204" s="3">
        <v>106542.6</v>
      </c>
      <c r="E204" s="8">
        <v>145944.70000000001</v>
      </c>
    </row>
    <row r="205" spans="1:5" ht="15" customHeight="1" x14ac:dyDescent="0.25">
      <c r="A205" s="7" t="s">
        <v>285</v>
      </c>
      <c r="B205" s="3">
        <v>255767.64</v>
      </c>
      <c r="C205" s="3">
        <v>8744.1299999999992</v>
      </c>
      <c r="D205" s="3">
        <v>164816.54</v>
      </c>
      <c r="E205" s="8">
        <v>429328.31</v>
      </c>
    </row>
    <row r="206" spans="1:5" ht="15" customHeight="1" x14ac:dyDescent="0.25">
      <c r="A206" s="7" t="s">
        <v>286</v>
      </c>
      <c r="B206" s="3">
        <v>246757.61</v>
      </c>
      <c r="C206" s="3">
        <v>5457.92</v>
      </c>
      <c r="D206" s="3">
        <v>203613.21</v>
      </c>
      <c r="E206" s="8">
        <v>455828.74</v>
      </c>
    </row>
    <row r="207" spans="1:5" ht="15" customHeight="1" x14ac:dyDescent="0.25">
      <c r="A207" s="7" t="s">
        <v>287</v>
      </c>
      <c r="B207" s="3">
        <v>109966.6</v>
      </c>
      <c r="C207" s="3">
        <v>267.52</v>
      </c>
      <c r="D207" s="3">
        <v>104613.39</v>
      </c>
      <c r="E207" s="8">
        <v>214847.51</v>
      </c>
    </row>
    <row r="208" spans="1:5" ht="15" customHeight="1" x14ac:dyDescent="0.25">
      <c r="A208" s="7" t="s">
        <v>288</v>
      </c>
      <c r="B208" s="3">
        <v>138464.04999999999</v>
      </c>
      <c r="C208" s="5"/>
      <c r="D208" s="3">
        <v>99103.99</v>
      </c>
      <c r="E208" s="8">
        <v>237568.04</v>
      </c>
    </row>
    <row r="209" spans="1:5" ht="15" customHeight="1" x14ac:dyDescent="0.25">
      <c r="A209" s="7" t="s">
        <v>289</v>
      </c>
      <c r="B209" s="3">
        <v>58514.44</v>
      </c>
      <c r="C209" s="4" t="s">
        <v>290</v>
      </c>
      <c r="D209" s="3">
        <v>58600.639999999999</v>
      </c>
      <c r="E209" s="8">
        <v>59789.04</v>
      </c>
    </row>
    <row r="210" spans="1:5" ht="15" customHeight="1" x14ac:dyDescent="0.25">
      <c r="A210" s="7" t="s">
        <v>291</v>
      </c>
      <c r="B210" s="4" t="s">
        <v>292</v>
      </c>
      <c r="C210" s="3">
        <v>253740.63</v>
      </c>
      <c r="D210" s="5"/>
      <c r="E210" s="8">
        <v>253155.93</v>
      </c>
    </row>
    <row r="211" spans="1:5" ht="15" customHeight="1" x14ac:dyDescent="0.25">
      <c r="A211" s="7" t="s">
        <v>293</v>
      </c>
      <c r="B211" s="3">
        <v>5680.14</v>
      </c>
      <c r="C211" s="3">
        <v>5184.1899999999996</v>
      </c>
      <c r="D211" s="3">
        <v>7552.45</v>
      </c>
      <c r="E211" s="8">
        <v>18416.78</v>
      </c>
    </row>
    <row r="212" spans="1:5" ht="15" customHeight="1" x14ac:dyDescent="0.25">
      <c r="A212" s="7" t="s">
        <v>294</v>
      </c>
      <c r="B212" s="3">
        <v>0.54</v>
      </c>
      <c r="C212" s="3">
        <v>16.05</v>
      </c>
      <c r="D212" s="3">
        <v>1.91</v>
      </c>
      <c r="E212" s="8">
        <v>18.5</v>
      </c>
    </row>
    <row r="213" spans="1:5" ht="15" customHeight="1" x14ac:dyDescent="0.25">
      <c r="A213" s="7" t="s">
        <v>295</v>
      </c>
      <c r="B213" s="3">
        <v>35.46</v>
      </c>
      <c r="C213" s="3">
        <v>10084.030000000001</v>
      </c>
      <c r="D213" s="3">
        <v>32553.119999999999</v>
      </c>
      <c r="E213" s="8">
        <v>42672.61</v>
      </c>
    </row>
    <row r="214" spans="1:5" ht="15" customHeight="1" x14ac:dyDescent="0.25">
      <c r="A214" s="7" t="s">
        <v>296</v>
      </c>
      <c r="B214" s="3">
        <v>381097.09</v>
      </c>
      <c r="C214" s="3">
        <v>39389.53</v>
      </c>
      <c r="D214" s="3">
        <v>861880.05</v>
      </c>
      <c r="E214" s="8">
        <v>1282366.67</v>
      </c>
    </row>
    <row r="215" spans="1:5" ht="15" customHeight="1" x14ac:dyDescent="0.25">
      <c r="A215" s="7" t="s">
        <v>297</v>
      </c>
      <c r="B215" s="3">
        <v>19124.48</v>
      </c>
      <c r="C215" s="4" t="s">
        <v>298</v>
      </c>
      <c r="D215" s="3">
        <v>41647.599999999999</v>
      </c>
      <c r="E215" s="11" t="s">
        <v>299</v>
      </c>
    </row>
    <row r="216" spans="1:5" ht="15" customHeight="1" x14ac:dyDescent="0.25">
      <c r="A216" s="7" t="s">
        <v>300</v>
      </c>
      <c r="B216" s="3">
        <v>406850.8</v>
      </c>
      <c r="C216" s="4" t="s">
        <v>301</v>
      </c>
      <c r="D216" s="3">
        <v>353996.68</v>
      </c>
      <c r="E216" s="8">
        <v>742594.78</v>
      </c>
    </row>
    <row r="217" spans="1:5" ht="15" customHeight="1" x14ac:dyDescent="0.25">
      <c r="A217" s="7" t="s">
        <v>302</v>
      </c>
      <c r="B217" s="3">
        <v>55216.71</v>
      </c>
      <c r="C217" s="3">
        <v>23913.26</v>
      </c>
      <c r="D217" s="3">
        <v>55762.94</v>
      </c>
      <c r="E217" s="8">
        <v>134892.91</v>
      </c>
    </row>
    <row r="218" spans="1:5" ht="15" customHeight="1" x14ac:dyDescent="0.25">
      <c r="A218" s="7" t="s">
        <v>303</v>
      </c>
      <c r="B218" s="3">
        <v>484415.44</v>
      </c>
      <c r="C218" s="3">
        <v>402880.17</v>
      </c>
      <c r="D218" s="3">
        <v>727534.5</v>
      </c>
      <c r="E218" s="8">
        <v>1614830.11</v>
      </c>
    </row>
    <row r="219" spans="1:5" ht="15" customHeight="1" x14ac:dyDescent="0.25">
      <c r="A219" s="7" t="s">
        <v>304</v>
      </c>
      <c r="B219" s="3">
        <v>10340.84</v>
      </c>
      <c r="C219" s="3">
        <v>13437.73</v>
      </c>
      <c r="D219" s="3">
        <v>12925.54</v>
      </c>
      <c r="E219" s="8">
        <v>36704.11</v>
      </c>
    </row>
    <row r="220" spans="1:5" ht="15" customHeight="1" x14ac:dyDescent="0.25">
      <c r="A220" s="7" t="s">
        <v>305</v>
      </c>
      <c r="B220" s="3">
        <v>70085.89</v>
      </c>
      <c r="C220" s="3">
        <v>66850.19</v>
      </c>
      <c r="D220" s="3">
        <v>98790.24</v>
      </c>
      <c r="E220" s="8">
        <v>235726.32</v>
      </c>
    </row>
    <row r="221" spans="1:5" ht="15" customHeight="1" x14ac:dyDescent="0.25">
      <c r="A221" s="7" t="s">
        <v>306</v>
      </c>
      <c r="B221" s="3">
        <v>20862.21</v>
      </c>
      <c r="C221" s="3">
        <v>11980.45</v>
      </c>
      <c r="D221" s="3">
        <v>25084.49</v>
      </c>
      <c r="E221" s="8">
        <v>57927.15</v>
      </c>
    </row>
    <row r="222" spans="1:5" ht="15" customHeight="1" x14ac:dyDescent="0.25">
      <c r="A222" s="7" t="s">
        <v>307</v>
      </c>
      <c r="B222" s="3">
        <v>82.71</v>
      </c>
      <c r="C222" s="3">
        <v>3704.22</v>
      </c>
      <c r="D222" s="3">
        <v>327.83</v>
      </c>
      <c r="E222" s="8">
        <v>4114.76</v>
      </c>
    </row>
    <row r="223" spans="1:5" ht="15" customHeight="1" x14ac:dyDescent="0.25">
      <c r="A223" s="7" t="s">
        <v>308</v>
      </c>
      <c r="B223" s="3">
        <v>103546.61</v>
      </c>
      <c r="C223" s="3">
        <v>116946.8</v>
      </c>
      <c r="D223" s="3">
        <v>144601.71</v>
      </c>
      <c r="E223" s="8">
        <v>365095.12</v>
      </c>
    </row>
    <row r="224" spans="1:5" ht="15" customHeight="1" x14ac:dyDescent="0.25">
      <c r="A224" s="7" t="s">
        <v>309</v>
      </c>
      <c r="B224" s="3">
        <v>2.68</v>
      </c>
      <c r="C224" s="3">
        <v>89.44</v>
      </c>
      <c r="D224" s="3">
        <v>10.62</v>
      </c>
      <c r="E224" s="8">
        <v>102.74</v>
      </c>
    </row>
    <row r="225" spans="1:5" ht="15" customHeight="1" x14ac:dyDescent="0.25">
      <c r="A225" s="7" t="s">
        <v>310</v>
      </c>
      <c r="B225" s="3">
        <v>4.16</v>
      </c>
      <c r="C225" s="3">
        <v>2849.31</v>
      </c>
      <c r="D225" s="3">
        <v>393.72</v>
      </c>
      <c r="E225" s="8">
        <v>3247.19</v>
      </c>
    </row>
    <row r="226" spans="1:5" ht="15" customHeight="1" x14ac:dyDescent="0.25">
      <c r="A226" s="7" t="s">
        <v>311</v>
      </c>
      <c r="B226" s="3">
        <v>1.83</v>
      </c>
      <c r="C226" s="3">
        <v>2052.7600000000002</v>
      </c>
      <c r="D226" s="3">
        <v>172.6</v>
      </c>
      <c r="E226" s="8">
        <v>2227.19</v>
      </c>
    </row>
    <row r="227" spans="1:5" ht="15" customHeight="1" x14ac:dyDescent="0.25">
      <c r="A227" s="7" t="s">
        <v>312</v>
      </c>
      <c r="B227" s="3">
        <v>0.61</v>
      </c>
      <c r="C227" s="3">
        <v>1042.6300000000001</v>
      </c>
      <c r="D227" s="3">
        <v>2.37</v>
      </c>
      <c r="E227" s="8">
        <v>1045.6099999999999</v>
      </c>
    </row>
    <row r="228" spans="1:5" ht="15" customHeight="1" x14ac:dyDescent="0.25">
      <c r="A228" s="7" t="s">
        <v>313</v>
      </c>
      <c r="B228" s="3">
        <v>143680.42000000001</v>
      </c>
      <c r="C228" s="3">
        <v>83040.42</v>
      </c>
      <c r="D228" s="3">
        <v>196795.17</v>
      </c>
      <c r="E228" s="8">
        <v>423516.01</v>
      </c>
    </row>
    <row r="229" spans="1:5" ht="15" customHeight="1" x14ac:dyDescent="0.25">
      <c r="A229" s="7" t="s">
        <v>314</v>
      </c>
      <c r="B229" s="3">
        <v>14157.59</v>
      </c>
      <c r="C229" s="4" t="s">
        <v>315</v>
      </c>
      <c r="D229" s="3">
        <v>15630.9</v>
      </c>
      <c r="E229" s="8">
        <v>28971.22</v>
      </c>
    </row>
    <row r="230" spans="1:5" ht="15" customHeight="1" x14ac:dyDescent="0.25">
      <c r="A230" s="7" t="s">
        <v>316</v>
      </c>
      <c r="B230" s="3">
        <v>400087.89</v>
      </c>
      <c r="C230" s="4" t="s">
        <v>317</v>
      </c>
      <c r="D230" s="3">
        <v>442090.45</v>
      </c>
      <c r="E230" s="8">
        <v>591248.36</v>
      </c>
    </row>
    <row r="231" spans="1:5" ht="15" customHeight="1" x14ac:dyDescent="0.25">
      <c r="A231" s="7" t="s">
        <v>318</v>
      </c>
      <c r="B231" s="3">
        <v>1383.5</v>
      </c>
      <c r="C231" s="3">
        <v>66727.62</v>
      </c>
      <c r="D231" s="3">
        <v>8646.3799999999992</v>
      </c>
      <c r="E231" s="8">
        <v>76757.5</v>
      </c>
    </row>
    <row r="232" spans="1:5" ht="15" customHeight="1" x14ac:dyDescent="0.25">
      <c r="A232" s="7" t="s">
        <v>319</v>
      </c>
      <c r="B232" s="3">
        <v>14691.53</v>
      </c>
      <c r="C232" s="3">
        <v>9645.7000000000007</v>
      </c>
      <c r="D232" s="3">
        <v>20023.28</v>
      </c>
      <c r="E232" s="8">
        <v>44360.51</v>
      </c>
    </row>
    <row r="233" spans="1:5" ht="15" customHeight="1" x14ac:dyDescent="0.25">
      <c r="A233" s="7" t="s">
        <v>320</v>
      </c>
      <c r="B233" s="3">
        <v>404519.99</v>
      </c>
      <c r="C233" s="3">
        <v>173808.47</v>
      </c>
      <c r="D233" s="3">
        <v>450339.49</v>
      </c>
      <c r="E233" s="8">
        <v>1028667.95</v>
      </c>
    </row>
    <row r="234" spans="1:5" ht="15" customHeight="1" x14ac:dyDescent="0.25">
      <c r="A234" s="7" t="s">
        <v>321</v>
      </c>
      <c r="B234" s="3">
        <v>11636.06</v>
      </c>
      <c r="C234" s="3">
        <v>7313.88</v>
      </c>
      <c r="D234" s="3">
        <v>25547.02</v>
      </c>
      <c r="E234" s="8">
        <v>44496.959999999999</v>
      </c>
    </row>
    <row r="235" spans="1:5" ht="15" customHeight="1" x14ac:dyDescent="0.25">
      <c r="A235" s="7" t="s">
        <v>322</v>
      </c>
      <c r="B235" s="3">
        <v>4.0999999999999996</v>
      </c>
      <c r="C235" s="3">
        <v>2564.61</v>
      </c>
      <c r="D235" s="3">
        <v>16.21</v>
      </c>
      <c r="E235" s="8">
        <v>2584.92</v>
      </c>
    </row>
    <row r="236" spans="1:5" ht="15" customHeight="1" x14ac:dyDescent="0.25">
      <c r="A236" s="7" t="s">
        <v>323</v>
      </c>
      <c r="B236" s="3">
        <v>146991.04999999999</v>
      </c>
      <c r="C236" s="3">
        <v>68059.100000000006</v>
      </c>
      <c r="D236" s="3">
        <v>146456.15</v>
      </c>
      <c r="E236" s="8">
        <v>361506.3</v>
      </c>
    </row>
    <row r="237" spans="1:5" ht="15" customHeight="1" x14ac:dyDescent="0.25">
      <c r="A237" s="7" t="s">
        <v>324</v>
      </c>
      <c r="B237" s="3">
        <v>93.72</v>
      </c>
      <c r="C237" s="3">
        <v>1727.97</v>
      </c>
      <c r="D237" s="3">
        <v>219.79</v>
      </c>
      <c r="E237" s="8">
        <v>2041.48</v>
      </c>
    </row>
    <row r="238" spans="1:5" ht="15" customHeight="1" x14ac:dyDescent="0.25">
      <c r="A238" s="7" t="s">
        <v>325</v>
      </c>
      <c r="B238" s="3">
        <v>103.29</v>
      </c>
      <c r="C238" s="3">
        <v>2327.12</v>
      </c>
      <c r="D238" s="3">
        <v>242.45</v>
      </c>
      <c r="E238" s="8">
        <v>2672.86</v>
      </c>
    </row>
    <row r="239" spans="1:5" ht="15" customHeight="1" x14ac:dyDescent="0.25">
      <c r="A239" s="7" t="s">
        <v>326</v>
      </c>
      <c r="B239" s="3">
        <v>544.48</v>
      </c>
      <c r="C239" s="3">
        <v>52350.94</v>
      </c>
      <c r="D239" s="3">
        <v>1254.42</v>
      </c>
      <c r="E239" s="8">
        <v>54149.84</v>
      </c>
    </row>
    <row r="240" spans="1:5" ht="15" customHeight="1" x14ac:dyDescent="0.25">
      <c r="A240" s="7" t="s">
        <v>327</v>
      </c>
      <c r="B240" s="3">
        <v>301.88</v>
      </c>
      <c r="C240" s="3">
        <v>3400.93</v>
      </c>
      <c r="D240" s="3">
        <v>710.61</v>
      </c>
      <c r="E240" s="8">
        <v>4413.42</v>
      </c>
    </row>
    <row r="241" spans="1:5" ht="15" customHeight="1" x14ac:dyDescent="0.25">
      <c r="A241" s="7" t="s">
        <v>328</v>
      </c>
      <c r="B241" s="3">
        <v>869461.59</v>
      </c>
      <c r="C241" s="3">
        <v>143021.43</v>
      </c>
      <c r="D241" s="3">
        <v>709634.37</v>
      </c>
      <c r="E241" s="8">
        <v>1722117.39</v>
      </c>
    </row>
    <row r="242" spans="1:5" ht="15" customHeight="1" x14ac:dyDescent="0.25">
      <c r="A242" s="7" t="s">
        <v>329</v>
      </c>
      <c r="B242" s="3">
        <v>25867.54</v>
      </c>
      <c r="C242" s="3">
        <v>49235.95</v>
      </c>
      <c r="D242" s="3">
        <v>54123.199999999997</v>
      </c>
      <c r="E242" s="8">
        <v>129226.69</v>
      </c>
    </row>
    <row r="243" spans="1:5" ht="15" customHeight="1" x14ac:dyDescent="0.25">
      <c r="A243" s="7" t="s">
        <v>330</v>
      </c>
      <c r="B243" s="3">
        <v>36211.71</v>
      </c>
      <c r="C243" s="3">
        <v>14137.72</v>
      </c>
      <c r="D243" s="3">
        <v>48349.84</v>
      </c>
      <c r="E243" s="8">
        <v>98699.27</v>
      </c>
    </row>
    <row r="244" spans="1:5" ht="15" customHeight="1" x14ac:dyDescent="0.25">
      <c r="A244" s="7" t="s">
        <v>331</v>
      </c>
      <c r="B244" s="3">
        <v>604034.31999999995</v>
      </c>
      <c r="C244" s="3">
        <v>266597.36</v>
      </c>
      <c r="D244" s="3">
        <v>544323.56000000006</v>
      </c>
      <c r="E244" s="8">
        <v>1414955.24</v>
      </c>
    </row>
    <row r="245" spans="1:5" ht="15" customHeight="1" x14ac:dyDescent="0.25">
      <c r="A245" s="7" t="s">
        <v>332</v>
      </c>
      <c r="B245" s="3">
        <v>39824.660000000003</v>
      </c>
      <c r="C245" s="3">
        <v>35511.39</v>
      </c>
      <c r="D245" s="3">
        <v>43755.7</v>
      </c>
      <c r="E245" s="8">
        <v>119091.75</v>
      </c>
    </row>
    <row r="246" spans="1:5" ht="15" customHeight="1" x14ac:dyDescent="0.25">
      <c r="A246" s="7" t="s">
        <v>333</v>
      </c>
      <c r="B246" s="3">
        <v>3.02</v>
      </c>
      <c r="C246" s="3">
        <v>1988.62</v>
      </c>
      <c r="D246" s="3">
        <v>11.98</v>
      </c>
      <c r="E246" s="8">
        <v>2003.62</v>
      </c>
    </row>
    <row r="247" spans="1:5" ht="15" customHeight="1" x14ac:dyDescent="0.25">
      <c r="A247" s="7" t="s">
        <v>334</v>
      </c>
      <c r="B247" s="3">
        <v>82.41</v>
      </c>
      <c r="C247" s="3">
        <v>2084.17</v>
      </c>
      <c r="D247" s="3">
        <v>443.01</v>
      </c>
      <c r="E247" s="8">
        <v>2609.59</v>
      </c>
    </row>
    <row r="248" spans="1:5" ht="15" customHeight="1" x14ac:dyDescent="0.25">
      <c r="A248" s="7" t="s">
        <v>335</v>
      </c>
      <c r="B248" s="3">
        <v>8482.2900000000009</v>
      </c>
      <c r="C248" s="3">
        <v>13616.13</v>
      </c>
      <c r="D248" s="3">
        <v>8707.91</v>
      </c>
      <c r="E248" s="8">
        <v>30806.33</v>
      </c>
    </row>
    <row r="249" spans="1:5" ht="15" customHeight="1" x14ac:dyDescent="0.25">
      <c r="A249" s="7" t="s">
        <v>336</v>
      </c>
      <c r="B249" s="3">
        <v>151.08000000000001</v>
      </c>
      <c r="C249" s="3">
        <v>5069.32</v>
      </c>
      <c r="D249" s="3">
        <v>10.91</v>
      </c>
      <c r="E249" s="8">
        <v>5231.3100000000004</v>
      </c>
    </row>
    <row r="250" spans="1:5" ht="15" customHeight="1" x14ac:dyDescent="0.25">
      <c r="A250" s="7" t="s">
        <v>337</v>
      </c>
      <c r="B250" s="3">
        <v>638.23</v>
      </c>
      <c r="C250" s="3">
        <v>9055.5</v>
      </c>
      <c r="D250" s="3">
        <v>7442.89</v>
      </c>
      <c r="E250" s="8">
        <v>17136.62</v>
      </c>
    </row>
    <row r="251" spans="1:5" ht="15" customHeight="1" x14ac:dyDescent="0.25">
      <c r="A251" s="7" t="s">
        <v>338</v>
      </c>
      <c r="B251" s="3">
        <v>5614.38</v>
      </c>
      <c r="C251" s="3">
        <v>3915.16</v>
      </c>
      <c r="D251" s="3">
        <v>4755.16</v>
      </c>
      <c r="E251" s="8">
        <v>14284.7</v>
      </c>
    </row>
    <row r="252" spans="1:5" ht="15" customHeight="1" x14ac:dyDescent="0.25">
      <c r="A252" s="7" t="s">
        <v>339</v>
      </c>
      <c r="B252" s="3">
        <v>2467.31</v>
      </c>
      <c r="C252" s="3">
        <v>4572.7700000000004</v>
      </c>
      <c r="D252" s="3">
        <v>19001.91</v>
      </c>
      <c r="E252" s="8">
        <v>26041.99</v>
      </c>
    </row>
    <row r="253" spans="1:5" ht="15" customHeight="1" x14ac:dyDescent="0.25">
      <c r="A253" s="7" t="s">
        <v>340</v>
      </c>
      <c r="B253" s="3">
        <v>9.16</v>
      </c>
      <c r="C253" s="3">
        <v>1839.87</v>
      </c>
      <c r="D253" s="3">
        <v>866.83</v>
      </c>
      <c r="E253" s="8">
        <v>2715.86</v>
      </c>
    </row>
    <row r="254" spans="1:5" ht="15" customHeight="1" x14ac:dyDescent="0.25">
      <c r="A254" s="7" t="s">
        <v>341</v>
      </c>
      <c r="B254" s="3">
        <v>42214</v>
      </c>
      <c r="C254" s="3">
        <v>14149.85</v>
      </c>
      <c r="D254" s="3">
        <v>54730.9</v>
      </c>
      <c r="E254" s="8">
        <v>111094.75</v>
      </c>
    </row>
    <row r="255" spans="1:5" ht="15" customHeight="1" x14ac:dyDescent="0.25">
      <c r="A255" s="7" t="s">
        <v>342</v>
      </c>
      <c r="B255" s="3">
        <v>3282.22</v>
      </c>
      <c r="C255" s="3">
        <v>18136.89</v>
      </c>
      <c r="D255" s="3">
        <v>19020.05</v>
      </c>
      <c r="E255" s="8">
        <v>40439.160000000003</v>
      </c>
    </row>
    <row r="256" spans="1:5" ht="15" customHeight="1" x14ac:dyDescent="0.25">
      <c r="A256" s="7" t="s">
        <v>343</v>
      </c>
      <c r="B256" s="3">
        <v>181410.84</v>
      </c>
      <c r="C256" s="4" t="s">
        <v>344</v>
      </c>
      <c r="D256" s="3">
        <v>211236.96</v>
      </c>
      <c r="E256" s="8">
        <v>262068.73</v>
      </c>
    </row>
    <row r="257" spans="1:5" ht="15" customHeight="1" x14ac:dyDescent="0.25">
      <c r="A257" s="7" t="s">
        <v>345</v>
      </c>
      <c r="B257" s="3">
        <v>20626.25</v>
      </c>
      <c r="C257" s="3">
        <v>16643.189999999999</v>
      </c>
      <c r="D257" s="3">
        <v>18127.66</v>
      </c>
      <c r="E257" s="8">
        <v>55397.1</v>
      </c>
    </row>
    <row r="258" spans="1:5" ht="15" customHeight="1" x14ac:dyDescent="0.25">
      <c r="A258" s="7" t="s">
        <v>346</v>
      </c>
      <c r="B258" s="3">
        <v>7.04</v>
      </c>
      <c r="C258" s="3">
        <v>1573.79</v>
      </c>
      <c r="D258" s="3">
        <v>29696.91</v>
      </c>
      <c r="E258" s="8">
        <v>31277.74</v>
      </c>
    </row>
    <row r="259" spans="1:5" ht="15" customHeight="1" x14ac:dyDescent="0.25">
      <c r="A259" s="7" t="s">
        <v>347</v>
      </c>
      <c r="B259" s="3">
        <v>17656.53</v>
      </c>
      <c r="C259" s="3">
        <v>4810.3100000000004</v>
      </c>
      <c r="D259" s="3">
        <v>6420.12</v>
      </c>
      <c r="E259" s="8">
        <v>28886.959999999999</v>
      </c>
    </row>
    <row r="260" spans="1:5" ht="15" customHeight="1" x14ac:dyDescent="0.25">
      <c r="A260" s="7" t="s">
        <v>348</v>
      </c>
      <c r="B260" s="3">
        <v>33259.839999999997</v>
      </c>
      <c r="C260" s="3">
        <v>9188.73</v>
      </c>
      <c r="D260" s="3">
        <v>39147.910000000003</v>
      </c>
      <c r="E260" s="8">
        <v>81596.479999999996</v>
      </c>
    </row>
    <row r="261" spans="1:5" ht="15" customHeight="1" x14ac:dyDescent="0.25">
      <c r="A261" s="7" t="s">
        <v>352</v>
      </c>
      <c r="B261" s="3">
        <v>258780.51</v>
      </c>
      <c r="C261" s="3">
        <v>238210.47</v>
      </c>
      <c r="D261" s="3">
        <v>219268.56</v>
      </c>
      <c r="E261" s="8">
        <v>716259.54</v>
      </c>
    </row>
    <row r="262" spans="1:5" ht="15" customHeight="1" x14ac:dyDescent="0.25">
      <c r="A262" s="7" t="s">
        <v>353</v>
      </c>
      <c r="B262" s="3">
        <v>202816.91</v>
      </c>
      <c r="C262" s="3">
        <v>158753.1</v>
      </c>
      <c r="D262" s="3">
        <v>269684.61</v>
      </c>
      <c r="E262" s="8">
        <v>631254.62</v>
      </c>
    </row>
    <row r="263" spans="1:5" ht="15" customHeight="1" x14ac:dyDescent="0.25">
      <c r="A263" s="7" t="s">
        <v>354</v>
      </c>
      <c r="B263" s="3">
        <v>559195.51</v>
      </c>
      <c r="C263" s="3">
        <v>785240.35</v>
      </c>
      <c r="D263" s="3">
        <v>345046.26</v>
      </c>
      <c r="E263" s="8">
        <v>1689482.12</v>
      </c>
    </row>
    <row r="264" spans="1:5" ht="15" customHeight="1" x14ac:dyDescent="0.25">
      <c r="A264" s="7" t="s">
        <v>355</v>
      </c>
      <c r="B264" s="3">
        <v>234147.78</v>
      </c>
      <c r="C264" s="3">
        <v>213996.91</v>
      </c>
      <c r="D264" s="3">
        <v>298790.62</v>
      </c>
      <c r="E264" s="8">
        <v>746935.31</v>
      </c>
    </row>
    <row r="265" spans="1:5" ht="15" customHeight="1" x14ac:dyDescent="0.25">
      <c r="A265" s="7" t="s">
        <v>356</v>
      </c>
      <c r="B265" s="3">
        <v>16904.02</v>
      </c>
      <c r="C265" s="3">
        <v>12375.73</v>
      </c>
      <c r="D265" s="3">
        <v>1995.41</v>
      </c>
      <c r="E265" s="8">
        <v>31275.16</v>
      </c>
    </row>
    <row r="266" spans="1:5" ht="15" customHeight="1" x14ac:dyDescent="0.25">
      <c r="A266" s="7" t="s">
        <v>357</v>
      </c>
      <c r="B266" s="3">
        <v>201675</v>
      </c>
      <c r="C266" s="3">
        <v>301088.48</v>
      </c>
      <c r="D266" s="3">
        <v>299472.07</v>
      </c>
      <c r="E266" s="8">
        <v>802235.55</v>
      </c>
    </row>
    <row r="267" spans="1:5" ht="22.5" customHeight="1" x14ac:dyDescent="0.25">
      <c r="A267" s="7" t="s">
        <v>358</v>
      </c>
      <c r="B267" s="3">
        <v>382829.64</v>
      </c>
      <c r="C267" s="4" t="s">
        <v>359</v>
      </c>
      <c r="D267" s="3">
        <v>6673270.4699999997</v>
      </c>
      <c r="E267" s="11" t="s">
        <v>360</v>
      </c>
    </row>
    <row r="268" spans="1:5" ht="15" customHeight="1" x14ac:dyDescent="0.25">
      <c r="A268" s="7" t="s">
        <v>362</v>
      </c>
      <c r="B268" s="3">
        <v>12285.69</v>
      </c>
      <c r="C268" s="3">
        <v>6717.35</v>
      </c>
      <c r="D268" s="3">
        <v>10283.24</v>
      </c>
      <c r="E268" s="8">
        <v>29286.28</v>
      </c>
    </row>
    <row r="269" spans="1:5" ht="15" customHeight="1" x14ac:dyDescent="0.25">
      <c r="A269" s="7" t="s">
        <v>364</v>
      </c>
      <c r="B269" s="3">
        <v>1770882.87</v>
      </c>
      <c r="C269" s="3">
        <v>665764.46</v>
      </c>
      <c r="D269" s="3">
        <v>2397486.2000000002</v>
      </c>
      <c r="E269" s="8">
        <v>4834133.53</v>
      </c>
    </row>
    <row r="270" spans="1:5" ht="15" customHeight="1" x14ac:dyDescent="0.25">
      <c r="A270" s="7" t="s">
        <v>365</v>
      </c>
      <c r="B270" s="3">
        <v>1219036.96</v>
      </c>
      <c r="C270" s="3">
        <v>1024109.37</v>
      </c>
      <c r="D270" s="3">
        <v>1681424.87</v>
      </c>
      <c r="E270" s="8">
        <v>3924571.2</v>
      </c>
    </row>
    <row r="271" spans="1:5" ht="15" customHeight="1" x14ac:dyDescent="0.25">
      <c r="A271" s="7" t="s">
        <v>367</v>
      </c>
      <c r="B271" s="3">
        <v>1576743.92</v>
      </c>
      <c r="C271" s="3">
        <v>870270.35</v>
      </c>
      <c r="D271" s="3">
        <v>1187836.53</v>
      </c>
      <c r="E271" s="8">
        <v>3634850.8</v>
      </c>
    </row>
    <row r="272" spans="1:5" ht="15" customHeight="1" x14ac:dyDescent="0.25">
      <c r="A272" s="7" t="s">
        <v>369</v>
      </c>
      <c r="B272" s="3">
        <v>1097874.08</v>
      </c>
      <c r="C272" s="3">
        <v>1175205.24</v>
      </c>
      <c r="D272" s="3">
        <v>960651.48</v>
      </c>
      <c r="E272" s="8">
        <v>3233730.8</v>
      </c>
    </row>
    <row r="273" spans="1:5" ht="15" customHeight="1" x14ac:dyDescent="0.25">
      <c r="A273" s="7" t="s">
        <v>370</v>
      </c>
      <c r="B273" s="3">
        <v>4.03</v>
      </c>
      <c r="C273" s="5"/>
      <c r="D273" s="3">
        <v>33508.639999999999</v>
      </c>
      <c r="E273" s="8">
        <v>33512.67</v>
      </c>
    </row>
    <row r="274" spans="1:5" ht="15" customHeight="1" x14ac:dyDescent="0.25">
      <c r="A274" s="7" t="s">
        <v>371</v>
      </c>
      <c r="B274" s="3">
        <v>6020.5</v>
      </c>
      <c r="C274" s="5"/>
      <c r="D274" s="3">
        <v>161548.32999999999</v>
      </c>
      <c r="E274" s="8">
        <v>167568.82999999999</v>
      </c>
    </row>
    <row r="275" spans="1:5" ht="15" customHeight="1" x14ac:dyDescent="0.25">
      <c r="A275" s="7" t="s">
        <v>372</v>
      </c>
      <c r="B275" s="3">
        <v>2703651.21</v>
      </c>
      <c r="C275" s="3">
        <v>1698428.32</v>
      </c>
      <c r="D275" s="3">
        <v>2892512.36</v>
      </c>
      <c r="E275" s="8">
        <v>7294591.8899999997</v>
      </c>
    </row>
    <row r="276" spans="1:5" ht="15" customHeight="1" x14ac:dyDescent="0.25">
      <c r="A276" s="7" t="s">
        <v>373</v>
      </c>
      <c r="B276" s="3">
        <v>70.59</v>
      </c>
      <c r="C276" s="5"/>
      <c r="D276" s="3">
        <v>17459.900000000001</v>
      </c>
      <c r="E276" s="8">
        <v>17530.490000000002</v>
      </c>
    </row>
    <row r="277" spans="1:5" ht="15" customHeight="1" x14ac:dyDescent="0.25">
      <c r="A277" s="7" t="s">
        <v>374</v>
      </c>
      <c r="B277" s="3">
        <v>6020.91</v>
      </c>
      <c r="C277" s="5"/>
      <c r="D277" s="3">
        <v>130022.69</v>
      </c>
      <c r="E277" s="8">
        <v>136043.6</v>
      </c>
    </row>
    <row r="278" spans="1:5" ht="15" customHeight="1" x14ac:dyDescent="0.25">
      <c r="A278" s="7" t="s">
        <v>375</v>
      </c>
      <c r="B278" s="3">
        <v>2.65</v>
      </c>
      <c r="C278" s="3">
        <v>13081.94</v>
      </c>
      <c r="D278" s="3">
        <v>5910.94</v>
      </c>
      <c r="E278" s="8">
        <v>18995.53</v>
      </c>
    </row>
    <row r="279" spans="1:5" ht="15" customHeight="1" x14ac:dyDescent="0.25">
      <c r="A279" s="7" t="s">
        <v>376</v>
      </c>
      <c r="B279" s="3">
        <v>706458.19</v>
      </c>
      <c r="C279" s="3">
        <v>1089035.8400000001</v>
      </c>
      <c r="D279" s="3">
        <v>1303397.55</v>
      </c>
      <c r="E279" s="8">
        <v>3098891.58</v>
      </c>
    </row>
    <row r="280" spans="1:5" ht="15" customHeight="1" x14ac:dyDescent="0.25">
      <c r="A280" s="7" t="s">
        <v>377</v>
      </c>
      <c r="B280" s="3">
        <v>81198.929999999993</v>
      </c>
      <c r="C280" s="3">
        <v>200792.31</v>
      </c>
      <c r="D280" s="3">
        <v>505928.06</v>
      </c>
      <c r="E280" s="8">
        <v>787919.3</v>
      </c>
    </row>
    <row r="281" spans="1:5" ht="15" customHeight="1" x14ac:dyDescent="0.25">
      <c r="A281" s="7" t="s">
        <v>378</v>
      </c>
      <c r="B281" s="3">
        <v>2395031.4</v>
      </c>
      <c r="C281" s="3">
        <v>2538974.2999999998</v>
      </c>
      <c r="D281" s="3">
        <v>2395162.4300000002</v>
      </c>
      <c r="E281" s="8">
        <v>7329168.1299999999</v>
      </c>
    </row>
    <row r="282" spans="1:5" ht="15" customHeight="1" x14ac:dyDescent="0.25">
      <c r="A282" s="7" t="s">
        <v>379</v>
      </c>
      <c r="B282" s="3">
        <v>145676.22</v>
      </c>
      <c r="C282" s="3">
        <v>749863.97</v>
      </c>
      <c r="D282" s="3">
        <v>224322.03</v>
      </c>
      <c r="E282" s="8">
        <v>1119862.22</v>
      </c>
    </row>
    <row r="283" spans="1:5" ht="15" customHeight="1" x14ac:dyDescent="0.25">
      <c r="A283" s="7" t="s">
        <v>380</v>
      </c>
      <c r="B283" s="3">
        <v>620643.97</v>
      </c>
      <c r="C283" s="3">
        <v>945144.89</v>
      </c>
      <c r="D283" s="3">
        <v>1102681.8</v>
      </c>
      <c r="E283" s="8">
        <v>2668470.66</v>
      </c>
    </row>
    <row r="284" spans="1:5" ht="15" customHeight="1" x14ac:dyDescent="0.25">
      <c r="A284" s="7" t="s">
        <v>381</v>
      </c>
      <c r="B284" s="3">
        <v>1873759.24</v>
      </c>
      <c r="C284" s="3">
        <v>1939913.63</v>
      </c>
      <c r="D284" s="3">
        <v>2008234.28</v>
      </c>
      <c r="E284" s="8">
        <v>5821907.1500000004</v>
      </c>
    </row>
    <row r="285" spans="1:5" ht="15" customHeight="1" x14ac:dyDescent="0.25">
      <c r="A285" s="7" t="s">
        <v>382</v>
      </c>
      <c r="B285" s="3">
        <v>6020.51</v>
      </c>
      <c r="C285" s="5"/>
      <c r="D285" s="3">
        <v>18155.22</v>
      </c>
      <c r="E285" s="8">
        <v>24175.73</v>
      </c>
    </row>
    <row r="286" spans="1:5" ht="15" customHeight="1" x14ac:dyDescent="0.25">
      <c r="A286" s="7" t="s">
        <v>383</v>
      </c>
      <c r="B286" s="3">
        <v>676875.62</v>
      </c>
      <c r="C286" s="3">
        <v>858250.44</v>
      </c>
      <c r="D286" s="3">
        <v>710326.94</v>
      </c>
      <c r="E286" s="8">
        <v>2245453</v>
      </c>
    </row>
    <row r="287" spans="1:5" ht="15" customHeight="1" x14ac:dyDescent="0.25">
      <c r="A287" s="7" t="s">
        <v>384</v>
      </c>
      <c r="B287" s="3">
        <v>2090665.38</v>
      </c>
      <c r="C287" s="3">
        <v>1355751.1</v>
      </c>
      <c r="D287" s="3">
        <v>2331169.42</v>
      </c>
      <c r="E287" s="8">
        <v>5777585.9000000004</v>
      </c>
    </row>
    <row r="288" spans="1:5" ht="15" customHeight="1" x14ac:dyDescent="0.25">
      <c r="A288" s="7" t="s">
        <v>385</v>
      </c>
      <c r="B288" s="3">
        <v>5048002.34</v>
      </c>
      <c r="C288" s="3">
        <v>2302708.04</v>
      </c>
      <c r="D288" s="3">
        <v>4121234.61</v>
      </c>
      <c r="E288" s="8">
        <v>11471944.99</v>
      </c>
    </row>
    <row r="289" spans="1:5" ht="15" customHeight="1" x14ac:dyDescent="0.25">
      <c r="A289" s="7" t="s">
        <v>387</v>
      </c>
      <c r="B289" s="3">
        <v>172228.62</v>
      </c>
      <c r="C289" s="4" t="s">
        <v>388</v>
      </c>
      <c r="D289" s="3">
        <v>42704.86</v>
      </c>
      <c r="E289" s="8">
        <v>198674.17</v>
      </c>
    </row>
    <row r="290" spans="1:5" ht="15" customHeight="1" x14ac:dyDescent="0.25">
      <c r="A290" s="7" t="s">
        <v>390</v>
      </c>
      <c r="B290" s="3">
        <v>6041.44</v>
      </c>
      <c r="C290" s="5"/>
      <c r="D290" s="3">
        <v>1047.74</v>
      </c>
      <c r="E290" s="8">
        <v>7089.18</v>
      </c>
    </row>
    <row r="291" spans="1:5" ht="15" customHeight="1" x14ac:dyDescent="0.25">
      <c r="A291" s="7" t="s">
        <v>391</v>
      </c>
      <c r="B291" s="3">
        <v>108459.44</v>
      </c>
      <c r="C291" s="3">
        <v>161486.84</v>
      </c>
      <c r="D291" s="3">
        <v>358616.01</v>
      </c>
      <c r="E291" s="8">
        <v>628562.29</v>
      </c>
    </row>
    <row r="292" spans="1:5" ht="15" customHeight="1" x14ac:dyDescent="0.25">
      <c r="A292" s="7" t="s">
        <v>392</v>
      </c>
      <c r="B292" s="3">
        <v>11423.36</v>
      </c>
      <c r="C292" s="3">
        <v>37326.68</v>
      </c>
      <c r="D292" s="3">
        <v>3696.5</v>
      </c>
      <c r="E292" s="8">
        <v>52446.54</v>
      </c>
    </row>
    <row r="293" spans="1:5" ht="15" customHeight="1" x14ac:dyDescent="0.25">
      <c r="A293" s="7" t="s">
        <v>393</v>
      </c>
      <c r="B293" s="3">
        <v>41874.910000000003</v>
      </c>
      <c r="C293" s="3">
        <v>209.2</v>
      </c>
      <c r="D293" s="5"/>
      <c r="E293" s="8">
        <v>42084.11</v>
      </c>
    </row>
    <row r="294" spans="1:5" ht="15" customHeight="1" x14ac:dyDescent="0.25">
      <c r="A294" s="7" t="s">
        <v>395</v>
      </c>
      <c r="B294" s="3">
        <v>110838.66</v>
      </c>
      <c r="C294" s="3">
        <v>188098.42</v>
      </c>
      <c r="D294" s="3">
        <v>345142</v>
      </c>
      <c r="E294" s="8">
        <v>644079.07999999996</v>
      </c>
    </row>
    <row r="295" spans="1:5" ht="15" customHeight="1" x14ac:dyDescent="0.25">
      <c r="A295" s="7" t="s">
        <v>397</v>
      </c>
      <c r="B295" s="3">
        <v>6019.07</v>
      </c>
      <c r="C295" s="5"/>
      <c r="D295" s="3">
        <v>103259.27</v>
      </c>
      <c r="E295" s="8">
        <v>109278.34</v>
      </c>
    </row>
    <row r="296" spans="1:5" ht="15" customHeight="1" x14ac:dyDescent="0.25">
      <c r="A296" s="7" t="s">
        <v>398</v>
      </c>
      <c r="B296" s="3">
        <v>2496991.29</v>
      </c>
      <c r="C296" s="3">
        <v>1457167.55</v>
      </c>
      <c r="D296" s="3">
        <v>1959197.88</v>
      </c>
      <c r="E296" s="8">
        <v>5913356.7199999997</v>
      </c>
    </row>
    <row r="297" spans="1:5" ht="15" customHeight="1" x14ac:dyDescent="0.25">
      <c r="A297" s="7" t="s">
        <v>399</v>
      </c>
      <c r="B297" s="3">
        <v>1043738.74</v>
      </c>
      <c r="C297" s="3">
        <v>1861401.54</v>
      </c>
      <c r="D297" s="3">
        <v>1015184.12</v>
      </c>
      <c r="E297" s="8">
        <v>3920324.4</v>
      </c>
    </row>
    <row r="298" spans="1:5" ht="15" customHeight="1" x14ac:dyDescent="0.25">
      <c r="A298" s="7" t="s">
        <v>401</v>
      </c>
      <c r="B298" s="3">
        <v>855855.2</v>
      </c>
      <c r="C298" s="3">
        <v>687406.01</v>
      </c>
      <c r="D298" s="3">
        <v>1079960.1200000001</v>
      </c>
      <c r="E298" s="8">
        <v>2623221.33</v>
      </c>
    </row>
    <row r="299" spans="1:5" ht="15" customHeight="1" x14ac:dyDescent="0.25">
      <c r="A299" s="7" t="s">
        <v>402</v>
      </c>
      <c r="B299" s="3">
        <v>6015.77</v>
      </c>
      <c r="C299" s="5"/>
      <c r="D299" s="3">
        <v>56594.96</v>
      </c>
      <c r="E299" s="8">
        <v>62610.73</v>
      </c>
    </row>
    <row r="300" spans="1:5" ht="15" customHeight="1" x14ac:dyDescent="0.25">
      <c r="A300" s="7" t="s">
        <v>404</v>
      </c>
      <c r="B300" s="3">
        <v>14.48</v>
      </c>
      <c r="C300" s="5"/>
      <c r="D300" s="3">
        <v>217979.92</v>
      </c>
      <c r="E300" s="8">
        <v>217994.4</v>
      </c>
    </row>
    <row r="301" spans="1:5" ht="15" customHeight="1" x14ac:dyDescent="0.25">
      <c r="A301" s="7" t="s">
        <v>405</v>
      </c>
      <c r="B301" s="3">
        <v>571608.37</v>
      </c>
      <c r="C301" s="3">
        <v>823316.69</v>
      </c>
      <c r="D301" s="3">
        <v>1015632.88</v>
      </c>
      <c r="E301" s="8">
        <v>2410557.94</v>
      </c>
    </row>
    <row r="302" spans="1:5" ht="15" customHeight="1" x14ac:dyDescent="0.25">
      <c r="A302" s="7" t="s">
        <v>407</v>
      </c>
      <c r="B302" s="3">
        <v>1911076.44</v>
      </c>
      <c r="C302" s="3">
        <v>2800399.79</v>
      </c>
      <c r="D302" s="3">
        <v>4018283.8</v>
      </c>
      <c r="E302" s="8">
        <v>8729760.0299999993</v>
      </c>
    </row>
    <row r="303" spans="1:5" ht="15" customHeight="1" x14ac:dyDescent="0.25">
      <c r="A303" s="7" t="s">
        <v>408</v>
      </c>
      <c r="B303" s="3">
        <v>6015.07</v>
      </c>
      <c r="C303" s="3">
        <v>13506.01</v>
      </c>
      <c r="D303" s="3">
        <v>13694.1</v>
      </c>
      <c r="E303" s="8">
        <v>33215.18</v>
      </c>
    </row>
    <row r="304" spans="1:5" ht="15" customHeight="1" x14ac:dyDescent="0.25">
      <c r="A304" s="7" t="s">
        <v>409</v>
      </c>
      <c r="B304" s="3">
        <v>6821.31</v>
      </c>
      <c r="C304" s="3">
        <v>17063.25</v>
      </c>
      <c r="D304" s="3">
        <v>17372.5</v>
      </c>
      <c r="E304" s="8">
        <v>41257.06</v>
      </c>
    </row>
    <row r="305" spans="1:5" ht="15" customHeight="1" x14ac:dyDescent="0.25">
      <c r="A305" s="7" t="s">
        <v>410</v>
      </c>
      <c r="B305" s="3">
        <v>13771.31</v>
      </c>
      <c r="C305" s="3">
        <v>20264.05</v>
      </c>
      <c r="D305" s="3">
        <v>19042.39</v>
      </c>
      <c r="E305" s="8">
        <v>53077.75</v>
      </c>
    </row>
    <row r="306" spans="1:5" ht="15" customHeight="1" x14ac:dyDescent="0.25">
      <c r="A306" s="7" t="s">
        <v>411</v>
      </c>
      <c r="B306" s="3">
        <v>703424.36</v>
      </c>
      <c r="C306" s="3">
        <v>513604.25</v>
      </c>
      <c r="D306" s="3">
        <v>945534.32</v>
      </c>
      <c r="E306" s="8">
        <v>2162562.9300000002</v>
      </c>
    </row>
    <row r="307" spans="1:5" ht="15" customHeight="1" x14ac:dyDescent="0.25">
      <c r="A307" s="7" t="s">
        <v>414</v>
      </c>
      <c r="B307" s="3">
        <v>24264.85</v>
      </c>
      <c r="C307" s="5"/>
      <c r="D307" s="3">
        <v>35670.21</v>
      </c>
      <c r="E307" s="8">
        <v>59935.06</v>
      </c>
    </row>
    <row r="308" spans="1:5" ht="15" customHeight="1" x14ac:dyDescent="0.25">
      <c r="A308" s="7" t="s">
        <v>415</v>
      </c>
      <c r="B308" s="3">
        <v>24437.57</v>
      </c>
      <c r="C308" s="5"/>
      <c r="D308" s="3">
        <v>42061.89</v>
      </c>
      <c r="E308" s="8">
        <v>66499.460000000006</v>
      </c>
    </row>
    <row r="309" spans="1:5" ht="15" customHeight="1" x14ac:dyDescent="0.25">
      <c r="A309" s="7" t="s">
        <v>416</v>
      </c>
      <c r="B309" s="3">
        <v>19568.59</v>
      </c>
      <c r="C309" s="5"/>
      <c r="D309" s="3">
        <v>28010.85</v>
      </c>
      <c r="E309" s="8">
        <v>47579.44</v>
      </c>
    </row>
    <row r="310" spans="1:5" ht="15" customHeight="1" x14ac:dyDescent="0.25">
      <c r="A310" s="7" t="s">
        <v>417</v>
      </c>
      <c r="B310" s="3">
        <v>22857.54</v>
      </c>
      <c r="C310" s="3">
        <v>4034.42</v>
      </c>
      <c r="D310" s="3">
        <v>22133.14</v>
      </c>
      <c r="E310" s="8">
        <v>49025.1</v>
      </c>
    </row>
    <row r="311" spans="1:5" ht="15" customHeight="1" x14ac:dyDescent="0.25">
      <c r="A311" s="7" t="s">
        <v>418</v>
      </c>
      <c r="B311" s="3">
        <v>22486.85</v>
      </c>
      <c r="C311" s="5"/>
      <c r="D311" s="3">
        <v>24698.560000000001</v>
      </c>
      <c r="E311" s="8">
        <v>47185.41</v>
      </c>
    </row>
    <row r="312" spans="1:5" ht="15" customHeight="1" x14ac:dyDescent="0.25">
      <c r="A312" s="7" t="s">
        <v>419</v>
      </c>
      <c r="B312" s="3">
        <v>25962.51</v>
      </c>
      <c r="C312" s="3">
        <v>126985.19</v>
      </c>
      <c r="D312" s="3">
        <v>38873.35</v>
      </c>
      <c r="E312" s="8">
        <v>191821.05</v>
      </c>
    </row>
    <row r="313" spans="1:5" ht="15" customHeight="1" x14ac:dyDescent="0.25">
      <c r="A313" s="7" t="s">
        <v>420</v>
      </c>
      <c r="B313" s="3">
        <v>20107.330000000002</v>
      </c>
      <c r="C313" s="5"/>
      <c r="D313" s="3">
        <v>7523.74</v>
      </c>
      <c r="E313" s="8">
        <v>27631.07</v>
      </c>
    </row>
    <row r="314" spans="1:5" ht="15" customHeight="1" x14ac:dyDescent="0.25">
      <c r="A314" s="7" t="s">
        <v>421</v>
      </c>
      <c r="B314" s="3">
        <v>20179.310000000001</v>
      </c>
      <c r="C314" s="5"/>
      <c r="D314" s="3">
        <v>5401.07</v>
      </c>
      <c r="E314" s="8">
        <v>25580.38</v>
      </c>
    </row>
    <row r="315" spans="1:5" ht="15" customHeight="1" x14ac:dyDescent="0.25">
      <c r="A315" s="7" t="s">
        <v>422</v>
      </c>
      <c r="B315" s="3">
        <v>22231.35</v>
      </c>
      <c r="C315" s="5"/>
      <c r="D315" s="3">
        <v>4241.38</v>
      </c>
      <c r="E315" s="8">
        <v>26472.73</v>
      </c>
    </row>
    <row r="316" spans="1:5" ht="15" customHeight="1" x14ac:dyDescent="0.25">
      <c r="A316" s="7" t="s">
        <v>423</v>
      </c>
      <c r="B316" s="3">
        <v>12947.4</v>
      </c>
      <c r="C316" s="3">
        <v>1106.8</v>
      </c>
      <c r="D316" s="3">
        <v>11438.72</v>
      </c>
      <c r="E316" s="8">
        <v>25492.92</v>
      </c>
    </row>
    <row r="317" spans="1:5" ht="15" customHeight="1" x14ac:dyDescent="0.25">
      <c r="A317" s="7" t="s">
        <v>424</v>
      </c>
      <c r="B317" s="3">
        <v>20061.900000000001</v>
      </c>
      <c r="C317" s="5"/>
      <c r="D317" s="3">
        <v>2479.7199999999998</v>
      </c>
      <c r="E317" s="8">
        <v>22541.62</v>
      </c>
    </row>
    <row r="318" spans="1:5" ht="15" customHeight="1" x14ac:dyDescent="0.25">
      <c r="A318" s="7" t="s">
        <v>429</v>
      </c>
      <c r="B318" s="3">
        <v>2.5099999999999998</v>
      </c>
      <c r="C318" s="5"/>
      <c r="D318" s="5"/>
      <c r="E318" s="8">
        <v>2.5099999999999998</v>
      </c>
    </row>
    <row r="319" spans="1:5" ht="15" customHeight="1" x14ac:dyDescent="0.25">
      <c r="A319" s="7" t="s">
        <v>442</v>
      </c>
      <c r="B319" s="4" t="s">
        <v>443</v>
      </c>
      <c r="C319" s="5"/>
      <c r="D319" s="5"/>
      <c r="E319" s="11" t="s">
        <v>443</v>
      </c>
    </row>
    <row r="320" spans="1:5" ht="15" customHeight="1" x14ac:dyDescent="0.25">
      <c r="A320" s="7" t="s">
        <v>446</v>
      </c>
      <c r="B320" s="3">
        <v>316776.46999999997</v>
      </c>
      <c r="C320" s="3">
        <v>197389.94</v>
      </c>
      <c r="D320" s="3">
        <v>633053.18000000005</v>
      </c>
      <c r="E320" s="8">
        <v>1147219.5900000001</v>
      </c>
    </row>
    <row r="321" spans="1:5" ht="15" customHeight="1" x14ac:dyDescent="0.25">
      <c r="A321" s="7" t="s">
        <v>449</v>
      </c>
      <c r="B321" s="3">
        <v>160397.57</v>
      </c>
      <c r="C321" s="5"/>
      <c r="D321" s="3">
        <v>365764.56</v>
      </c>
      <c r="E321" s="8">
        <v>526162.13</v>
      </c>
    </row>
    <row r="322" spans="1:5" ht="15" customHeight="1" x14ac:dyDescent="0.25">
      <c r="A322" s="7" t="s">
        <v>450</v>
      </c>
      <c r="B322" s="3">
        <v>3784131.18</v>
      </c>
      <c r="C322" s="3">
        <v>5963968.0700000003</v>
      </c>
      <c r="D322" s="3">
        <v>5445657.5599999996</v>
      </c>
      <c r="E322" s="8">
        <v>15193756.810000001</v>
      </c>
    </row>
    <row r="323" spans="1:5" ht="15" customHeight="1" x14ac:dyDescent="0.25">
      <c r="A323" s="7" t="s">
        <v>451</v>
      </c>
      <c r="B323" s="3">
        <v>1204317.3999999999</v>
      </c>
      <c r="C323" s="3">
        <v>530907.09</v>
      </c>
      <c r="D323" s="3">
        <v>1282630.8400000001</v>
      </c>
      <c r="E323" s="8">
        <v>3017855.33</v>
      </c>
    </row>
    <row r="324" spans="1:5" ht="15" customHeight="1" x14ac:dyDescent="0.25">
      <c r="A324" s="7" t="s">
        <v>452</v>
      </c>
      <c r="B324" s="3">
        <v>112954.73</v>
      </c>
      <c r="C324" s="5"/>
      <c r="D324" s="3">
        <v>369228.15</v>
      </c>
      <c r="E324" s="8">
        <v>482182.88</v>
      </c>
    </row>
    <row r="325" spans="1:5" ht="15" customHeight="1" x14ac:dyDescent="0.25">
      <c r="A325" s="7" t="s">
        <v>453</v>
      </c>
      <c r="B325" s="3">
        <v>642100.81999999995</v>
      </c>
      <c r="C325" s="3">
        <v>458712.49</v>
      </c>
      <c r="D325" s="3">
        <v>654800.81999999995</v>
      </c>
      <c r="E325" s="8">
        <v>1755614.13</v>
      </c>
    </row>
    <row r="326" spans="1:5" ht="15" customHeight="1" x14ac:dyDescent="0.25">
      <c r="A326" s="7" t="s">
        <v>454</v>
      </c>
      <c r="B326" s="3">
        <v>1788470.59</v>
      </c>
      <c r="C326" s="3">
        <v>408857.2</v>
      </c>
      <c r="D326" s="3">
        <v>1902659.28</v>
      </c>
      <c r="E326" s="8">
        <v>4099987.07</v>
      </c>
    </row>
    <row r="327" spans="1:5" ht="15" customHeight="1" x14ac:dyDescent="0.25">
      <c r="A327" s="7" t="s">
        <v>455</v>
      </c>
      <c r="B327" s="3">
        <v>5866791.4400000004</v>
      </c>
      <c r="C327" s="3">
        <v>2889464.06</v>
      </c>
      <c r="D327" s="3">
        <v>1626464.97</v>
      </c>
      <c r="E327" s="8">
        <v>10382720.470000001</v>
      </c>
    </row>
    <row r="328" spans="1:5" ht="15" customHeight="1" x14ac:dyDescent="0.25">
      <c r="A328" s="7" t="s">
        <v>457</v>
      </c>
      <c r="B328" s="3">
        <v>840184.45</v>
      </c>
      <c r="C328" s="3">
        <v>1897570.53</v>
      </c>
      <c r="D328" s="3">
        <v>802623.56</v>
      </c>
      <c r="E328" s="8">
        <v>3540378.54</v>
      </c>
    </row>
    <row r="329" spans="1:5" ht="15" customHeight="1" x14ac:dyDescent="0.25">
      <c r="A329" s="7" t="s">
        <v>458</v>
      </c>
      <c r="B329" s="3">
        <v>802338.11</v>
      </c>
      <c r="C329" s="3">
        <v>1688809.89</v>
      </c>
      <c r="D329" s="3">
        <v>737676.64</v>
      </c>
      <c r="E329" s="8">
        <v>3228824.64</v>
      </c>
    </row>
    <row r="330" spans="1:5" ht="15" customHeight="1" x14ac:dyDescent="0.25">
      <c r="A330" s="7" t="s">
        <v>459</v>
      </c>
      <c r="B330" s="3">
        <v>394858.97</v>
      </c>
      <c r="C330" s="5"/>
      <c r="D330" s="3">
        <v>442303.76</v>
      </c>
      <c r="E330" s="8">
        <v>837162.73</v>
      </c>
    </row>
    <row r="331" spans="1:5" ht="15" customHeight="1" x14ac:dyDescent="0.25">
      <c r="A331" s="7" t="s">
        <v>460</v>
      </c>
      <c r="B331" s="3">
        <v>152285.74</v>
      </c>
      <c r="C331" s="3">
        <v>145324.72</v>
      </c>
      <c r="D331" s="3">
        <v>119399.94</v>
      </c>
      <c r="E331" s="8">
        <v>417010.4</v>
      </c>
    </row>
    <row r="332" spans="1:5" ht="15" customHeight="1" x14ac:dyDescent="0.25">
      <c r="A332" s="7" t="s">
        <v>461</v>
      </c>
      <c r="B332" s="3">
        <v>67155.850000000006</v>
      </c>
      <c r="C332" s="5"/>
      <c r="D332" s="3">
        <v>123398.94</v>
      </c>
      <c r="E332" s="8">
        <v>190554.79</v>
      </c>
    </row>
    <row r="333" spans="1:5" ht="15" customHeight="1" x14ac:dyDescent="0.25">
      <c r="A333" s="7" t="s">
        <v>462</v>
      </c>
      <c r="B333" s="3">
        <v>233678.63</v>
      </c>
      <c r="C333" s="3">
        <v>45072.29</v>
      </c>
      <c r="D333" s="3">
        <v>140051.23000000001</v>
      </c>
      <c r="E333" s="8">
        <v>418802.15</v>
      </c>
    </row>
    <row r="334" spans="1:5" ht="15" customHeight="1" x14ac:dyDescent="0.25">
      <c r="A334" s="7" t="s">
        <v>463</v>
      </c>
      <c r="B334" s="3">
        <v>17837.13</v>
      </c>
      <c r="C334" s="5"/>
      <c r="D334" s="3">
        <v>126399.12</v>
      </c>
      <c r="E334" s="8">
        <v>144236.25</v>
      </c>
    </row>
    <row r="335" spans="1:5" ht="15" customHeight="1" x14ac:dyDescent="0.25">
      <c r="A335" s="7" t="s">
        <v>464</v>
      </c>
      <c r="B335" s="3">
        <v>2762.13</v>
      </c>
      <c r="C335" s="5"/>
      <c r="D335" s="5"/>
      <c r="E335" s="8">
        <v>2762.13</v>
      </c>
    </row>
    <row r="336" spans="1:5" ht="15" customHeight="1" x14ac:dyDescent="0.25">
      <c r="A336" s="7" t="s">
        <v>465</v>
      </c>
      <c r="B336" s="3">
        <v>903851.52000000002</v>
      </c>
      <c r="C336" s="3">
        <v>1227953.76</v>
      </c>
      <c r="D336" s="3">
        <v>1847699.39</v>
      </c>
      <c r="E336" s="8">
        <v>3979504.67</v>
      </c>
    </row>
    <row r="337" spans="1:5" ht="15" customHeight="1" x14ac:dyDescent="0.25">
      <c r="A337" s="7" t="s">
        <v>466</v>
      </c>
      <c r="B337" s="3">
        <v>865700.66</v>
      </c>
      <c r="C337" s="3">
        <v>795894.87</v>
      </c>
      <c r="D337" s="3">
        <v>718055.13</v>
      </c>
      <c r="E337" s="8">
        <v>2379650.66</v>
      </c>
    </row>
    <row r="338" spans="1:5" ht="15" customHeight="1" x14ac:dyDescent="0.25">
      <c r="A338" s="7" t="s">
        <v>467</v>
      </c>
      <c r="B338" s="3">
        <v>6023.58</v>
      </c>
      <c r="C338" s="4" t="s">
        <v>468</v>
      </c>
      <c r="D338" s="3">
        <v>154.38999999999999</v>
      </c>
      <c r="E338" s="11" t="s">
        <v>469</v>
      </c>
    </row>
    <row r="339" spans="1:5" ht="15" customHeight="1" x14ac:dyDescent="0.25">
      <c r="A339" s="7" t="s">
        <v>470</v>
      </c>
      <c r="B339" s="3">
        <v>6015.54</v>
      </c>
      <c r="C339" s="5"/>
      <c r="D339" s="5"/>
      <c r="E339" s="8">
        <v>6015.54</v>
      </c>
    </row>
    <row r="340" spans="1:5" ht="15" customHeight="1" x14ac:dyDescent="0.25">
      <c r="A340" s="7" t="s">
        <v>471</v>
      </c>
      <c r="B340" s="3">
        <v>6015.54</v>
      </c>
      <c r="C340" s="5"/>
      <c r="D340" s="5"/>
      <c r="E340" s="8">
        <v>6015.54</v>
      </c>
    </row>
    <row r="341" spans="1:5" ht="15" customHeight="1" x14ac:dyDescent="0.25">
      <c r="A341" s="7" t="s">
        <v>472</v>
      </c>
      <c r="B341" s="3">
        <v>6015.54</v>
      </c>
      <c r="C341" s="5"/>
      <c r="D341" s="5"/>
      <c r="E341" s="8">
        <v>6015.54</v>
      </c>
    </row>
    <row r="342" spans="1:5" ht="15" customHeight="1" x14ac:dyDescent="0.25">
      <c r="A342" s="7" t="s">
        <v>473</v>
      </c>
      <c r="B342" s="3">
        <v>6015.54</v>
      </c>
      <c r="C342" s="5"/>
      <c r="D342" s="5"/>
      <c r="E342" s="8">
        <v>6015.54</v>
      </c>
    </row>
    <row r="343" spans="1:5" ht="15" customHeight="1" x14ac:dyDescent="0.25">
      <c r="A343" s="7" t="s">
        <v>478</v>
      </c>
      <c r="B343" s="3">
        <v>0.86</v>
      </c>
      <c r="C343" s="5"/>
      <c r="D343" s="3">
        <v>924.98</v>
      </c>
      <c r="E343" s="8">
        <v>925.84</v>
      </c>
    </row>
    <row r="344" spans="1:5" ht="15" customHeight="1" x14ac:dyDescent="0.25">
      <c r="A344" s="7" t="s">
        <v>485</v>
      </c>
      <c r="B344" s="3">
        <v>150632.78</v>
      </c>
      <c r="C344" s="5"/>
      <c r="D344" s="3">
        <v>11760.54</v>
      </c>
      <c r="E344" s="8">
        <v>162393.32</v>
      </c>
    </row>
    <row r="345" spans="1:5" ht="15" customHeight="1" x14ac:dyDescent="0.25">
      <c r="A345" s="7" t="s">
        <v>488</v>
      </c>
      <c r="B345" s="3">
        <v>21982.25</v>
      </c>
      <c r="C345" s="5"/>
      <c r="D345" s="3">
        <v>12773.33</v>
      </c>
      <c r="E345" s="8">
        <v>34755.58</v>
      </c>
    </row>
    <row r="346" spans="1:5" ht="15" customHeight="1" x14ac:dyDescent="0.25">
      <c r="A346" s="7" t="s">
        <v>491</v>
      </c>
      <c r="B346" s="3">
        <v>4342</v>
      </c>
      <c r="C346" s="5"/>
      <c r="D346" s="3">
        <v>29562.799999999999</v>
      </c>
      <c r="E346" s="8">
        <v>33904.800000000003</v>
      </c>
    </row>
    <row r="347" spans="1:5" ht="15" customHeight="1" x14ac:dyDescent="0.25">
      <c r="A347" s="7" t="s">
        <v>494</v>
      </c>
      <c r="B347" s="3">
        <v>18816.89</v>
      </c>
      <c r="C347" s="5"/>
      <c r="D347" s="3">
        <v>5635.76</v>
      </c>
      <c r="E347" s="8">
        <v>24452.65</v>
      </c>
    </row>
    <row r="348" spans="1:5" ht="15" customHeight="1" x14ac:dyDescent="0.25">
      <c r="A348" s="7" t="s">
        <v>496</v>
      </c>
      <c r="B348" s="3">
        <v>2494.66</v>
      </c>
      <c r="C348" s="5"/>
      <c r="D348" s="3">
        <v>23089.97</v>
      </c>
      <c r="E348" s="8">
        <v>25584.63</v>
      </c>
    </row>
    <row r="349" spans="1:5" ht="15" customHeight="1" x14ac:dyDescent="0.25">
      <c r="A349" s="7" t="s">
        <v>498</v>
      </c>
      <c r="B349" s="3">
        <v>9665.57</v>
      </c>
      <c r="C349" s="3">
        <v>177898.96</v>
      </c>
      <c r="D349" s="3">
        <v>35139.21</v>
      </c>
      <c r="E349" s="8">
        <v>222703.74</v>
      </c>
    </row>
    <row r="350" spans="1:5" ht="15" customHeight="1" x14ac:dyDescent="0.25">
      <c r="A350" s="7" t="s">
        <v>500</v>
      </c>
      <c r="B350" s="3">
        <v>9665.56</v>
      </c>
      <c r="C350" s="5"/>
      <c r="D350" s="3">
        <v>1477.86</v>
      </c>
      <c r="E350" s="8">
        <v>11143.42</v>
      </c>
    </row>
    <row r="351" spans="1:5" ht="15" customHeight="1" x14ac:dyDescent="0.25">
      <c r="A351" s="7" t="s">
        <v>503</v>
      </c>
      <c r="B351" s="3">
        <v>2479.11</v>
      </c>
      <c r="C351" s="5"/>
      <c r="D351" s="3">
        <v>9214.6200000000008</v>
      </c>
      <c r="E351" s="8">
        <v>11693.73</v>
      </c>
    </row>
    <row r="352" spans="1:5" ht="15" customHeight="1" x14ac:dyDescent="0.25">
      <c r="A352" s="7" t="s">
        <v>505</v>
      </c>
      <c r="B352" s="3">
        <v>10614.9</v>
      </c>
      <c r="C352" s="5"/>
      <c r="D352" s="3">
        <v>3252.68</v>
      </c>
      <c r="E352" s="8">
        <v>13867.58</v>
      </c>
    </row>
    <row r="353" spans="1:5" ht="15" customHeight="1" x14ac:dyDescent="0.25">
      <c r="A353" s="7" t="s">
        <v>509</v>
      </c>
      <c r="B353" s="3">
        <v>2270.64</v>
      </c>
      <c r="C353" s="5"/>
      <c r="D353" s="3">
        <v>2314.9499999999998</v>
      </c>
      <c r="E353" s="8">
        <v>4585.59</v>
      </c>
    </row>
    <row r="354" spans="1:5" ht="15" customHeight="1" x14ac:dyDescent="0.25">
      <c r="A354" s="7" t="s">
        <v>510</v>
      </c>
      <c r="B354" s="3">
        <v>1694730.53</v>
      </c>
      <c r="C354" s="4" t="s">
        <v>511</v>
      </c>
      <c r="D354" s="3">
        <v>2670997.94</v>
      </c>
      <c r="E354" s="8">
        <v>4171500.8</v>
      </c>
    </row>
    <row r="355" spans="1:5" ht="15" customHeight="1" x14ac:dyDescent="0.25">
      <c r="A355" s="7" t="s">
        <v>513</v>
      </c>
      <c r="B355" s="3">
        <v>1050.0899999999999</v>
      </c>
      <c r="C355" s="3">
        <v>10058.379999999999</v>
      </c>
      <c r="D355" s="3">
        <v>9178.4500000000007</v>
      </c>
      <c r="E355" s="8">
        <v>20286.919999999998</v>
      </c>
    </row>
    <row r="356" spans="1:5" ht="15" customHeight="1" x14ac:dyDescent="0.25">
      <c r="A356" s="7" t="s">
        <v>520</v>
      </c>
      <c r="B356" s="3">
        <v>6349492.0099999998</v>
      </c>
      <c r="C356" s="3">
        <v>3665367.49</v>
      </c>
      <c r="D356" s="3">
        <v>8941016.7100000009</v>
      </c>
      <c r="E356" s="8">
        <v>18955876.210000001</v>
      </c>
    </row>
    <row r="357" spans="1:5" ht="22.5" customHeight="1" x14ac:dyDescent="0.25">
      <c r="A357" s="7" t="s">
        <v>521</v>
      </c>
      <c r="B357" s="3">
        <v>35554.160000000003</v>
      </c>
      <c r="C357" s="4" t="s">
        <v>522</v>
      </c>
      <c r="D357" s="3">
        <v>50421.89</v>
      </c>
      <c r="E357" s="11" t="s">
        <v>523</v>
      </c>
    </row>
    <row r="358" spans="1:5" ht="15" customHeight="1" x14ac:dyDescent="0.25">
      <c r="A358" s="7" t="s">
        <v>524</v>
      </c>
      <c r="B358" s="3">
        <v>392826.14</v>
      </c>
      <c r="C358" s="3">
        <v>215926.04</v>
      </c>
      <c r="D358" s="3">
        <v>198115.01</v>
      </c>
      <c r="E358" s="8">
        <v>806867.19</v>
      </c>
    </row>
    <row r="359" spans="1:5" ht="15" customHeight="1" x14ac:dyDescent="0.25">
      <c r="A359" s="7" t="s">
        <v>525</v>
      </c>
      <c r="B359" s="3">
        <v>251665.06</v>
      </c>
      <c r="C359" s="3">
        <v>143837.10999999999</v>
      </c>
      <c r="D359" s="3">
        <v>231148.52</v>
      </c>
      <c r="E359" s="8">
        <v>626650.68999999994</v>
      </c>
    </row>
    <row r="360" spans="1:5" ht="15" customHeight="1" x14ac:dyDescent="0.25">
      <c r="A360" s="7" t="s">
        <v>526</v>
      </c>
      <c r="B360" s="3">
        <v>250889.75</v>
      </c>
      <c r="C360" s="3">
        <v>263679.86</v>
      </c>
      <c r="D360" s="3">
        <v>295405.26</v>
      </c>
      <c r="E360" s="8">
        <v>809974.87</v>
      </c>
    </row>
    <row r="361" spans="1:5" ht="15" customHeight="1" x14ac:dyDescent="0.25">
      <c r="A361" s="7" t="s">
        <v>527</v>
      </c>
      <c r="B361" s="3">
        <v>235572.57</v>
      </c>
      <c r="C361" s="3">
        <v>250642.22</v>
      </c>
      <c r="D361" s="3">
        <v>275387.52000000002</v>
      </c>
      <c r="E361" s="8">
        <v>761602.31</v>
      </c>
    </row>
    <row r="362" spans="1:5" ht="15" customHeight="1" x14ac:dyDescent="0.25">
      <c r="A362" s="7" t="s">
        <v>528</v>
      </c>
      <c r="B362" s="3">
        <v>918182.88</v>
      </c>
      <c r="C362" s="3">
        <v>870656.96</v>
      </c>
      <c r="D362" s="3">
        <v>656086.71</v>
      </c>
      <c r="E362" s="8">
        <v>2444926.5499999998</v>
      </c>
    </row>
    <row r="363" spans="1:5" ht="15" customHeight="1" x14ac:dyDescent="0.25">
      <c r="A363" s="7" t="s">
        <v>529</v>
      </c>
      <c r="B363" s="3">
        <v>680346.49</v>
      </c>
      <c r="C363" s="3">
        <v>763496.14</v>
      </c>
      <c r="D363" s="3">
        <v>684777.7</v>
      </c>
      <c r="E363" s="8">
        <v>2128620.33</v>
      </c>
    </row>
    <row r="364" spans="1:5" ht="15" customHeight="1" x14ac:dyDescent="0.25">
      <c r="A364" s="7" t="s">
        <v>530</v>
      </c>
      <c r="B364" s="3">
        <v>819063.88</v>
      </c>
      <c r="C364" s="3">
        <v>864918.88</v>
      </c>
      <c r="D364" s="3">
        <v>785586.12</v>
      </c>
      <c r="E364" s="8">
        <v>2469568.88</v>
      </c>
    </row>
    <row r="365" spans="1:5" ht="15" customHeight="1" x14ac:dyDescent="0.25">
      <c r="A365" s="7" t="s">
        <v>531</v>
      </c>
      <c r="B365" s="3">
        <v>69850.22</v>
      </c>
      <c r="C365" s="3">
        <v>111689.02</v>
      </c>
      <c r="D365" s="3">
        <v>167369.28</v>
      </c>
      <c r="E365" s="8">
        <v>348908.52</v>
      </c>
    </row>
    <row r="366" spans="1:5" ht="15" customHeight="1" x14ac:dyDescent="0.25">
      <c r="A366" s="7" t="s">
        <v>532</v>
      </c>
      <c r="B366" s="3">
        <v>545267.32999999996</v>
      </c>
      <c r="C366" s="3">
        <v>569874</v>
      </c>
      <c r="D366" s="3">
        <v>446515.37</v>
      </c>
      <c r="E366" s="8">
        <v>1561656.7</v>
      </c>
    </row>
    <row r="367" spans="1:5" ht="15" customHeight="1" x14ac:dyDescent="0.25">
      <c r="A367" s="7" t="s">
        <v>533</v>
      </c>
      <c r="B367" s="3">
        <v>39963.660000000003</v>
      </c>
      <c r="C367" s="3">
        <v>373191.73</v>
      </c>
      <c r="D367" s="3">
        <v>111654.11</v>
      </c>
      <c r="E367" s="8">
        <v>524809.5</v>
      </c>
    </row>
    <row r="368" spans="1:5" ht="15" customHeight="1" x14ac:dyDescent="0.25">
      <c r="A368" s="7" t="s">
        <v>534</v>
      </c>
      <c r="B368" s="3">
        <v>249658.85</v>
      </c>
      <c r="C368" s="3">
        <v>326420.61</v>
      </c>
      <c r="D368" s="3">
        <v>339225.36</v>
      </c>
      <c r="E368" s="8">
        <v>915304.82</v>
      </c>
    </row>
    <row r="369" spans="1:5" ht="15" customHeight="1" x14ac:dyDescent="0.25">
      <c r="A369" s="7" t="s">
        <v>535</v>
      </c>
      <c r="B369" s="3">
        <v>426570.18</v>
      </c>
      <c r="C369" s="3">
        <v>376595.01</v>
      </c>
      <c r="D369" s="3">
        <v>900348.49</v>
      </c>
      <c r="E369" s="8">
        <v>1703513.68</v>
      </c>
    </row>
    <row r="370" spans="1:5" ht="15" customHeight="1" x14ac:dyDescent="0.25">
      <c r="A370" s="7" t="s">
        <v>536</v>
      </c>
      <c r="B370" s="3">
        <v>134378.28</v>
      </c>
      <c r="C370" s="3">
        <v>121796.32</v>
      </c>
      <c r="D370" s="3">
        <v>133858.57999999999</v>
      </c>
      <c r="E370" s="8">
        <v>390033.18</v>
      </c>
    </row>
    <row r="371" spans="1:5" ht="15" customHeight="1" x14ac:dyDescent="0.25">
      <c r="A371" s="7" t="s">
        <v>537</v>
      </c>
      <c r="B371" s="3">
        <v>94769.53</v>
      </c>
      <c r="C371" s="3">
        <v>140968.73000000001</v>
      </c>
      <c r="D371" s="3">
        <v>59050.18</v>
      </c>
      <c r="E371" s="8">
        <v>294788.44</v>
      </c>
    </row>
    <row r="372" spans="1:5" ht="15" customHeight="1" x14ac:dyDescent="0.25">
      <c r="A372" s="7" t="s">
        <v>538</v>
      </c>
      <c r="B372" s="3">
        <v>131037.11</v>
      </c>
      <c r="C372" s="3">
        <v>126797.77</v>
      </c>
      <c r="D372" s="3">
        <v>211444.98</v>
      </c>
      <c r="E372" s="8">
        <v>469279.86</v>
      </c>
    </row>
    <row r="373" spans="1:5" ht="15" customHeight="1" x14ac:dyDescent="0.25">
      <c r="A373" s="7" t="s">
        <v>539</v>
      </c>
      <c r="B373" s="3">
        <v>494557.1</v>
      </c>
      <c r="C373" s="3">
        <v>354114.16</v>
      </c>
      <c r="D373" s="3">
        <v>357164.7</v>
      </c>
      <c r="E373" s="8">
        <v>1205835.96</v>
      </c>
    </row>
    <row r="374" spans="1:5" ht="15" customHeight="1" x14ac:dyDescent="0.25">
      <c r="A374" s="7" t="s">
        <v>540</v>
      </c>
      <c r="B374" s="3">
        <v>178289.26</v>
      </c>
      <c r="C374" s="3">
        <v>156446.89000000001</v>
      </c>
      <c r="D374" s="3">
        <v>159530.10999999999</v>
      </c>
      <c r="E374" s="8">
        <v>494266.26</v>
      </c>
    </row>
    <row r="375" spans="1:5" ht="15" customHeight="1" x14ac:dyDescent="0.25">
      <c r="A375" s="7" t="s">
        <v>541</v>
      </c>
      <c r="B375" s="3">
        <v>131435.37</v>
      </c>
      <c r="C375" s="3">
        <v>262547.83</v>
      </c>
      <c r="D375" s="3">
        <v>81624.320000000007</v>
      </c>
      <c r="E375" s="8">
        <v>475607.52</v>
      </c>
    </row>
    <row r="376" spans="1:5" ht="15" customHeight="1" x14ac:dyDescent="0.25">
      <c r="A376" s="7" t="s">
        <v>542</v>
      </c>
      <c r="B376" s="3">
        <v>194922.85</v>
      </c>
      <c r="C376" s="3">
        <v>342040.82</v>
      </c>
      <c r="D376" s="3">
        <v>206633.81</v>
      </c>
      <c r="E376" s="8">
        <v>743597.48</v>
      </c>
    </row>
    <row r="377" spans="1:5" ht="15" customHeight="1" x14ac:dyDescent="0.25">
      <c r="A377" s="7" t="s">
        <v>543</v>
      </c>
      <c r="B377" s="3">
        <v>563326.18000000005</v>
      </c>
      <c r="C377" s="3">
        <v>538087.81999999995</v>
      </c>
      <c r="D377" s="3">
        <v>484612.51</v>
      </c>
      <c r="E377" s="8">
        <v>1586026.51</v>
      </c>
    </row>
    <row r="378" spans="1:5" ht="15" customHeight="1" x14ac:dyDescent="0.25">
      <c r="A378" s="7" t="s">
        <v>544</v>
      </c>
      <c r="B378" s="3">
        <v>246355.88</v>
      </c>
      <c r="C378" s="3">
        <v>74301.16</v>
      </c>
      <c r="D378" s="3">
        <v>282611.07</v>
      </c>
      <c r="E378" s="8">
        <v>603268.11</v>
      </c>
    </row>
    <row r="379" spans="1:5" ht="15" customHeight="1" x14ac:dyDescent="0.25">
      <c r="A379" s="7" t="s">
        <v>545</v>
      </c>
      <c r="B379" s="3">
        <v>290830.56</v>
      </c>
      <c r="C379" s="3">
        <v>233065.13</v>
      </c>
      <c r="D379" s="3">
        <v>319980.36</v>
      </c>
      <c r="E379" s="8">
        <v>843876.05</v>
      </c>
    </row>
    <row r="380" spans="1:5" ht="15" customHeight="1" x14ac:dyDescent="0.25">
      <c r="A380" s="7" t="s">
        <v>546</v>
      </c>
      <c r="B380" s="3">
        <v>451379.91</v>
      </c>
      <c r="C380" s="3">
        <v>227097.3</v>
      </c>
      <c r="D380" s="3">
        <v>470376.1</v>
      </c>
      <c r="E380" s="8">
        <v>1148853.31</v>
      </c>
    </row>
    <row r="381" spans="1:5" ht="15" customHeight="1" x14ac:dyDescent="0.25">
      <c r="A381" s="7" t="s">
        <v>547</v>
      </c>
      <c r="B381" s="3">
        <v>326010.13</v>
      </c>
      <c r="C381" s="3">
        <v>303269.26</v>
      </c>
      <c r="D381" s="3">
        <v>320938.46000000002</v>
      </c>
      <c r="E381" s="8">
        <v>950217.85</v>
      </c>
    </row>
    <row r="382" spans="1:5" ht="15" customHeight="1" x14ac:dyDescent="0.25">
      <c r="A382" s="7" t="s">
        <v>548</v>
      </c>
      <c r="B382" s="3">
        <v>152156.28</v>
      </c>
      <c r="C382" s="3">
        <v>12383.17</v>
      </c>
      <c r="D382" s="3">
        <v>233944.05</v>
      </c>
      <c r="E382" s="8">
        <v>398483.5</v>
      </c>
    </row>
    <row r="383" spans="1:5" ht="15" customHeight="1" x14ac:dyDescent="0.25">
      <c r="A383" s="7" t="s">
        <v>549</v>
      </c>
      <c r="B383" s="3">
        <v>87866.86</v>
      </c>
      <c r="C383" s="3">
        <v>241031.55</v>
      </c>
      <c r="D383" s="3">
        <v>127208.12</v>
      </c>
      <c r="E383" s="8">
        <v>456106.53</v>
      </c>
    </row>
    <row r="384" spans="1:5" ht="15" customHeight="1" x14ac:dyDescent="0.25">
      <c r="A384" s="7" t="s">
        <v>550</v>
      </c>
      <c r="B384" s="3">
        <v>493603.16</v>
      </c>
      <c r="C384" s="3">
        <v>472570.24</v>
      </c>
      <c r="D384" s="3">
        <v>689759.64</v>
      </c>
      <c r="E384" s="8">
        <v>1655933.04</v>
      </c>
    </row>
    <row r="385" spans="1:5" ht="15" customHeight="1" x14ac:dyDescent="0.25">
      <c r="A385" s="7" t="s">
        <v>551</v>
      </c>
      <c r="B385" s="3">
        <v>268185.34000000003</v>
      </c>
      <c r="C385" s="3">
        <v>251777.2</v>
      </c>
      <c r="D385" s="3">
        <v>363861.7</v>
      </c>
      <c r="E385" s="8">
        <v>883824.24</v>
      </c>
    </row>
    <row r="386" spans="1:5" ht="15" customHeight="1" x14ac:dyDescent="0.25">
      <c r="A386" s="7" t="s">
        <v>552</v>
      </c>
      <c r="B386" s="3">
        <v>142127.94</v>
      </c>
      <c r="C386" s="3">
        <v>85164.83</v>
      </c>
      <c r="D386" s="3">
        <v>106795.67</v>
      </c>
      <c r="E386" s="8">
        <v>334088.44</v>
      </c>
    </row>
    <row r="387" spans="1:5" ht="15" customHeight="1" x14ac:dyDescent="0.25">
      <c r="A387" s="7" t="s">
        <v>553</v>
      </c>
      <c r="B387" s="3">
        <v>638463.96</v>
      </c>
      <c r="C387" s="3">
        <v>536527.65</v>
      </c>
      <c r="D387" s="3">
        <v>761020.59</v>
      </c>
      <c r="E387" s="8">
        <v>1936012.2</v>
      </c>
    </row>
    <row r="388" spans="1:5" ht="15" customHeight="1" x14ac:dyDescent="0.25">
      <c r="A388" s="7" t="s">
        <v>554</v>
      </c>
      <c r="B388" s="3">
        <v>125357.99</v>
      </c>
      <c r="C388" s="3">
        <v>110672.89</v>
      </c>
      <c r="D388" s="3">
        <v>163105.98000000001</v>
      </c>
      <c r="E388" s="8">
        <v>399136.86</v>
      </c>
    </row>
    <row r="389" spans="1:5" ht="15" customHeight="1" x14ac:dyDescent="0.25">
      <c r="A389" s="7" t="s">
        <v>556</v>
      </c>
      <c r="B389" s="3">
        <v>109390.63</v>
      </c>
      <c r="C389" s="3">
        <v>68217.72</v>
      </c>
      <c r="D389" s="3">
        <v>144061.14000000001</v>
      </c>
      <c r="E389" s="8">
        <v>321669.49</v>
      </c>
    </row>
    <row r="390" spans="1:5" ht="15" customHeight="1" x14ac:dyDescent="0.25">
      <c r="A390" s="7" t="s">
        <v>557</v>
      </c>
      <c r="B390" s="3">
        <v>165436.42000000001</v>
      </c>
      <c r="C390" s="3">
        <v>238132.49</v>
      </c>
      <c r="D390" s="3">
        <v>216287.53</v>
      </c>
      <c r="E390" s="8">
        <v>619856.43999999994</v>
      </c>
    </row>
    <row r="391" spans="1:5" ht="15" customHeight="1" x14ac:dyDescent="0.25">
      <c r="A391" s="7" t="s">
        <v>558</v>
      </c>
      <c r="B391" s="3">
        <v>57859.01</v>
      </c>
      <c r="C391" s="3">
        <v>55653.57</v>
      </c>
      <c r="D391" s="3">
        <v>79752.429999999993</v>
      </c>
      <c r="E391" s="8">
        <v>193265.01</v>
      </c>
    </row>
    <row r="392" spans="1:5" ht="15" customHeight="1" x14ac:dyDescent="0.25">
      <c r="A392" s="7" t="s">
        <v>559</v>
      </c>
      <c r="B392" s="3">
        <v>118390.06</v>
      </c>
      <c r="C392" s="3">
        <v>76351.53</v>
      </c>
      <c r="D392" s="3">
        <v>108916.32</v>
      </c>
      <c r="E392" s="8">
        <v>303657.90999999997</v>
      </c>
    </row>
    <row r="393" spans="1:5" ht="15" customHeight="1" x14ac:dyDescent="0.25">
      <c r="A393" s="7" t="s">
        <v>560</v>
      </c>
      <c r="B393" s="3">
        <v>135778.78</v>
      </c>
      <c r="C393" s="3">
        <v>131756.10999999999</v>
      </c>
      <c r="D393" s="3">
        <v>164102.06</v>
      </c>
      <c r="E393" s="8">
        <v>431636.95</v>
      </c>
    </row>
    <row r="394" spans="1:5" ht="15" customHeight="1" x14ac:dyDescent="0.25">
      <c r="A394" s="7" t="s">
        <v>561</v>
      </c>
      <c r="B394" s="3">
        <v>55173.69</v>
      </c>
      <c r="C394" s="3">
        <v>35630.61</v>
      </c>
      <c r="D394" s="3">
        <v>35687.440000000002</v>
      </c>
      <c r="E394" s="8">
        <v>126491.74</v>
      </c>
    </row>
    <row r="395" spans="1:5" ht="15" customHeight="1" x14ac:dyDescent="0.25">
      <c r="A395" s="7" t="s">
        <v>562</v>
      </c>
      <c r="B395" s="3">
        <v>404335.12</v>
      </c>
      <c r="C395" s="3">
        <v>289893.03000000003</v>
      </c>
      <c r="D395" s="3">
        <v>228347.77</v>
      </c>
      <c r="E395" s="8">
        <v>922575.92</v>
      </c>
    </row>
    <row r="396" spans="1:5" ht="15" customHeight="1" x14ac:dyDescent="0.25">
      <c r="A396" s="7" t="s">
        <v>563</v>
      </c>
      <c r="B396" s="3">
        <v>254727.7</v>
      </c>
      <c r="C396" s="3">
        <v>167865.5</v>
      </c>
      <c r="D396" s="3">
        <v>200628.84</v>
      </c>
      <c r="E396" s="8">
        <v>623222.04</v>
      </c>
    </row>
    <row r="397" spans="1:5" ht="15" customHeight="1" x14ac:dyDescent="0.25">
      <c r="A397" s="7" t="s">
        <v>564</v>
      </c>
      <c r="B397" s="3">
        <v>52106.54</v>
      </c>
      <c r="C397" s="3">
        <v>594.95000000000005</v>
      </c>
      <c r="D397" s="3">
        <v>29401.38</v>
      </c>
      <c r="E397" s="8">
        <v>82102.87</v>
      </c>
    </row>
    <row r="398" spans="1:5" ht="15" customHeight="1" x14ac:dyDescent="0.25">
      <c r="A398" s="7" t="s">
        <v>565</v>
      </c>
      <c r="B398" s="3">
        <v>50705.74</v>
      </c>
      <c r="C398" s="3">
        <v>1586.53</v>
      </c>
      <c r="D398" s="3">
        <v>32658.39</v>
      </c>
      <c r="E398" s="8">
        <v>84950.66</v>
      </c>
    </row>
    <row r="399" spans="1:5" ht="15" customHeight="1" x14ac:dyDescent="0.25">
      <c r="A399" s="7" t="s">
        <v>566</v>
      </c>
      <c r="B399" s="3">
        <v>1188838.99</v>
      </c>
      <c r="C399" s="3">
        <v>1455358.18</v>
      </c>
      <c r="D399" s="3">
        <v>1228749.8</v>
      </c>
      <c r="E399" s="8">
        <v>3872946.97</v>
      </c>
    </row>
    <row r="400" spans="1:5" ht="15" customHeight="1" x14ac:dyDescent="0.25">
      <c r="A400" s="7" t="s">
        <v>567</v>
      </c>
      <c r="B400" s="3">
        <v>102918.98</v>
      </c>
      <c r="C400" s="3">
        <v>61443.94</v>
      </c>
      <c r="D400" s="3">
        <v>111023.93</v>
      </c>
      <c r="E400" s="8">
        <v>275386.84999999998</v>
      </c>
    </row>
    <row r="401" spans="1:5" ht="15" customHeight="1" x14ac:dyDescent="0.25">
      <c r="A401" s="7" t="s">
        <v>568</v>
      </c>
      <c r="B401" s="3">
        <v>51817.94</v>
      </c>
      <c r="C401" s="3">
        <v>56736.24</v>
      </c>
      <c r="D401" s="3">
        <v>75454.31</v>
      </c>
      <c r="E401" s="8">
        <v>184008.49</v>
      </c>
    </row>
    <row r="402" spans="1:5" ht="15" customHeight="1" x14ac:dyDescent="0.25">
      <c r="A402" s="7" t="s">
        <v>569</v>
      </c>
      <c r="B402" s="3">
        <v>242051.89</v>
      </c>
      <c r="C402" s="3">
        <v>129577.31</v>
      </c>
      <c r="D402" s="3">
        <v>170240.11</v>
      </c>
      <c r="E402" s="8">
        <v>541869.31000000006</v>
      </c>
    </row>
    <row r="403" spans="1:5" ht="15" customHeight="1" x14ac:dyDescent="0.25">
      <c r="A403" s="7" t="s">
        <v>570</v>
      </c>
      <c r="B403" s="3">
        <v>1318826.19</v>
      </c>
      <c r="C403" s="3">
        <v>1542986.26</v>
      </c>
      <c r="D403" s="3">
        <v>1684280.82</v>
      </c>
      <c r="E403" s="8">
        <v>4546093.2699999996</v>
      </c>
    </row>
    <row r="404" spans="1:5" ht="15" customHeight="1" x14ac:dyDescent="0.25">
      <c r="A404" s="7" t="s">
        <v>571</v>
      </c>
      <c r="B404" s="3">
        <v>102966.56</v>
      </c>
      <c r="C404" s="3">
        <v>70627.44</v>
      </c>
      <c r="D404" s="3">
        <v>84820.34</v>
      </c>
      <c r="E404" s="8">
        <v>258414.34</v>
      </c>
    </row>
    <row r="405" spans="1:5" ht="15" customHeight="1" x14ac:dyDescent="0.25">
      <c r="A405" s="7" t="s">
        <v>572</v>
      </c>
      <c r="B405" s="3">
        <v>166903.85999999999</v>
      </c>
      <c r="C405" s="3">
        <v>44556.45</v>
      </c>
      <c r="D405" s="3">
        <v>143917.21</v>
      </c>
      <c r="E405" s="8">
        <v>355377.52</v>
      </c>
    </row>
    <row r="406" spans="1:5" ht="15" customHeight="1" x14ac:dyDescent="0.25">
      <c r="A406" s="7" t="s">
        <v>573</v>
      </c>
      <c r="B406" s="3">
        <v>189713.61</v>
      </c>
      <c r="C406" s="3">
        <v>105798.91</v>
      </c>
      <c r="D406" s="3">
        <v>172892.78</v>
      </c>
      <c r="E406" s="8">
        <v>468405.3</v>
      </c>
    </row>
    <row r="407" spans="1:5" ht="15" customHeight="1" x14ac:dyDescent="0.25">
      <c r="A407" s="7" t="s">
        <v>574</v>
      </c>
      <c r="B407" s="3">
        <v>74683.03</v>
      </c>
      <c r="C407" s="3">
        <v>130754.87</v>
      </c>
      <c r="D407" s="3">
        <v>50431.34</v>
      </c>
      <c r="E407" s="8">
        <v>255869.24</v>
      </c>
    </row>
    <row r="408" spans="1:5" ht="15" customHeight="1" x14ac:dyDescent="0.25">
      <c r="A408" s="7" t="s">
        <v>575</v>
      </c>
      <c r="B408" s="3">
        <v>2048.1999999999998</v>
      </c>
      <c r="C408" s="3">
        <v>1727.56</v>
      </c>
      <c r="D408" s="3">
        <v>1755.71</v>
      </c>
      <c r="E408" s="8">
        <v>5531.47</v>
      </c>
    </row>
    <row r="409" spans="1:5" ht="15" customHeight="1" x14ac:dyDescent="0.25">
      <c r="A409" s="7" t="s">
        <v>576</v>
      </c>
      <c r="B409" s="3">
        <v>34179.03</v>
      </c>
      <c r="C409" s="3">
        <v>63909.36</v>
      </c>
      <c r="D409" s="3">
        <v>28522.38</v>
      </c>
      <c r="E409" s="8">
        <v>126610.77</v>
      </c>
    </row>
    <row r="410" spans="1:5" ht="15" customHeight="1" x14ac:dyDescent="0.25">
      <c r="A410" s="7" t="s">
        <v>577</v>
      </c>
      <c r="B410" s="3">
        <v>33537.97</v>
      </c>
      <c r="C410" s="3">
        <v>17991.099999999999</v>
      </c>
      <c r="D410" s="3">
        <v>10623.08</v>
      </c>
      <c r="E410" s="8">
        <v>62152.15</v>
      </c>
    </row>
    <row r="411" spans="1:5" ht="15" customHeight="1" x14ac:dyDescent="0.25">
      <c r="A411" s="7" t="s">
        <v>578</v>
      </c>
      <c r="B411" s="3">
        <v>107569.29</v>
      </c>
      <c r="C411" s="3">
        <v>56010.07</v>
      </c>
      <c r="D411" s="3">
        <v>167330.76999999999</v>
      </c>
      <c r="E411" s="8">
        <v>330910.13</v>
      </c>
    </row>
    <row r="412" spans="1:5" ht="15" customHeight="1" x14ac:dyDescent="0.25">
      <c r="A412" s="7" t="s">
        <v>579</v>
      </c>
      <c r="B412" s="3">
        <v>25168.799999999999</v>
      </c>
      <c r="C412" s="3">
        <v>18522.55</v>
      </c>
      <c r="D412" s="3">
        <v>35690.230000000003</v>
      </c>
      <c r="E412" s="8">
        <v>79381.58</v>
      </c>
    </row>
    <row r="413" spans="1:5" ht="15" customHeight="1" x14ac:dyDescent="0.25">
      <c r="A413" s="7" t="s">
        <v>580</v>
      </c>
      <c r="B413" s="3">
        <v>1677671.98</v>
      </c>
      <c r="C413" s="3">
        <v>3317342.69</v>
      </c>
      <c r="D413" s="3">
        <v>1402425.36</v>
      </c>
      <c r="E413" s="8">
        <v>6397440.0300000003</v>
      </c>
    </row>
    <row r="414" spans="1:5" ht="15" customHeight="1" x14ac:dyDescent="0.25">
      <c r="A414" s="7" t="s">
        <v>581</v>
      </c>
      <c r="B414" s="3">
        <v>30246.36</v>
      </c>
      <c r="C414" s="5"/>
      <c r="D414" s="3">
        <v>22822.2</v>
      </c>
      <c r="E414" s="8">
        <v>53068.56</v>
      </c>
    </row>
    <row r="415" spans="1:5" ht="15" customHeight="1" x14ac:dyDescent="0.25">
      <c r="A415" s="7" t="s">
        <v>582</v>
      </c>
      <c r="B415" s="3">
        <v>184522.32</v>
      </c>
      <c r="C415" s="3">
        <v>64253.81</v>
      </c>
      <c r="D415" s="3">
        <v>228327.4</v>
      </c>
      <c r="E415" s="8">
        <v>477103.53</v>
      </c>
    </row>
    <row r="416" spans="1:5" ht="15" customHeight="1" x14ac:dyDescent="0.25">
      <c r="A416" s="7" t="s">
        <v>583</v>
      </c>
      <c r="B416" s="3">
        <v>208315.75</v>
      </c>
      <c r="C416" s="3">
        <v>87516.4</v>
      </c>
      <c r="D416" s="3">
        <v>245592.86</v>
      </c>
      <c r="E416" s="8">
        <v>541425.01</v>
      </c>
    </row>
    <row r="417" spans="1:5" ht="15" customHeight="1" x14ac:dyDescent="0.25">
      <c r="A417" s="7" t="s">
        <v>584</v>
      </c>
      <c r="B417" s="3">
        <v>144567.45000000001</v>
      </c>
      <c r="C417" s="3">
        <v>82396.210000000006</v>
      </c>
      <c r="D417" s="3">
        <v>223139.94</v>
      </c>
      <c r="E417" s="8">
        <v>450103.6</v>
      </c>
    </row>
    <row r="418" spans="1:5" ht="15" customHeight="1" x14ac:dyDescent="0.25">
      <c r="A418" s="7" t="s">
        <v>585</v>
      </c>
      <c r="B418" s="3">
        <v>686230.86</v>
      </c>
      <c r="C418" s="3">
        <v>244169.17</v>
      </c>
      <c r="D418" s="3">
        <v>701754.18</v>
      </c>
      <c r="E418" s="8">
        <v>1632154.21</v>
      </c>
    </row>
    <row r="419" spans="1:5" ht="15" customHeight="1" x14ac:dyDescent="0.25">
      <c r="A419" s="7" t="s">
        <v>586</v>
      </c>
      <c r="B419" s="3">
        <v>273246.02</v>
      </c>
      <c r="C419" s="3">
        <v>52884.59</v>
      </c>
      <c r="D419" s="3">
        <v>264598.12</v>
      </c>
      <c r="E419" s="8">
        <v>590728.73</v>
      </c>
    </row>
    <row r="420" spans="1:5" ht="15" customHeight="1" x14ac:dyDescent="0.25">
      <c r="A420" s="7" t="s">
        <v>587</v>
      </c>
      <c r="B420" s="3">
        <v>438356.95</v>
      </c>
      <c r="C420" s="3">
        <v>1237.0700000000199</v>
      </c>
      <c r="D420" s="3">
        <v>550097.27</v>
      </c>
      <c r="E420" s="8">
        <v>989691.29</v>
      </c>
    </row>
    <row r="421" spans="1:5" ht="15" customHeight="1" x14ac:dyDescent="0.25">
      <c r="A421" s="7" t="s">
        <v>588</v>
      </c>
      <c r="B421" s="3">
        <v>432565.64</v>
      </c>
      <c r="C421" s="3">
        <v>181685.14</v>
      </c>
      <c r="D421" s="3">
        <v>370616.42</v>
      </c>
      <c r="E421" s="8">
        <v>984867.2</v>
      </c>
    </row>
    <row r="422" spans="1:5" ht="15" customHeight="1" x14ac:dyDescent="0.25">
      <c r="A422" s="7" t="s">
        <v>589</v>
      </c>
      <c r="B422" s="3">
        <v>25430.89</v>
      </c>
      <c r="C422" s="3">
        <v>13815.99</v>
      </c>
      <c r="D422" s="3">
        <v>21177.32</v>
      </c>
      <c r="E422" s="8">
        <v>60424.2</v>
      </c>
    </row>
    <row r="423" spans="1:5" ht="15" customHeight="1" x14ac:dyDescent="0.25">
      <c r="A423" s="7" t="s">
        <v>590</v>
      </c>
      <c r="B423" s="4" t="s">
        <v>591</v>
      </c>
      <c r="C423" s="4" t="s">
        <v>592</v>
      </c>
      <c r="D423" s="3">
        <v>8403.58</v>
      </c>
      <c r="E423" s="11" t="s">
        <v>593</v>
      </c>
    </row>
    <row r="424" spans="1:5" ht="15" customHeight="1" x14ac:dyDescent="0.25">
      <c r="A424" s="7" t="s">
        <v>595</v>
      </c>
      <c r="B424" s="3">
        <v>37002.239999999998</v>
      </c>
      <c r="C424" s="3">
        <v>6959.69</v>
      </c>
      <c r="D424" s="3">
        <v>4987.78</v>
      </c>
      <c r="E424" s="8">
        <v>48949.71</v>
      </c>
    </row>
    <row r="425" spans="1:5" ht="15" customHeight="1" x14ac:dyDescent="0.25">
      <c r="A425" s="7" t="s">
        <v>596</v>
      </c>
      <c r="B425" s="3">
        <v>492872.41</v>
      </c>
      <c r="C425" s="3">
        <v>183653.97</v>
      </c>
      <c r="D425" s="3">
        <v>687027.17</v>
      </c>
      <c r="E425" s="8">
        <v>1363553.55</v>
      </c>
    </row>
    <row r="426" spans="1:5" ht="15" customHeight="1" x14ac:dyDescent="0.25">
      <c r="A426" s="7" t="s">
        <v>597</v>
      </c>
      <c r="B426" s="3">
        <v>1056354.8899999999</v>
      </c>
      <c r="C426" s="3">
        <v>391428.48</v>
      </c>
      <c r="D426" s="3">
        <v>773895.52</v>
      </c>
      <c r="E426" s="8">
        <v>2221678.89</v>
      </c>
    </row>
    <row r="427" spans="1:5" ht="15" customHeight="1" x14ac:dyDescent="0.25">
      <c r="A427" s="7" t="s">
        <v>598</v>
      </c>
      <c r="B427" s="3">
        <v>72082.47</v>
      </c>
      <c r="C427" s="3">
        <v>40374.11</v>
      </c>
      <c r="D427" s="3">
        <v>42318.63</v>
      </c>
      <c r="E427" s="8">
        <v>154775.21</v>
      </c>
    </row>
    <row r="428" spans="1:5" ht="15" customHeight="1" x14ac:dyDescent="0.25">
      <c r="A428" s="7" t="s">
        <v>599</v>
      </c>
      <c r="B428" s="3">
        <v>133718.70000000001</v>
      </c>
      <c r="C428" s="3">
        <v>53347.58</v>
      </c>
      <c r="D428" s="3">
        <v>86364.54</v>
      </c>
      <c r="E428" s="8">
        <v>273430.82</v>
      </c>
    </row>
    <row r="429" spans="1:5" ht="15" customHeight="1" x14ac:dyDescent="0.25">
      <c r="A429" s="7" t="s">
        <v>600</v>
      </c>
      <c r="B429" s="3">
        <v>182529.49</v>
      </c>
      <c r="C429" s="3">
        <v>76073.070000000007</v>
      </c>
      <c r="D429" s="3">
        <v>235665.4</v>
      </c>
      <c r="E429" s="8">
        <v>494267.96</v>
      </c>
    </row>
    <row r="430" spans="1:5" ht="15" customHeight="1" x14ac:dyDescent="0.25">
      <c r="A430" s="7" t="s">
        <v>601</v>
      </c>
      <c r="B430" s="3">
        <v>295160.7</v>
      </c>
      <c r="C430" s="3">
        <v>156521.06</v>
      </c>
      <c r="D430" s="3">
        <v>287414.37</v>
      </c>
      <c r="E430" s="8">
        <v>739096.13</v>
      </c>
    </row>
    <row r="431" spans="1:5" ht="15" customHeight="1" x14ac:dyDescent="0.25">
      <c r="A431" s="7" t="s">
        <v>602</v>
      </c>
      <c r="B431" s="3">
        <v>66664.009999999995</v>
      </c>
      <c r="C431" s="3">
        <v>27769.84</v>
      </c>
      <c r="D431" s="3">
        <v>51146.95</v>
      </c>
      <c r="E431" s="8">
        <v>145580.79999999999</v>
      </c>
    </row>
    <row r="432" spans="1:5" ht="15" customHeight="1" x14ac:dyDescent="0.25">
      <c r="A432" s="7" t="s">
        <v>603</v>
      </c>
      <c r="B432" s="3">
        <v>2386175.12</v>
      </c>
      <c r="C432" s="3">
        <v>2049471.43</v>
      </c>
      <c r="D432" s="3">
        <v>2727313.74</v>
      </c>
      <c r="E432" s="8">
        <v>7162960.29</v>
      </c>
    </row>
    <row r="433" spans="1:5" ht="15" customHeight="1" x14ac:dyDescent="0.25">
      <c r="A433" s="7" t="s">
        <v>604</v>
      </c>
      <c r="B433" s="3">
        <v>69463.929999999993</v>
      </c>
      <c r="C433" s="3">
        <v>26941.73</v>
      </c>
      <c r="D433" s="3">
        <v>44510.65</v>
      </c>
      <c r="E433" s="8">
        <v>140916.31</v>
      </c>
    </row>
    <row r="434" spans="1:5" ht="15" customHeight="1" x14ac:dyDescent="0.25">
      <c r="A434" s="7" t="s">
        <v>605</v>
      </c>
      <c r="B434" s="3">
        <v>195481.02</v>
      </c>
      <c r="C434" s="3">
        <v>86455.4</v>
      </c>
      <c r="D434" s="3">
        <v>261385.3</v>
      </c>
      <c r="E434" s="8">
        <v>543321.72</v>
      </c>
    </row>
    <row r="435" spans="1:5" ht="15" customHeight="1" x14ac:dyDescent="0.25">
      <c r="A435" s="7" t="s">
        <v>606</v>
      </c>
      <c r="B435" s="3">
        <v>32710</v>
      </c>
      <c r="C435" s="3">
        <v>5773.02</v>
      </c>
      <c r="D435" s="3">
        <v>16014.82</v>
      </c>
      <c r="E435" s="8">
        <v>54497.84</v>
      </c>
    </row>
    <row r="436" spans="1:5" ht="15" customHeight="1" x14ac:dyDescent="0.25">
      <c r="A436" s="7" t="s">
        <v>607</v>
      </c>
      <c r="B436" s="3">
        <v>72956.66</v>
      </c>
      <c r="C436" s="3">
        <v>39744.93</v>
      </c>
      <c r="D436" s="3">
        <v>49387.49</v>
      </c>
      <c r="E436" s="8">
        <v>162089.07999999999</v>
      </c>
    </row>
    <row r="437" spans="1:5" ht="15" customHeight="1" x14ac:dyDescent="0.25">
      <c r="A437" s="7" t="s">
        <v>608</v>
      </c>
      <c r="B437" s="3">
        <v>59973.25</v>
      </c>
      <c r="C437" s="3">
        <v>16527.490000000002</v>
      </c>
      <c r="D437" s="3">
        <v>26748.44</v>
      </c>
      <c r="E437" s="8">
        <v>103249.18</v>
      </c>
    </row>
    <row r="438" spans="1:5" ht="15" customHeight="1" x14ac:dyDescent="0.25">
      <c r="A438" s="7" t="s">
        <v>609</v>
      </c>
      <c r="B438" s="3">
        <v>252239.19</v>
      </c>
      <c r="C438" s="3">
        <v>23914.22</v>
      </c>
      <c r="D438" s="3">
        <v>119037.56</v>
      </c>
      <c r="E438" s="8">
        <v>395190.97</v>
      </c>
    </row>
    <row r="439" spans="1:5" ht="15" customHeight="1" x14ac:dyDescent="0.25">
      <c r="A439" s="7" t="s">
        <v>610</v>
      </c>
      <c r="B439" s="3">
        <v>122197.84</v>
      </c>
      <c r="C439" s="3">
        <v>417660.37</v>
      </c>
      <c r="D439" s="3">
        <v>62650.84</v>
      </c>
      <c r="E439" s="8">
        <v>602509.05000000005</v>
      </c>
    </row>
    <row r="440" spans="1:5" ht="15" customHeight="1" x14ac:dyDescent="0.25">
      <c r="A440" s="7" t="s">
        <v>611</v>
      </c>
      <c r="B440" s="3">
        <v>2064222.09</v>
      </c>
      <c r="C440" s="3">
        <v>1753826.64</v>
      </c>
      <c r="D440" s="3">
        <v>2423231.94</v>
      </c>
      <c r="E440" s="8">
        <v>6241280.6699999999</v>
      </c>
    </row>
    <row r="441" spans="1:5" ht="15" customHeight="1" x14ac:dyDescent="0.25">
      <c r="A441" s="7" t="s">
        <v>612</v>
      </c>
      <c r="B441" s="3">
        <v>78386.64</v>
      </c>
      <c r="C441" s="3">
        <v>12213.37</v>
      </c>
      <c r="D441" s="3">
        <v>51520.34</v>
      </c>
      <c r="E441" s="8">
        <v>142120.35</v>
      </c>
    </row>
    <row r="442" spans="1:5" ht="15" customHeight="1" x14ac:dyDescent="0.25">
      <c r="A442" s="7" t="s">
        <v>613</v>
      </c>
      <c r="B442" s="3">
        <v>8700.7099999999991</v>
      </c>
      <c r="C442" s="3">
        <v>3792.33</v>
      </c>
      <c r="D442" s="3">
        <v>8150.97</v>
      </c>
      <c r="E442" s="8">
        <v>20644.009999999998</v>
      </c>
    </row>
    <row r="443" spans="1:5" ht="15" customHeight="1" x14ac:dyDescent="0.25">
      <c r="A443" s="7" t="s">
        <v>614</v>
      </c>
      <c r="B443" s="3">
        <v>149776.71</v>
      </c>
      <c r="C443" s="3">
        <v>51176.67</v>
      </c>
      <c r="D443" s="3">
        <v>98853.67</v>
      </c>
      <c r="E443" s="8">
        <v>299807.05</v>
      </c>
    </row>
    <row r="444" spans="1:5" ht="15" customHeight="1" x14ac:dyDescent="0.25">
      <c r="A444" s="7" t="s">
        <v>615</v>
      </c>
      <c r="B444" s="3">
        <v>151159.93</v>
      </c>
      <c r="C444" s="3">
        <v>65087.43</v>
      </c>
      <c r="D444" s="3">
        <v>97455.1</v>
      </c>
      <c r="E444" s="8">
        <v>313702.46000000002</v>
      </c>
    </row>
    <row r="445" spans="1:5" ht="15" customHeight="1" x14ac:dyDescent="0.25">
      <c r="A445" s="7" t="s">
        <v>616</v>
      </c>
      <c r="B445" s="3">
        <v>1321154.74</v>
      </c>
      <c r="C445" s="3">
        <v>781272.02</v>
      </c>
      <c r="D445" s="3">
        <v>1390169.84</v>
      </c>
      <c r="E445" s="8">
        <v>3492596.6</v>
      </c>
    </row>
    <row r="446" spans="1:5" ht="15" customHeight="1" x14ac:dyDescent="0.25">
      <c r="A446" s="7" t="s">
        <v>617</v>
      </c>
      <c r="B446" s="3">
        <v>653857.31999999995</v>
      </c>
      <c r="C446" s="3">
        <v>240008.24</v>
      </c>
      <c r="D446" s="3">
        <v>585590.85</v>
      </c>
      <c r="E446" s="8">
        <v>1479456.41</v>
      </c>
    </row>
    <row r="447" spans="1:5" ht="15" customHeight="1" x14ac:dyDescent="0.25">
      <c r="A447" s="7" t="s">
        <v>618</v>
      </c>
      <c r="B447" s="3">
        <v>751.11</v>
      </c>
      <c r="C447" s="5"/>
      <c r="D447" s="3">
        <v>2097.3200000000002</v>
      </c>
      <c r="E447" s="8">
        <v>2848.43</v>
      </c>
    </row>
    <row r="448" spans="1:5" ht="15" customHeight="1" x14ac:dyDescent="0.25">
      <c r="A448" s="7" t="s">
        <v>619</v>
      </c>
      <c r="B448" s="3">
        <v>751.12</v>
      </c>
      <c r="C448" s="5"/>
      <c r="D448" s="3">
        <v>1748</v>
      </c>
      <c r="E448" s="8">
        <v>2499.12</v>
      </c>
    </row>
    <row r="449" spans="1:5" ht="15" customHeight="1" x14ac:dyDescent="0.25">
      <c r="A449" s="7" t="s">
        <v>620</v>
      </c>
      <c r="B449" s="3">
        <v>7024.8</v>
      </c>
      <c r="C449" s="3">
        <v>158877.20000000001</v>
      </c>
      <c r="D449" s="3">
        <v>72881.759999999995</v>
      </c>
      <c r="E449" s="8">
        <v>238783.76</v>
      </c>
    </row>
    <row r="450" spans="1:5" ht="15" customHeight="1" x14ac:dyDescent="0.25">
      <c r="A450" s="7" t="s">
        <v>622</v>
      </c>
      <c r="B450" s="3">
        <v>13207.01</v>
      </c>
      <c r="C450" s="3">
        <v>32026.65</v>
      </c>
      <c r="D450" s="3">
        <v>3381.64</v>
      </c>
      <c r="E450" s="8">
        <v>48615.3</v>
      </c>
    </row>
    <row r="451" spans="1:5" ht="15" customHeight="1" x14ac:dyDescent="0.25">
      <c r="A451" s="7" t="s">
        <v>623</v>
      </c>
      <c r="B451" s="3">
        <v>751.11</v>
      </c>
      <c r="C451" s="3">
        <v>2514.16</v>
      </c>
      <c r="D451" s="3">
        <v>1887.88</v>
      </c>
      <c r="E451" s="8">
        <v>5153.1499999999996</v>
      </c>
    </row>
    <row r="452" spans="1:5" ht="15" customHeight="1" x14ac:dyDescent="0.25">
      <c r="A452" s="7" t="s">
        <v>624</v>
      </c>
      <c r="B452" s="3">
        <v>216796.15</v>
      </c>
      <c r="C452" s="3">
        <v>93775.25</v>
      </c>
      <c r="D452" s="3">
        <v>420190.55</v>
      </c>
      <c r="E452" s="8">
        <v>730761.95</v>
      </c>
    </row>
    <row r="453" spans="1:5" ht="15" customHeight="1" x14ac:dyDescent="0.25">
      <c r="A453" s="7" t="s">
        <v>625</v>
      </c>
      <c r="B453" s="3">
        <v>213756.1</v>
      </c>
      <c r="C453" s="3">
        <v>91234.99</v>
      </c>
      <c r="D453" s="3">
        <v>162341.93</v>
      </c>
      <c r="E453" s="8">
        <v>467333.02</v>
      </c>
    </row>
    <row r="454" spans="1:5" ht="15" customHeight="1" x14ac:dyDescent="0.25">
      <c r="A454" s="7" t="s">
        <v>626</v>
      </c>
      <c r="B454" s="3">
        <v>902257.84</v>
      </c>
      <c r="C454" s="3">
        <v>475392.56</v>
      </c>
      <c r="D454" s="3">
        <v>473170.89</v>
      </c>
      <c r="E454" s="8">
        <v>1850821.29</v>
      </c>
    </row>
    <row r="455" spans="1:5" ht="15" customHeight="1" x14ac:dyDescent="0.25">
      <c r="A455" s="7" t="s">
        <v>627</v>
      </c>
      <c r="B455" s="3">
        <v>76631.5</v>
      </c>
      <c r="C455" s="3">
        <v>48459.65</v>
      </c>
      <c r="D455" s="3">
        <v>97471.6</v>
      </c>
      <c r="E455" s="8">
        <v>222562.75</v>
      </c>
    </row>
    <row r="456" spans="1:5" ht="15" customHeight="1" x14ac:dyDescent="0.25">
      <c r="A456" s="7" t="s">
        <v>628</v>
      </c>
      <c r="B456" s="3">
        <v>174990.97</v>
      </c>
      <c r="C456" s="3">
        <v>93998.77</v>
      </c>
      <c r="D456" s="3">
        <v>177879.67999999999</v>
      </c>
      <c r="E456" s="8">
        <v>446869.42</v>
      </c>
    </row>
    <row r="457" spans="1:5" ht="15" customHeight="1" x14ac:dyDescent="0.25">
      <c r="A457" s="7" t="s">
        <v>629</v>
      </c>
      <c r="B457" s="3">
        <v>101835.85</v>
      </c>
      <c r="C457" s="3">
        <v>42197.49</v>
      </c>
      <c r="D457" s="3">
        <v>115217.05</v>
      </c>
      <c r="E457" s="8">
        <v>259250.39</v>
      </c>
    </row>
    <row r="458" spans="1:5" ht="15" customHeight="1" x14ac:dyDescent="0.25">
      <c r="A458" s="7" t="s">
        <v>630</v>
      </c>
      <c r="B458" s="3">
        <v>934285.66</v>
      </c>
      <c r="C458" s="3">
        <v>453075.05</v>
      </c>
      <c r="D458" s="3">
        <v>732524.63</v>
      </c>
      <c r="E458" s="8">
        <v>2119885.34</v>
      </c>
    </row>
    <row r="459" spans="1:5" ht="15" customHeight="1" x14ac:dyDescent="0.25">
      <c r="A459" s="7" t="s">
        <v>631</v>
      </c>
      <c r="B459" s="3">
        <v>679037.42</v>
      </c>
      <c r="C459" s="3">
        <v>331611.90999999997</v>
      </c>
      <c r="D459" s="3">
        <v>522135.06</v>
      </c>
      <c r="E459" s="8">
        <v>1532784.39</v>
      </c>
    </row>
    <row r="460" spans="1:5" ht="15" customHeight="1" x14ac:dyDescent="0.25">
      <c r="A460" s="7" t="s">
        <v>632</v>
      </c>
      <c r="B460" s="3">
        <v>4400</v>
      </c>
      <c r="C460" s="5"/>
      <c r="D460" s="3">
        <v>3325.32</v>
      </c>
      <c r="E460" s="8">
        <v>7725.32</v>
      </c>
    </row>
    <row r="461" spans="1:5" ht="15" customHeight="1" x14ac:dyDescent="0.25">
      <c r="A461" s="7" t="s">
        <v>633</v>
      </c>
      <c r="B461" s="3">
        <v>3241698.38</v>
      </c>
      <c r="C461" s="3">
        <v>988039.06</v>
      </c>
      <c r="D461" s="3">
        <v>1073242.3799999999</v>
      </c>
      <c r="E461" s="8">
        <v>5302979.82</v>
      </c>
    </row>
    <row r="462" spans="1:5" ht="15" customHeight="1" x14ac:dyDescent="0.25">
      <c r="A462" s="7" t="s">
        <v>634</v>
      </c>
      <c r="B462" s="3">
        <v>271450.73</v>
      </c>
      <c r="C462" s="3">
        <v>192952.99</v>
      </c>
      <c r="D462" s="3">
        <v>310106.89</v>
      </c>
      <c r="E462" s="8">
        <v>774510.61</v>
      </c>
    </row>
    <row r="463" spans="1:5" ht="15" customHeight="1" x14ac:dyDescent="0.25">
      <c r="A463" s="7" t="s">
        <v>635</v>
      </c>
      <c r="B463" s="3">
        <v>34043.33</v>
      </c>
      <c r="C463" s="3">
        <v>31361.360000000001</v>
      </c>
      <c r="D463" s="3">
        <v>22508.05</v>
      </c>
      <c r="E463" s="8">
        <v>87912.74</v>
      </c>
    </row>
    <row r="464" spans="1:5" ht="15" customHeight="1" x14ac:dyDescent="0.25">
      <c r="A464" s="7" t="s">
        <v>636</v>
      </c>
      <c r="B464" s="3">
        <v>4963.9799999999996</v>
      </c>
      <c r="C464" s="3">
        <v>3717.28</v>
      </c>
      <c r="D464" s="3">
        <v>13495.23</v>
      </c>
      <c r="E464" s="8">
        <v>22176.49</v>
      </c>
    </row>
    <row r="465" spans="1:5" ht="15" customHeight="1" x14ac:dyDescent="0.25">
      <c r="A465" s="7" t="s">
        <v>637</v>
      </c>
      <c r="B465" s="3">
        <v>350738.22</v>
      </c>
      <c r="C465" s="3">
        <v>301217.2</v>
      </c>
      <c r="D465" s="3">
        <v>329297.55</v>
      </c>
      <c r="E465" s="8">
        <v>981252.97</v>
      </c>
    </row>
    <row r="466" spans="1:5" ht="15" customHeight="1" x14ac:dyDescent="0.25">
      <c r="A466" s="7" t="s">
        <v>638</v>
      </c>
      <c r="B466" s="3">
        <v>428377.96</v>
      </c>
      <c r="C466" s="3">
        <v>489650.22</v>
      </c>
      <c r="D466" s="3">
        <v>481667.08</v>
      </c>
      <c r="E466" s="8">
        <v>1399695.26</v>
      </c>
    </row>
    <row r="467" spans="1:5" ht="15" customHeight="1" x14ac:dyDescent="0.25">
      <c r="A467" s="7" t="s">
        <v>639</v>
      </c>
      <c r="B467" s="3">
        <v>56210.02</v>
      </c>
      <c r="C467" s="3">
        <v>43021.5</v>
      </c>
      <c r="D467" s="3">
        <v>95693.43</v>
      </c>
      <c r="E467" s="8">
        <v>194924.95</v>
      </c>
    </row>
    <row r="468" spans="1:5" ht="15" customHeight="1" x14ac:dyDescent="0.25">
      <c r="A468" s="7" t="s">
        <v>640</v>
      </c>
      <c r="B468" s="3">
        <v>148483.22</v>
      </c>
      <c r="C468" s="3">
        <v>142762.84</v>
      </c>
      <c r="D468" s="3">
        <v>115617.95</v>
      </c>
      <c r="E468" s="8">
        <v>406864.01</v>
      </c>
    </row>
    <row r="469" spans="1:5" ht="15" customHeight="1" x14ac:dyDescent="0.25">
      <c r="A469" s="7" t="s">
        <v>641</v>
      </c>
      <c r="B469" s="3">
        <v>194163.16</v>
      </c>
      <c r="C469" s="3">
        <v>119005.99</v>
      </c>
      <c r="D469" s="3">
        <v>190947.99</v>
      </c>
      <c r="E469" s="8">
        <v>504117.14</v>
      </c>
    </row>
    <row r="470" spans="1:5" ht="15" customHeight="1" x14ac:dyDescent="0.25">
      <c r="A470" s="7" t="s">
        <v>642</v>
      </c>
      <c r="B470" s="3">
        <v>192467.12</v>
      </c>
      <c r="C470" s="3">
        <v>125721</v>
      </c>
      <c r="D470" s="3">
        <v>138114.17000000001</v>
      </c>
      <c r="E470" s="8">
        <v>456302.29</v>
      </c>
    </row>
    <row r="471" spans="1:5" ht="15" customHeight="1" x14ac:dyDescent="0.25">
      <c r="A471" s="7" t="s">
        <v>643</v>
      </c>
      <c r="B471" s="3">
        <v>53549.53</v>
      </c>
      <c r="C471" s="3">
        <v>10689.88</v>
      </c>
      <c r="D471" s="3">
        <v>51485.31</v>
      </c>
      <c r="E471" s="8">
        <v>115724.72</v>
      </c>
    </row>
    <row r="472" spans="1:5" ht="15" customHeight="1" x14ac:dyDescent="0.25">
      <c r="A472" s="7" t="s">
        <v>644</v>
      </c>
      <c r="B472" s="3">
        <v>710922.28</v>
      </c>
      <c r="C472" s="3">
        <v>342659.11</v>
      </c>
      <c r="D472" s="3">
        <v>327413.73</v>
      </c>
      <c r="E472" s="8">
        <v>1380995.12</v>
      </c>
    </row>
    <row r="473" spans="1:5" ht="15" customHeight="1" x14ac:dyDescent="0.25">
      <c r="A473" s="7" t="s">
        <v>645</v>
      </c>
      <c r="B473" s="3">
        <v>131358.49</v>
      </c>
      <c r="C473" s="3">
        <v>49294.97</v>
      </c>
      <c r="D473" s="3">
        <v>100797.73</v>
      </c>
      <c r="E473" s="8">
        <v>281451.19</v>
      </c>
    </row>
    <row r="474" spans="1:5" ht="15" customHeight="1" x14ac:dyDescent="0.25">
      <c r="A474" s="7" t="s">
        <v>646</v>
      </c>
      <c r="B474" s="3">
        <v>81729.759999999995</v>
      </c>
      <c r="C474" s="3">
        <v>78247.789999999994</v>
      </c>
      <c r="D474" s="3">
        <v>111905.84</v>
      </c>
      <c r="E474" s="8">
        <v>271883.39</v>
      </c>
    </row>
    <row r="475" spans="1:5" ht="15" customHeight="1" x14ac:dyDescent="0.25">
      <c r="A475" s="7" t="s">
        <v>647</v>
      </c>
      <c r="B475" s="3">
        <v>58165.69</v>
      </c>
      <c r="C475" s="3">
        <v>36950.019999999997</v>
      </c>
      <c r="D475" s="3">
        <v>102785.73</v>
      </c>
      <c r="E475" s="8">
        <v>197901.44</v>
      </c>
    </row>
    <row r="476" spans="1:5" ht="15" customHeight="1" x14ac:dyDescent="0.25">
      <c r="A476" s="7" t="s">
        <v>648</v>
      </c>
      <c r="B476" s="3">
        <v>813049.92</v>
      </c>
      <c r="C476" s="3">
        <v>638113.06999999995</v>
      </c>
      <c r="D476" s="3">
        <v>528374.06999999995</v>
      </c>
      <c r="E476" s="8">
        <v>1979537.06</v>
      </c>
    </row>
    <row r="477" spans="1:5" ht="15" customHeight="1" x14ac:dyDescent="0.25">
      <c r="A477" s="7" t="s">
        <v>649</v>
      </c>
      <c r="B477" s="3">
        <v>84655.29</v>
      </c>
      <c r="C477" s="3">
        <v>66027.97</v>
      </c>
      <c r="D477" s="3">
        <v>125226.02</v>
      </c>
      <c r="E477" s="8">
        <v>275909.28000000003</v>
      </c>
    </row>
    <row r="478" spans="1:5" ht="15" customHeight="1" x14ac:dyDescent="0.25">
      <c r="A478" s="7" t="s">
        <v>650</v>
      </c>
      <c r="B478" s="3">
        <v>161283.97</v>
      </c>
      <c r="C478" s="3">
        <v>76838.679999999993</v>
      </c>
      <c r="D478" s="3">
        <v>81541.399999999994</v>
      </c>
      <c r="E478" s="8">
        <v>319664.05</v>
      </c>
    </row>
    <row r="479" spans="1:5" ht="15" customHeight="1" x14ac:dyDescent="0.25">
      <c r="A479" s="7" t="s">
        <v>651</v>
      </c>
      <c r="B479" s="3">
        <v>65772.759999999995</v>
      </c>
      <c r="C479" s="3">
        <v>38190.980000000003</v>
      </c>
      <c r="D479" s="3">
        <v>209825.52</v>
      </c>
      <c r="E479" s="8">
        <v>313789.26</v>
      </c>
    </row>
    <row r="480" spans="1:5" ht="15" customHeight="1" x14ac:dyDescent="0.25">
      <c r="A480" s="7" t="s">
        <v>652</v>
      </c>
      <c r="B480" s="3">
        <v>103944.48</v>
      </c>
      <c r="C480" s="3">
        <v>98135.17</v>
      </c>
      <c r="D480" s="3">
        <v>201951.04</v>
      </c>
      <c r="E480" s="8">
        <v>404030.69</v>
      </c>
    </row>
    <row r="481" spans="1:5" ht="15" customHeight="1" x14ac:dyDescent="0.25">
      <c r="A481" s="7" t="s">
        <v>653</v>
      </c>
      <c r="B481" s="3">
        <v>60221.91</v>
      </c>
      <c r="C481" s="3">
        <v>44765.82</v>
      </c>
      <c r="D481" s="3">
        <v>97584.44</v>
      </c>
      <c r="E481" s="8">
        <v>202572.17</v>
      </c>
    </row>
    <row r="482" spans="1:5" ht="15" customHeight="1" x14ac:dyDescent="0.25">
      <c r="A482" s="7" t="s">
        <v>654</v>
      </c>
      <c r="B482" s="3">
        <v>352210.58</v>
      </c>
      <c r="C482" s="3">
        <v>209461.36</v>
      </c>
      <c r="D482" s="3">
        <v>507234.66</v>
      </c>
      <c r="E482" s="8">
        <v>1068906.6000000001</v>
      </c>
    </row>
    <row r="483" spans="1:5" ht="15" customHeight="1" x14ac:dyDescent="0.25">
      <c r="A483" s="7" t="s">
        <v>655</v>
      </c>
      <c r="B483" s="3">
        <v>328108.96999999997</v>
      </c>
      <c r="C483" s="3">
        <v>356048.11</v>
      </c>
      <c r="D483" s="3">
        <v>404305.14</v>
      </c>
      <c r="E483" s="8">
        <v>1088462.22</v>
      </c>
    </row>
    <row r="484" spans="1:5" ht="15" customHeight="1" x14ac:dyDescent="0.25">
      <c r="A484" s="7" t="s">
        <v>656</v>
      </c>
      <c r="B484" s="3">
        <v>288173.03000000003</v>
      </c>
      <c r="C484" s="3">
        <v>241674.41</v>
      </c>
      <c r="D484" s="3">
        <v>314685.53000000003</v>
      </c>
      <c r="E484" s="8">
        <v>844532.97</v>
      </c>
    </row>
    <row r="485" spans="1:5" ht="15" customHeight="1" x14ac:dyDescent="0.25">
      <c r="A485" s="7" t="s">
        <v>657</v>
      </c>
      <c r="B485" s="3">
        <v>49909.49</v>
      </c>
      <c r="C485" s="3">
        <v>2376.1799999999998</v>
      </c>
      <c r="D485" s="3">
        <v>12363.53</v>
      </c>
      <c r="E485" s="8">
        <v>64649.2</v>
      </c>
    </row>
    <row r="486" spans="1:5" ht="15" customHeight="1" x14ac:dyDescent="0.25">
      <c r="A486" s="7" t="s">
        <v>658</v>
      </c>
      <c r="B486" s="3">
        <v>133361.57</v>
      </c>
      <c r="C486" s="3">
        <v>35364.129999999997</v>
      </c>
      <c r="D486" s="3">
        <v>176063.35999999999</v>
      </c>
      <c r="E486" s="8">
        <v>344789.06</v>
      </c>
    </row>
    <row r="487" spans="1:5" ht="15" customHeight="1" x14ac:dyDescent="0.25">
      <c r="A487" s="7" t="s">
        <v>659</v>
      </c>
      <c r="B487" s="3">
        <v>2049.44</v>
      </c>
      <c r="C487" s="3">
        <v>491.56</v>
      </c>
      <c r="D487" s="3">
        <v>13025.16</v>
      </c>
      <c r="E487" s="8">
        <v>15566.16</v>
      </c>
    </row>
    <row r="488" spans="1:5" ht="15" customHeight="1" x14ac:dyDescent="0.25">
      <c r="A488" s="7" t="s">
        <v>660</v>
      </c>
      <c r="B488" s="3">
        <v>910803.44</v>
      </c>
      <c r="C488" s="3">
        <v>708890.28</v>
      </c>
      <c r="D488" s="3">
        <v>957676.12</v>
      </c>
      <c r="E488" s="8">
        <v>2577369.84</v>
      </c>
    </row>
    <row r="489" spans="1:5" ht="15" customHeight="1" x14ac:dyDescent="0.25">
      <c r="A489" s="7" t="s">
        <v>661</v>
      </c>
      <c r="B489" s="3">
        <v>295845.7</v>
      </c>
      <c r="C489" s="3">
        <v>222960.28</v>
      </c>
      <c r="D489" s="3">
        <v>482824</v>
      </c>
      <c r="E489" s="8">
        <v>1001629.98</v>
      </c>
    </row>
    <row r="490" spans="1:5" ht="15" customHeight="1" x14ac:dyDescent="0.25">
      <c r="A490" s="7" t="s">
        <v>662</v>
      </c>
      <c r="B490" s="3">
        <v>297379.36</v>
      </c>
      <c r="C490" s="3">
        <v>268118.3</v>
      </c>
      <c r="D490" s="3">
        <v>402934.89</v>
      </c>
      <c r="E490" s="8">
        <v>968432.55</v>
      </c>
    </row>
    <row r="491" spans="1:5" ht="15" customHeight="1" x14ac:dyDescent="0.25">
      <c r="A491" s="7" t="s">
        <v>663</v>
      </c>
      <c r="B491" s="3">
        <v>367379.52</v>
      </c>
      <c r="C491" s="3">
        <v>203039.29</v>
      </c>
      <c r="D491" s="3">
        <v>516232.29</v>
      </c>
      <c r="E491" s="8">
        <v>1086651.1000000001</v>
      </c>
    </row>
    <row r="492" spans="1:5" ht="15" customHeight="1" x14ac:dyDescent="0.25">
      <c r="A492" s="7" t="s">
        <v>664</v>
      </c>
      <c r="B492" s="3">
        <v>47763.91</v>
      </c>
      <c r="C492" s="3">
        <v>32531.5</v>
      </c>
      <c r="D492" s="3">
        <v>283784.11</v>
      </c>
      <c r="E492" s="8">
        <v>364079.52</v>
      </c>
    </row>
    <row r="493" spans="1:5" ht="15" customHeight="1" x14ac:dyDescent="0.25">
      <c r="A493" s="7" t="s">
        <v>665</v>
      </c>
      <c r="B493" s="3">
        <v>18884.73</v>
      </c>
      <c r="C493" s="3">
        <v>1154.25</v>
      </c>
      <c r="D493" s="3">
        <v>6789.45</v>
      </c>
      <c r="E493" s="8">
        <v>26828.43</v>
      </c>
    </row>
    <row r="494" spans="1:5" ht="15" customHeight="1" x14ac:dyDescent="0.25">
      <c r="A494" s="7" t="s">
        <v>666</v>
      </c>
      <c r="B494" s="3">
        <v>7992.48</v>
      </c>
      <c r="C494" s="5"/>
      <c r="D494" s="5"/>
      <c r="E494" s="8">
        <v>7992.48</v>
      </c>
    </row>
    <row r="495" spans="1:5" ht="15" customHeight="1" x14ac:dyDescent="0.25">
      <c r="A495" s="7" t="s">
        <v>667</v>
      </c>
      <c r="B495" s="3">
        <v>16136.95</v>
      </c>
      <c r="C495" s="3">
        <v>2196.2399999999998</v>
      </c>
      <c r="D495" s="3">
        <v>67082.86</v>
      </c>
      <c r="E495" s="8">
        <v>85416.05</v>
      </c>
    </row>
    <row r="496" spans="1:5" ht="15" customHeight="1" x14ac:dyDescent="0.25">
      <c r="A496" s="7" t="s">
        <v>668</v>
      </c>
      <c r="B496" s="3">
        <v>17901.22</v>
      </c>
      <c r="C496" s="3">
        <v>33389.599999999999</v>
      </c>
      <c r="D496" s="3">
        <v>19702.080000000002</v>
      </c>
      <c r="E496" s="8">
        <v>70992.899999999994</v>
      </c>
    </row>
    <row r="497" spans="1:5" ht="15" customHeight="1" x14ac:dyDescent="0.25">
      <c r="A497" s="7" t="s">
        <v>669</v>
      </c>
      <c r="B497" s="3">
        <v>5395.59</v>
      </c>
      <c r="C497" s="5"/>
      <c r="D497" s="3">
        <v>3712.92</v>
      </c>
      <c r="E497" s="8">
        <v>9108.51</v>
      </c>
    </row>
    <row r="498" spans="1:5" ht="15" customHeight="1" x14ac:dyDescent="0.25">
      <c r="A498" s="7" t="s">
        <v>670</v>
      </c>
      <c r="B498" s="3">
        <v>3857.02</v>
      </c>
      <c r="C498" s="5"/>
      <c r="D498" s="3">
        <v>2251.06</v>
      </c>
      <c r="E498" s="8">
        <v>6108.08</v>
      </c>
    </row>
    <row r="499" spans="1:5" ht="15" customHeight="1" x14ac:dyDescent="0.25">
      <c r="A499" s="7" t="s">
        <v>671</v>
      </c>
      <c r="B499" s="3">
        <v>5395.59</v>
      </c>
      <c r="C499" s="3">
        <v>3340.72</v>
      </c>
      <c r="D499" s="3">
        <v>1283.52</v>
      </c>
      <c r="E499" s="8">
        <v>10019.83</v>
      </c>
    </row>
    <row r="500" spans="1:5" ht="15" customHeight="1" x14ac:dyDescent="0.25">
      <c r="A500" s="7" t="s">
        <v>672</v>
      </c>
      <c r="B500" s="3">
        <v>2697.85</v>
      </c>
      <c r="C500" s="5"/>
      <c r="D500" s="3">
        <v>1746.84</v>
      </c>
      <c r="E500" s="8">
        <v>4444.6899999999996</v>
      </c>
    </row>
    <row r="501" spans="1:5" ht="15" customHeight="1" x14ac:dyDescent="0.25">
      <c r="A501" s="7" t="s">
        <v>673</v>
      </c>
      <c r="B501" s="3">
        <v>226797.67</v>
      </c>
      <c r="C501" s="3">
        <v>267448.69</v>
      </c>
      <c r="D501" s="3">
        <v>279859.71999999997</v>
      </c>
      <c r="E501" s="8">
        <v>774106.08</v>
      </c>
    </row>
    <row r="502" spans="1:5" ht="15" customHeight="1" x14ac:dyDescent="0.25">
      <c r="A502" s="7" t="s">
        <v>674</v>
      </c>
      <c r="B502" s="3">
        <v>914321.89</v>
      </c>
      <c r="C502" s="3">
        <v>1199818.45</v>
      </c>
      <c r="D502" s="3">
        <v>1319455.6200000001</v>
      </c>
      <c r="E502" s="8">
        <v>3433595.96</v>
      </c>
    </row>
    <row r="503" spans="1:5" ht="15" customHeight="1" x14ac:dyDescent="0.25">
      <c r="A503" s="7" t="s">
        <v>675</v>
      </c>
      <c r="B503" s="3">
        <v>1529969.39</v>
      </c>
      <c r="C503" s="3">
        <v>2269101.79</v>
      </c>
      <c r="D503" s="3">
        <v>1926630.87</v>
      </c>
      <c r="E503" s="8">
        <v>5725702.0499999998</v>
      </c>
    </row>
    <row r="504" spans="1:5" ht="15" customHeight="1" x14ac:dyDescent="0.25">
      <c r="A504" s="7" t="s">
        <v>676</v>
      </c>
      <c r="B504" s="3">
        <v>243518.84</v>
      </c>
      <c r="C504" s="3">
        <v>235780.99</v>
      </c>
      <c r="D504" s="3">
        <v>254212.15</v>
      </c>
      <c r="E504" s="8">
        <v>733511.98</v>
      </c>
    </row>
    <row r="505" spans="1:5" ht="15" customHeight="1" x14ac:dyDescent="0.25">
      <c r="A505" s="7" t="s">
        <v>677</v>
      </c>
      <c r="B505" s="3">
        <v>17204.89</v>
      </c>
      <c r="C505" s="3">
        <v>5505.74</v>
      </c>
      <c r="D505" s="3">
        <v>10790.1</v>
      </c>
      <c r="E505" s="8">
        <v>33500.730000000003</v>
      </c>
    </row>
    <row r="506" spans="1:5" ht="15" customHeight="1" x14ac:dyDescent="0.25">
      <c r="A506" s="7" t="s">
        <v>678</v>
      </c>
      <c r="B506" s="3">
        <v>217691.46</v>
      </c>
      <c r="C506" s="3">
        <v>188446.87</v>
      </c>
      <c r="D506" s="3">
        <v>215209.18</v>
      </c>
      <c r="E506" s="8">
        <v>621347.51</v>
      </c>
    </row>
    <row r="507" spans="1:5" ht="15" customHeight="1" x14ac:dyDescent="0.25">
      <c r="A507" s="7" t="s">
        <v>679</v>
      </c>
      <c r="B507" s="3">
        <v>185919.23</v>
      </c>
      <c r="C507" s="3">
        <v>193559.45</v>
      </c>
      <c r="D507" s="3">
        <v>164986.42000000001</v>
      </c>
      <c r="E507" s="8">
        <v>544465.1</v>
      </c>
    </row>
    <row r="508" spans="1:5" ht="15" customHeight="1" x14ac:dyDescent="0.25">
      <c r="A508" s="7" t="s">
        <v>680</v>
      </c>
      <c r="B508" s="3">
        <v>1511670.77</v>
      </c>
      <c r="C508" s="3">
        <v>2594253.8199999998</v>
      </c>
      <c r="D508" s="3">
        <v>1814740.4</v>
      </c>
      <c r="E508" s="8">
        <v>5920664.9900000002</v>
      </c>
    </row>
    <row r="509" spans="1:5" ht="15" customHeight="1" x14ac:dyDescent="0.25">
      <c r="A509" s="7" t="s">
        <v>681</v>
      </c>
      <c r="B509" s="3">
        <v>38975</v>
      </c>
      <c r="C509" s="3">
        <v>25999.75</v>
      </c>
      <c r="D509" s="3">
        <v>12612</v>
      </c>
      <c r="E509" s="8">
        <v>77586.75</v>
      </c>
    </row>
    <row r="510" spans="1:5" ht="15" customHeight="1" x14ac:dyDescent="0.25">
      <c r="A510" s="7" t="s">
        <v>682</v>
      </c>
      <c r="B510" s="3">
        <v>133120.95000000001</v>
      </c>
      <c r="C510" s="3">
        <v>158144.29</v>
      </c>
      <c r="D510" s="3">
        <v>151001.74</v>
      </c>
      <c r="E510" s="8">
        <v>442266.98</v>
      </c>
    </row>
    <row r="511" spans="1:5" ht="15" customHeight="1" x14ac:dyDescent="0.25">
      <c r="A511" s="7" t="s">
        <v>683</v>
      </c>
      <c r="B511" s="3">
        <v>38131.86</v>
      </c>
      <c r="C511" s="3">
        <v>15733.89</v>
      </c>
      <c r="D511" s="3">
        <v>9387.8700000000008</v>
      </c>
      <c r="E511" s="8">
        <v>63253.62</v>
      </c>
    </row>
    <row r="512" spans="1:5" ht="15" customHeight="1" x14ac:dyDescent="0.25">
      <c r="A512" s="7" t="s">
        <v>684</v>
      </c>
      <c r="B512" s="3">
        <v>1305124.43</v>
      </c>
      <c r="C512" s="3">
        <v>621054.80000000005</v>
      </c>
      <c r="D512" s="3">
        <v>1277659.8899999999</v>
      </c>
      <c r="E512" s="8">
        <v>3203839.12</v>
      </c>
    </row>
    <row r="513" spans="1:5" ht="15" customHeight="1" x14ac:dyDescent="0.25">
      <c r="A513" s="7" t="s">
        <v>685</v>
      </c>
      <c r="B513" s="3">
        <v>73129.58</v>
      </c>
      <c r="C513" s="3">
        <v>107317.31</v>
      </c>
      <c r="D513" s="3">
        <v>74005.649999999994</v>
      </c>
      <c r="E513" s="8">
        <v>254452.54</v>
      </c>
    </row>
    <row r="514" spans="1:5" ht="15" customHeight="1" x14ac:dyDescent="0.25">
      <c r="A514" s="7" t="s">
        <v>686</v>
      </c>
      <c r="B514" s="3">
        <v>78984.55</v>
      </c>
      <c r="C514" s="3">
        <v>58678.59</v>
      </c>
      <c r="D514" s="3">
        <v>115818.04</v>
      </c>
      <c r="E514" s="8">
        <v>253481.18</v>
      </c>
    </row>
    <row r="515" spans="1:5" ht="15" customHeight="1" x14ac:dyDescent="0.25">
      <c r="A515" s="7" t="s">
        <v>687</v>
      </c>
      <c r="B515" s="3">
        <v>50017.54</v>
      </c>
      <c r="C515" s="3">
        <v>274956.71999999997</v>
      </c>
      <c r="D515" s="3">
        <v>233284.79</v>
      </c>
      <c r="E515" s="8">
        <v>558259.05000000005</v>
      </c>
    </row>
    <row r="516" spans="1:5" ht="15" customHeight="1" x14ac:dyDescent="0.25">
      <c r="A516" s="7" t="s">
        <v>688</v>
      </c>
      <c r="B516" s="3">
        <v>332319</v>
      </c>
      <c r="C516" s="3">
        <v>326228.36</v>
      </c>
      <c r="D516" s="3">
        <v>264059.24</v>
      </c>
      <c r="E516" s="8">
        <v>922606.6</v>
      </c>
    </row>
    <row r="517" spans="1:5" ht="15" customHeight="1" x14ac:dyDescent="0.25">
      <c r="A517" s="7" t="s">
        <v>689</v>
      </c>
      <c r="B517" s="3">
        <v>171572.5</v>
      </c>
      <c r="C517" s="5"/>
      <c r="D517" s="3">
        <v>9897</v>
      </c>
      <c r="E517" s="8">
        <v>181469.5</v>
      </c>
    </row>
    <row r="518" spans="1:5" ht="15" customHeight="1" x14ac:dyDescent="0.25">
      <c r="A518" s="7" t="s">
        <v>690</v>
      </c>
      <c r="B518" s="3">
        <v>30497.08</v>
      </c>
      <c r="C518" s="3">
        <v>31293.72</v>
      </c>
      <c r="D518" s="3">
        <v>24831.02</v>
      </c>
      <c r="E518" s="8">
        <v>86621.82</v>
      </c>
    </row>
    <row r="519" spans="1:5" ht="15" customHeight="1" x14ac:dyDescent="0.25">
      <c r="A519" s="7" t="s">
        <v>692</v>
      </c>
      <c r="B519" s="3">
        <v>1269456.71</v>
      </c>
      <c r="C519" s="3">
        <v>1490385.05</v>
      </c>
      <c r="D519" s="3">
        <v>1074688.03</v>
      </c>
      <c r="E519" s="8">
        <v>3834529.79</v>
      </c>
    </row>
    <row r="520" spans="1:5" ht="15" customHeight="1" x14ac:dyDescent="0.25">
      <c r="A520" s="7" t="s">
        <v>693</v>
      </c>
      <c r="B520" s="3">
        <v>597471.85</v>
      </c>
      <c r="C520" s="3">
        <v>1512295.23</v>
      </c>
      <c r="D520" s="3">
        <v>1394387.45</v>
      </c>
      <c r="E520" s="8">
        <v>3504154.53</v>
      </c>
    </row>
    <row r="521" spans="1:5" ht="15" customHeight="1" x14ac:dyDescent="0.25">
      <c r="A521" s="7" t="s">
        <v>694</v>
      </c>
      <c r="B521" s="3">
        <v>74938.320000000007</v>
      </c>
      <c r="C521" s="3">
        <v>465372.52</v>
      </c>
      <c r="D521" s="3">
        <v>728966.79</v>
      </c>
      <c r="E521" s="8">
        <v>1269277.6299999999</v>
      </c>
    </row>
    <row r="522" spans="1:5" ht="15" customHeight="1" x14ac:dyDescent="0.25">
      <c r="A522" s="7" t="s">
        <v>695</v>
      </c>
      <c r="B522" s="3">
        <v>21543.54</v>
      </c>
      <c r="C522" s="3">
        <v>1387.86</v>
      </c>
      <c r="D522" s="3">
        <v>18224.2</v>
      </c>
      <c r="E522" s="8">
        <v>41155.599999999999</v>
      </c>
    </row>
    <row r="523" spans="1:5" ht="15" customHeight="1" x14ac:dyDescent="0.25">
      <c r="A523" s="7" t="s">
        <v>696</v>
      </c>
      <c r="B523" s="3">
        <v>412148.79</v>
      </c>
      <c r="C523" s="3">
        <v>551666.64</v>
      </c>
      <c r="D523" s="3">
        <v>540431.72</v>
      </c>
      <c r="E523" s="8">
        <v>1504247.15</v>
      </c>
    </row>
    <row r="524" spans="1:5" ht="15" customHeight="1" x14ac:dyDescent="0.25">
      <c r="A524" s="7" t="s">
        <v>697</v>
      </c>
      <c r="B524" s="3">
        <v>753205.61</v>
      </c>
      <c r="C524" s="3">
        <v>529324.14</v>
      </c>
      <c r="D524" s="3">
        <v>1135290.54</v>
      </c>
      <c r="E524" s="8">
        <v>2417820.29</v>
      </c>
    </row>
    <row r="525" spans="1:5" ht="15" customHeight="1" x14ac:dyDescent="0.25">
      <c r="A525" s="7" t="s">
        <v>699</v>
      </c>
      <c r="B525" s="3">
        <v>2287437.92</v>
      </c>
      <c r="C525" s="3">
        <v>2520262.0099999998</v>
      </c>
      <c r="D525" s="3">
        <v>1806508.95</v>
      </c>
      <c r="E525" s="8">
        <v>6614208.8799999999</v>
      </c>
    </row>
    <row r="526" spans="1:5" ht="15" customHeight="1" x14ac:dyDescent="0.25">
      <c r="A526" s="7" t="s">
        <v>700</v>
      </c>
      <c r="B526" s="3">
        <v>203020.85</v>
      </c>
      <c r="C526" s="4" t="s">
        <v>701</v>
      </c>
      <c r="D526" s="3">
        <v>436346.52</v>
      </c>
      <c r="E526" s="8">
        <v>545063.23</v>
      </c>
    </row>
    <row r="527" spans="1:5" ht="15" customHeight="1" x14ac:dyDescent="0.25">
      <c r="A527" s="7" t="s">
        <v>702</v>
      </c>
      <c r="B527" s="3">
        <v>482538.78</v>
      </c>
      <c r="C527" s="5"/>
      <c r="D527" s="3">
        <v>61666.91</v>
      </c>
      <c r="E527" s="8">
        <v>544205.68999999994</v>
      </c>
    </row>
    <row r="528" spans="1:5" ht="15" customHeight="1" x14ac:dyDescent="0.25">
      <c r="A528" s="7" t="s">
        <v>703</v>
      </c>
      <c r="B528" s="3">
        <v>292204.17</v>
      </c>
      <c r="C528" s="3">
        <v>930534.3</v>
      </c>
      <c r="D528" s="3">
        <v>44421.279999999999</v>
      </c>
      <c r="E528" s="8">
        <v>1267159.75</v>
      </c>
    </row>
    <row r="529" spans="1:5" ht="15" customHeight="1" x14ac:dyDescent="0.25">
      <c r="A529" s="7" t="s">
        <v>705</v>
      </c>
      <c r="B529" s="3">
        <v>934738.38</v>
      </c>
      <c r="C529" s="3">
        <v>1602275.82</v>
      </c>
      <c r="D529" s="3">
        <v>513555.02</v>
      </c>
      <c r="E529" s="8">
        <v>3050569.22</v>
      </c>
    </row>
    <row r="530" spans="1:5" ht="15" customHeight="1" x14ac:dyDescent="0.25">
      <c r="A530" s="7" t="s">
        <v>706</v>
      </c>
      <c r="B530" s="3">
        <v>589788.74</v>
      </c>
      <c r="C530" s="4" t="s">
        <v>707</v>
      </c>
      <c r="D530" s="3">
        <v>303095.57</v>
      </c>
      <c r="E530" s="11" t="s">
        <v>708</v>
      </c>
    </row>
    <row r="531" spans="1:5" ht="15" customHeight="1" x14ac:dyDescent="0.25">
      <c r="A531" s="7" t="s">
        <v>709</v>
      </c>
      <c r="B531" s="3">
        <v>229142.86</v>
      </c>
      <c r="C531" s="3">
        <v>75242.23</v>
      </c>
      <c r="D531" s="3">
        <v>123075.92</v>
      </c>
      <c r="E531" s="8">
        <v>427461.01</v>
      </c>
    </row>
    <row r="532" spans="1:5" ht="15" customHeight="1" x14ac:dyDescent="0.25">
      <c r="A532" s="7" t="s">
        <v>710</v>
      </c>
      <c r="B532" s="3">
        <v>606569.76</v>
      </c>
      <c r="C532" s="3">
        <v>64076.32</v>
      </c>
      <c r="D532" s="3">
        <v>295755.90000000002</v>
      </c>
      <c r="E532" s="8">
        <v>966401.98</v>
      </c>
    </row>
    <row r="533" spans="1:5" ht="15" customHeight="1" x14ac:dyDescent="0.25">
      <c r="A533" s="7" t="s">
        <v>711</v>
      </c>
      <c r="B533" s="3">
        <v>6015.98</v>
      </c>
      <c r="C533" s="5"/>
      <c r="D533" s="3">
        <v>63788.71</v>
      </c>
      <c r="E533" s="8">
        <v>69804.69</v>
      </c>
    </row>
    <row r="534" spans="1:5" ht="15" customHeight="1" x14ac:dyDescent="0.25">
      <c r="A534" s="7" t="s">
        <v>717</v>
      </c>
      <c r="B534" s="3">
        <v>2280</v>
      </c>
      <c r="C534" s="5"/>
      <c r="D534" s="3">
        <v>8370</v>
      </c>
      <c r="E534" s="8">
        <v>10650</v>
      </c>
    </row>
    <row r="535" spans="1:5" ht="15" customHeight="1" x14ac:dyDescent="0.25">
      <c r="A535" s="7" t="s">
        <v>718</v>
      </c>
      <c r="B535" s="4" t="s">
        <v>719</v>
      </c>
      <c r="C535" s="4" t="s">
        <v>720</v>
      </c>
      <c r="D535" s="4" t="s">
        <v>721</v>
      </c>
      <c r="E535" s="11" t="s">
        <v>722</v>
      </c>
    </row>
    <row r="536" spans="1:5" ht="15" customHeight="1" x14ac:dyDescent="0.25">
      <c r="A536" s="7" t="s">
        <v>723</v>
      </c>
      <c r="B536" s="3">
        <v>947093.73</v>
      </c>
      <c r="C536" s="5"/>
      <c r="D536" s="3">
        <v>307854.96000000002</v>
      </c>
      <c r="E536" s="8">
        <v>1254948.69</v>
      </c>
    </row>
    <row r="537" spans="1:5" ht="15" customHeight="1" x14ac:dyDescent="0.25">
      <c r="A537" s="7" t="s">
        <v>725</v>
      </c>
      <c r="B537" s="3">
        <v>94883.63</v>
      </c>
      <c r="C537" s="5"/>
      <c r="D537" s="3">
        <v>18063.29</v>
      </c>
      <c r="E537" s="8">
        <v>112946.92</v>
      </c>
    </row>
    <row r="538" spans="1:5" ht="15" customHeight="1" x14ac:dyDescent="0.25">
      <c r="A538" s="7" t="s">
        <v>726</v>
      </c>
      <c r="B538" s="3">
        <v>3361.78</v>
      </c>
      <c r="C538" s="5"/>
      <c r="D538" s="5"/>
      <c r="E538" s="8">
        <v>3361.78</v>
      </c>
    </row>
    <row r="539" spans="1:5" ht="15" customHeight="1" x14ac:dyDescent="0.25">
      <c r="A539" s="7" t="s">
        <v>729</v>
      </c>
      <c r="B539" s="3">
        <v>385221.32</v>
      </c>
      <c r="C539" s="5"/>
      <c r="D539" s="3">
        <v>55359.95</v>
      </c>
      <c r="E539" s="8">
        <v>440581.27</v>
      </c>
    </row>
    <row r="540" spans="1:5" ht="15" customHeight="1" x14ac:dyDescent="0.25">
      <c r="A540" s="7" t="s">
        <v>730</v>
      </c>
      <c r="B540" s="3">
        <v>570144.75</v>
      </c>
      <c r="C540" s="3">
        <v>127755.23</v>
      </c>
      <c r="D540" s="3">
        <v>927785.71</v>
      </c>
      <c r="E540" s="8">
        <v>1625685.69</v>
      </c>
    </row>
    <row r="541" spans="1:5" ht="15" customHeight="1" x14ac:dyDescent="0.25">
      <c r="A541" s="7" t="s">
        <v>731</v>
      </c>
      <c r="B541" s="3">
        <v>3626616.21</v>
      </c>
      <c r="C541" s="3">
        <v>2439613.37</v>
      </c>
      <c r="D541" s="3">
        <v>3444038.85</v>
      </c>
      <c r="E541" s="8">
        <v>9510268.4299999997</v>
      </c>
    </row>
    <row r="542" spans="1:5" ht="15" customHeight="1" x14ac:dyDescent="0.25">
      <c r="A542" s="7" t="s">
        <v>732</v>
      </c>
      <c r="B542" s="3">
        <v>103904.65</v>
      </c>
      <c r="C542" s="5"/>
      <c r="D542" s="3">
        <v>55083.03</v>
      </c>
      <c r="E542" s="8">
        <v>158987.68</v>
      </c>
    </row>
    <row r="543" spans="1:5" ht="15" customHeight="1" x14ac:dyDescent="0.25">
      <c r="A543" s="7" t="s">
        <v>733</v>
      </c>
      <c r="B543" s="3">
        <v>84154.76</v>
      </c>
      <c r="C543" s="3">
        <v>2024.07</v>
      </c>
      <c r="D543" s="3">
        <v>25289.96</v>
      </c>
      <c r="E543" s="8">
        <v>111468.79</v>
      </c>
    </row>
    <row r="544" spans="1:5" ht="15" customHeight="1" x14ac:dyDescent="0.25">
      <c r="A544" s="7" t="s">
        <v>734</v>
      </c>
      <c r="B544" s="3">
        <v>2121642.92</v>
      </c>
      <c r="C544" s="5"/>
      <c r="D544" s="3">
        <v>145865.13</v>
      </c>
      <c r="E544" s="8">
        <v>2267508.0499999998</v>
      </c>
    </row>
    <row r="545" spans="1:5" ht="15" customHeight="1" x14ac:dyDescent="0.25">
      <c r="A545" s="7" t="s">
        <v>736</v>
      </c>
      <c r="B545" s="3">
        <v>205403.54</v>
      </c>
      <c r="C545" s="5"/>
      <c r="D545" s="3">
        <v>83943.22</v>
      </c>
      <c r="E545" s="8">
        <v>289346.76</v>
      </c>
    </row>
    <row r="546" spans="1:5" ht="15" customHeight="1" x14ac:dyDescent="0.25">
      <c r="A546" s="7" t="s">
        <v>737</v>
      </c>
      <c r="B546" s="3">
        <v>323860.14</v>
      </c>
      <c r="C546" s="5"/>
      <c r="D546" s="3">
        <v>49855.5</v>
      </c>
      <c r="E546" s="8">
        <v>373715.64</v>
      </c>
    </row>
    <row r="547" spans="1:5" ht="15" customHeight="1" x14ac:dyDescent="0.25">
      <c r="A547" s="7" t="s">
        <v>738</v>
      </c>
      <c r="B547" s="3">
        <v>596537.68999999994</v>
      </c>
      <c r="C547" s="5"/>
      <c r="D547" s="3">
        <v>94743.16</v>
      </c>
      <c r="E547" s="8">
        <v>691280.85</v>
      </c>
    </row>
    <row r="548" spans="1:5" ht="15" customHeight="1" x14ac:dyDescent="0.25">
      <c r="A548" s="7" t="s">
        <v>739</v>
      </c>
      <c r="B548" s="3">
        <v>154196.76</v>
      </c>
      <c r="C548" s="5"/>
      <c r="D548" s="3">
        <v>4170.8599999999997</v>
      </c>
      <c r="E548" s="8">
        <v>158367.62</v>
      </c>
    </row>
    <row r="549" spans="1:5" ht="22.5" customHeight="1" x14ac:dyDescent="0.25">
      <c r="A549" s="7" t="s">
        <v>740</v>
      </c>
      <c r="B549" s="3">
        <v>948070.25</v>
      </c>
      <c r="C549" s="4" t="s">
        <v>741</v>
      </c>
      <c r="D549" s="4" t="s">
        <v>742</v>
      </c>
      <c r="E549" s="11" t="s">
        <v>743</v>
      </c>
    </row>
    <row r="550" spans="1:5" ht="15" customHeight="1" x14ac:dyDescent="0.25">
      <c r="A550" s="7" t="s">
        <v>744</v>
      </c>
      <c r="B550" s="3">
        <v>506836.43</v>
      </c>
      <c r="C550" s="5"/>
      <c r="D550" s="3">
        <v>110084.91</v>
      </c>
      <c r="E550" s="8">
        <v>616921.34</v>
      </c>
    </row>
    <row r="551" spans="1:5" ht="15" customHeight="1" x14ac:dyDescent="0.25">
      <c r="A551" s="7" t="s">
        <v>745</v>
      </c>
      <c r="B551" s="3">
        <v>442388.06</v>
      </c>
      <c r="C551" s="5"/>
      <c r="D551" s="3">
        <v>28257.02</v>
      </c>
      <c r="E551" s="8">
        <v>470645.08</v>
      </c>
    </row>
    <row r="552" spans="1:5" ht="15" customHeight="1" x14ac:dyDescent="0.25">
      <c r="A552" s="7" t="s">
        <v>746</v>
      </c>
      <c r="B552" s="3">
        <v>169117.53</v>
      </c>
      <c r="C552" s="5"/>
      <c r="D552" s="3">
        <v>67397.899999999994</v>
      </c>
      <c r="E552" s="8">
        <v>236515.43</v>
      </c>
    </row>
    <row r="553" spans="1:5" ht="15" customHeight="1" x14ac:dyDescent="0.25">
      <c r="A553" s="7" t="s">
        <v>747</v>
      </c>
      <c r="B553" s="3">
        <v>613163.74</v>
      </c>
      <c r="C553" s="5"/>
      <c r="D553" s="3">
        <v>19569.330000000002</v>
      </c>
      <c r="E553" s="8">
        <v>632733.06999999995</v>
      </c>
    </row>
    <row r="554" spans="1:5" ht="15" customHeight="1" x14ac:dyDescent="0.25">
      <c r="A554" s="7" t="s">
        <v>748</v>
      </c>
      <c r="B554" s="3">
        <v>676463.73</v>
      </c>
      <c r="C554" s="5"/>
      <c r="D554" s="3">
        <v>24119.54</v>
      </c>
      <c r="E554" s="8">
        <v>700583.27</v>
      </c>
    </row>
    <row r="555" spans="1:5" ht="15" customHeight="1" x14ac:dyDescent="0.25">
      <c r="A555" s="7" t="s">
        <v>750</v>
      </c>
      <c r="B555" s="3">
        <v>749607.25</v>
      </c>
      <c r="C555" s="3">
        <v>990101.69</v>
      </c>
      <c r="D555" s="3">
        <v>546384.34</v>
      </c>
      <c r="E555" s="8">
        <v>2286093.2799999998</v>
      </c>
    </row>
    <row r="556" spans="1:5" ht="15" customHeight="1" x14ac:dyDescent="0.25">
      <c r="A556" s="7" t="s">
        <v>751</v>
      </c>
      <c r="B556" s="3">
        <v>273288.59000000003</v>
      </c>
      <c r="C556" s="5"/>
      <c r="D556" s="3">
        <v>3720.17</v>
      </c>
      <c r="E556" s="8">
        <v>277008.76</v>
      </c>
    </row>
    <row r="557" spans="1:5" ht="15" customHeight="1" x14ac:dyDescent="0.25">
      <c r="A557" s="7" t="s">
        <v>752</v>
      </c>
      <c r="B557" s="3">
        <v>272130.52</v>
      </c>
      <c r="C557" s="5"/>
      <c r="D557" s="3">
        <v>23437.35</v>
      </c>
      <c r="E557" s="8">
        <v>295567.87</v>
      </c>
    </row>
    <row r="558" spans="1:5" ht="15" customHeight="1" x14ac:dyDescent="0.25">
      <c r="A558" s="7" t="s">
        <v>755</v>
      </c>
      <c r="B558" s="3">
        <v>490052.83</v>
      </c>
      <c r="C558" s="5"/>
      <c r="D558" s="3">
        <v>27471.16</v>
      </c>
      <c r="E558" s="8">
        <v>517523.99</v>
      </c>
    </row>
    <row r="559" spans="1:5" ht="15" customHeight="1" x14ac:dyDescent="0.25">
      <c r="A559" s="7" t="s">
        <v>756</v>
      </c>
      <c r="B559" s="3">
        <v>646776.25</v>
      </c>
      <c r="C559" s="5"/>
      <c r="D559" s="3">
        <v>24217.69</v>
      </c>
      <c r="E559" s="8">
        <v>670993.93999999994</v>
      </c>
    </row>
    <row r="560" spans="1:5" ht="15" customHeight="1" x14ac:dyDescent="0.25">
      <c r="A560" s="7" t="s">
        <v>758</v>
      </c>
      <c r="B560" s="3">
        <v>137294.26</v>
      </c>
      <c r="C560" s="3">
        <v>3318</v>
      </c>
      <c r="D560" s="3">
        <v>137154</v>
      </c>
      <c r="E560" s="8">
        <v>277766.26</v>
      </c>
    </row>
    <row r="561" spans="1:5" ht="15" customHeight="1" x14ac:dyDescent="0.25">
      <c r="A561" s="7" t="s">
        <v>760</v>
      </c>
      <c r="B561" s="3">
        <v>531.94999999999902</v>
      </c>
      <c r="C561" s="3">
        <v>2302.38</v>
      </c>
      <c r="D561" s="3">
        <v>4391.0600000000004</v>
      </c>
      <c r="E561" s="8">
        <v>7225.39</v>
      </c>
    </row>
    <row r="562" spans="1:5" ht="15" customHeight="1" x14ac:dyDescent="0.25">
      <c r="A562" s="7" t="s">
        <v>761</v>
      </c>
      <c r="B562" s="3">
        <v>237170.5</v>
      </c>
      <c r="C562" s="3">
        <v>168294.2</v>
      </c>
      <c r="D562" s="3">
        <v>192003.9</v>
      </c>
      <c r="E562" s="8">
        <v>597468.6</v>
      </c>
    </row>
    <row r="563" spans="1:5" ht="15" customHeight="1" x14ac:dyDescent="0.25">
      <c r="A563" s="7" t="s">
        <v>762</v>
      </c>
      <c r="B563" s="3">
        <v>36085.440000000002</v>
      </c>
      <c r="C563" s="3">
        <v>39728.32</v>
      </c>
      <c r="D563" s="3">
        <v>60767.24</v>
      </c>
      <c r="E563" s="8">
        <v>136581</v>
      </c>
    </row>
    <row r="564" spans="1:5" ht="15" customHeight="1" x14ac:dyDescent="0.25">
      <c r="A564" s="7" t="s">
        <v>763</v>
      </c>
      <c r="B564" s="3">
        <v>15964.18</v>
      </c>
      <c r="C564" s="3">
        <v>21453.55</v>
      </c>
      <c r="D564" s="3">
        <v>3196.27</v>
      </c>
      <c r="E564" s="8">
        <v>40614</v>
      </c>
    </row>
    <row r="565" spans="1:5" ht="15" customHeight="1" x14ac:dyDescent="0.25">
      <c r="A565" s="7" t="s">
        <v>764</v>
      </c>
      <c r="B565" s="3">
        <v>264386.02</v>
      </c>
      <c r="C565" s="3">
        <v>348515.81</v>
      </c>
      <c r="D565" s="3">
        <v>212093.34</v>
      </c>
      <c r="E565" s="8">
        <v>824995.17</v>
      </c>
    </row>
    <row r="566" spans="1:5" ht="15" customHeight="1" x14ac:dyDescent="0.25">
      <c r="A566" s="7" t="s">
        <v>765</v>
      </c>
      <c r="B566" s="3">
        <v>211720.54</v>
      </c>
      <c r="C566" s="3">
        <v>192191.91</v>
      </c>
      <c r="D566" s="3">
        <v>192864.17</v>
      </c>
      <c r="E566" s="8">
        <v>596776.62</v>
      </c>
    </row>
    <row r="567" spans="1:5" ht="15" customHeight="1" x14ac:dyDescent="0.25">
      <c r="A567" s="7" t="s">
        <v>766</v>
      </c>
      <c r="B567" s="3">
        <v>59678.6</v>
      </c>
      <c r="C567" s="3">
        <v>38209.620000000003</v>
      </c>
      <c r="D567" s="3">
        <v>61066.080000000002</v>
      </c>
      <c r="E567" s="8">
        <v>158954.29999999999</v>
      </c>
    </row>
    <row r="568" spans="1:5" ht="15" customHeight="1" x14ac:dyDescent="0.25">
      <c r="A568" s="7" t="s">
        <v>767</v>
      </c>
      <c r="B568" s="3">
        <v>21446.33</v>
      </c>
      <c r="C568" s="3">
        <v>19988.310000000001</v>
      </c>
      <c r="D568" s="3">
        <v>15722.63</v>
      </c>
      <c r="E568" s="8">
        <v>57157.27</v>
      </c>
    </row>
    <row r="569" spans="1:5" ht="15" customHeight="1" x14ac:dyDescent="0.25">
      <c r="A569" s="7" t="s">
        <v>769</v>
      </c>
      <c r="B569" s="3">
        <v>13009.72</v>
      </c>
      <c r="C569" s="3">
        <v>28756.66</v>
      </c>
      <c r="D569" s="3">
        <v>3196.99</v>
      </c>
      <c r="E569" s="8">
        <v>44963.37</v>
      </c>
    </row>
    <row r="570" spans="1:5" ht="15" customHeight="1" x14ac:dyDescent="0.25">
      <c r="A570" s="7" t="s">
        <v>770</v>
      </c>
      <c r="B570" s="4" t="s">
        <v>771</v>
      </c>
      <c r="C570" s="4" t="s">
        <v>772</v>
      </c>
      <c r="D570" s="4" t="s">
        <v>773</v>
      </c>
      <c r="E570" s="11" t="s">
        <v>774</v>
      </c>
    </row>
    <row r="571" spans="1:5" ht="15" customHeight="1" x14ac:dyDescent="0.25">
      <c r="A571" s="7" t="s">
        <v>775</v>
      </c>
      <c r="B571" s="3">
        <v>1317.5</v>
      </c>
      <c r="C571" s="4" t="s">
        <v>776</v>
      </c>
      <c r="D571" s="3">
        <v>475.58</v>
      </c>
      <c r="E571" s="11" t="s">
        <v>777</v>
      </c>
    </row>
    <row r="572" spans="1:5" ht="15" customHeight="1" x14ac:dyDescent="0.25">
      <c r="A572" s="7" t="s">
        <v>778</v>
      </c>
      <c r="B572" s="3">
        <v>23053.33</v>
      </c>
      <c r="C572" s="3">
        <v>18381.73</v>
      </c>
      <c r="D572" s="3">
        <v>8145.62</v>
      </c>
      <c r="E572" s="8">
        <v>49580.68</v>
      </c>
    </row>
    <row r="573" spans="1:5" ht="15" customHeight="1" x14ac:dyDescent="0.25">
      <c r="A573" s="7" t="s">
        <v>779</v>
      </c>
      <c r="B573" s="3">
        <v>357.76</v>
      </c>
      <c r="C573" s="5"/>
      <c r="D573" s="3">
        <v>691.95</v>
      </c>
      <c r="E573" s="8">
        <v>1049.71</v>
      </c>
    </row>
    <row r="574" spans="1:5" ht="15" customHeight="1" x14ac:dyDescent="0.25">
      <c r="A574" s="7" t="s">
        <v>780</v>
      </c>
      <c r="B574" s="3">
        <v>11672.8</v>
      </c>
      <c r="C574" s="4" t="s">
        <v>781</v>
      </c>
      <c r="D574" s="4" t="s">
        <v>782</v>
      </c>
      <c r="E574" s="11" t="s">
        <v>783</v>
      </c>
    </row>
    <row r="575" spans="1:5" ht="15" customHeight="1" x14ac:dyDescent="0.25">
      <c r="A575" s="7" t="s">
        <v>788</v>
      </c>
      <c r="B575" s="3">
        <v>6373.31</v>
      </c>
      <c r="C575" s="4" t="s">
        <v>789</v>
      </c>
      <c r="D575" s="3">
        <v>9713.51</v>
      </c>
      <c r="E575" s="8">
        <v>11184.02</v>
      </c>
    </row>
    <row r="576" spans="1:5" ht="15" customHeight="1" x14ac:dyDescent="0.25">
      <c r="A576" s="7" t="s">
        <v>790</v>
      </c>
      <c r="B576" s="4" t="s">
        <v>791</v>
      </c>
      <c r="C576" s="4" t="s">
        <v>792</v>
      </c>
      <c r="D576" s="3">
        <v>32187.27</v>
      </c>
      <c r="E576" s="11" t="s">
        <v>793</v>
      </c>
    </row>
    <row r="577" spans="1:5" ht="15" customHeight="1" x14ac:dyDescent="0.25">
      <c r="A577" s="7" t="s">
        <v>796</v>
      </c>
      <c r="B577" s="3">
        <v>3757.88</v>
      </c>
      <c r="C577" s="4" t="s">
        <v>797</v>
      </c>
      <c r="D577" s="3">
        <v>3915.93</v>
      </c>
      <c r="E577" s="8">
        <v>5022.83</v>
      </c>
    </row>
    <row r="578" spans="1:5" ht="15" customHeight="1" x14ac:dyDescent="0.25">
      <c r="A578" s="7" t="s">
        <v>798</v>
      </c>
      <c r="B578" s="3">
        <v>2163.0500000000002</v>
      </c>
      <c r="C578" s="3">
        <v>2020.31</v>
      </c>
      <c r="D578" s="3">
        <v>5727.02</v>
      </c>
      <c r="E578" s="8">
        <v>9910.3799999999992</v>
      </c>
    </row>
    <row r="579" spans="1:5" ht="15" customHeight="1" x14ac:dyDescent="0.25">
      <c r="A579" s="7" t="s">
        <v>799</v>
      </c>
      <c r="B579" s="3">
        <v>23098.32</v>
      </c>
      <c r="C579" s="4" t="s">
        <v>800</v>
      </c>
      <c r="D579" s="4" t="s">
        <v>801</v>
      </c>
      <c r="E579" s="11" t="s">
        <v>802</v>
      </c>
    </row>
    <row r="580" spans="1:5" ht="15" customHeight="1" x14ac:dyDescent="0.25">
      <c r="A580" s="7" t="s">
        <v>804</v>
      </c>
      <c r="B580" s="3">
        <v>14765.99</v>
      </c>
      <c r="C580" s="3">
        <v>2870.28</v>
      </c>
      <c r="D580" s="3">
        <v>3953.67</v>
      </c>
      <c r="E580" s="8">
        <v>21589.94</v>
      </c>
    </row>
    <row r="581" spans="1:5" ht="15" customHeight="1" x14ac:dyDescent="0.25">
      <c r="A581" s="7" t="s">
        <v>806</v>
      </c>
      <c r="B581" s="3">
        <v>54503.08</v>
      </c>
      <c r="C581" s="3">
        <v>114925.55</v>
      </c>
      <c r="D581" s="3">
        <v>31572.71</v>
      </c>
      <c r="E581" s="8">
        <v>201001.34</v>
      </c>
    </row>
    <row r="582" spans="1:5" ht="15" customHeight="1" x14ac:dyDescent="0.25">
      <c r="A582" s="7" t="s">
        <v>808</v>
      </c>
      <c r="B582" s="3">
        <v>86440.61</v>
      </c>
      <c r="C582" s="3">
        <v>21315.68</v>
      </c>
      <c r="D582" s="3">
        <v>29444.48</v>
      </c>
      <c r="E582" s="8">
        <v>137200.76999999999</v>
      </c>
    </row>
    <row r="583" spans="1:5" ht="15" customHeight="1" x14ac:dyDescent="0.25">
      <c r="A583" s="7" t="s">
        <v>809</v>
      </c>
      <c r="B583" s="3">
        <v>1047280.55</v>
      </c>
      <c r="C583" s="3">
        <v>1096272.52</v>
      </c>
      <c r="D583" s="3">
        <v>1120162.75</v>
      </c>
      <c r="E583" s="8">
        <v>3263715.82</v>
      </c>
    </row>
    <row r="584" spans="1:5" ht="15" customHeight="1" x14ac:dyDescent="0.25">
      <c r="A584" s="7" t="s">
        <v>810</v>
      </c>
      <c r="B584" s="3">
        <v>128852.71</v>
      </c>
      <c r="C584" s="3">
        <v>103806.97</v>
      </c>
      <c r="D584" s="3">
        <v>104098.91</v>
      </c>
      <c r="E584" s="8">
        <v>336758.59</v>
      </c>
    </row>
    <row r="585" spans="1:5" ht="15" customHeight="1" x14ac:dyDescent="0.25">
      <c r="A585" s="7" t="s">
        <v>811</v>
      </c>
      <c r="B585" s="3">
        <v>116512.76</v>
      </c>
      <c r="C585" s="3">
        <v>81734.62</v>
      </c>
      <c r="D585" s="3">
        <v>109206.8</v>
      </c>
      <c r="E585" s="8">
        <v>307454.18</v>
      </c>
    </row>
    <row r="586" spans="1:5" ht="15" customHeight="1" x14ac:dyDescent="0.25">
      <c r="A586" s="7" t="s">
        <v>812</v>
      </c>
      <c r="B586" s="3">
        <v>208612.28</v>
      </c>
      <c r="C586" s="3">
        <v>234686.14</v>
      </c>
      <c r="D586" s="3">
        <v>179431.55</v>
      </c>
      <c r="E586" s="8">
        <v>622729.97</v>
      </c>
    </row>
    <row r="587" spans="1:5" ht="15" customHeight="1" x14ac:dyDescent="0.25">
      <c r="A587" s="7" t="s">
        <v>813</v>
      </c>
      <c r="B587" s="3">
        <v>101004.06</v>
      </c>
      <c r="C587" s="3">
        <v>29636.18</v>
      </c>
      <c r="D587" s="3">
        <v>186593.55</v>
      </c>
      <c r="E587" s="8">
        <v>317233.78999999998</v>
      </c>
    </row>
    <row r="588" spans="1:5" ht="15" customHeight="1" x14ac:dyDescent="0.25">
      <c r="A588" s="7" t="s">
        <v>814</v>
      </c>
      <c r="B588" s="3">
        <v>159792.62</v>
      </c>
      <c r="C588" s="3">
        <v>107568.24</v>
      </c>
      <c r="D588" s="3">
        <v>203244.2</v>
      </c>
      <c r="E588" s="8">
        <v>470605.06</v>
      </c>
    </row>
    <row r="589" spans="1:5" ht="15" customHeight="1" x14ac:dyDescent="0.25">
      <c r="A589" s="7" t="s">
        <v>815</v>
      </c>
      <c r="B589" s="3">
        <v>1687672.48</v>
      </c>
      <c r="C589" s="3">
        <v>2834171.65</v>
      </c>
      <c r="D589" s="3">
        <v>1445201.91</v>
      </c>
      <c r="E589" s="8">
        <v>5967046.04</v>
      </c>
    </row>
    <row r="590" spans="1:5" ht="15" customHeight="1" x14ac:dyDescent="0.25">
      <c r="A590" s="7" t="s">
        <v>816</v>
      </c>
      <c r="B590" s="3">
        <v>71500.73</v>
      </c>
      <c r="C590" s="5"/>
      <c r="D590" s="3">
        <v>10939.61</v>
      </c>
      <c r="E590" s="8">
        <v>82440.34</v>
      </c>
    </row>
    <row r="591" spans="1:5" ht="15" customHeight="1" x14ac:dyDescent="0.25">
      <c r="A591" s="7" t="s">
        <v>817</v>
      </c>
      <c r="B591" s="3">
        <v>412330.62</v>
      </c>
      <c r="C591" s="3">
        <v>277101.68</v>
      </c>
      <c r="D591" s="3">
        <v>290879.27</v>
      </c>
      <c r="E591" s="8">
        <v>980311.57</v>
      </c>
    </row>
    <row r="592" spans="1:5" ht="15" customHeight="1" x14ac:dyDescent="0.25">
      <c r="A592" s="7" t="s">
        <v>818</v>
      </c>
      <c r="B592" s="3">
        <v>73917.259999999995</v>
      </c>
      <c r="C592" s="3">
        <v>2093</v>
      </c>
      <c r="D592" s="3">
        <v>16031.2</v>
      </c>
      <c r="E592" s="8">
        <v>92041.46</v>
      </c>
    </row>
    <row r="593" spans="1:5" ht="15" customHeight="1" x14ac:dyDescent="0.25">
      <c r="A593" s="7" t="s">
        <v>820</v>
      </c>
      <c r="B593" s="4" t="s">
        <v>821</v>
      </c>
      <c r="C593" s="4" t="s">
        <v>822</v>
      </c>
      <c r="D593" s="4" t="s">
        <v>823</v>
      </c>
      <c r="E593" s="11" t="s">
        <v>824</v>
      </c>
    </row>
    <row r="594" spans="1:5" ht="15" customHeight="1" x14ac:dyDescent="0.25">
      <c r="A594" s="7" t="s">
        <v>825</v>
      </c>
      <c r="B594" s="3">
        <v>52263.34</v>
      </c>
      <c r="C594" s="3">
        <v>42327</v>
      </c>
      <c r="D594" s="3">
        <v>43930.29</v>
      </c>
      <c r="E594" s="8">
        <v>138520.63</v>
      </c>
    </row>
    <row r="595" spans="1:5" ht="15" customHeight="1" x14ac:dyDescent="0.25">
      <c r="A595" s="7" t="s">
        <v>826</v>
      </c>
      <c r="B595" s="3">
        <v>24414.49</v>
      </c>
      <c r="C595" s="3">
        <v>12133.54</v>
      </c>
      <c r="D595" s="3">
        <v>37201.46</v>
      </c>
      <c r="E595" s="8">
        <v>73749.490000000005</v>
      </c>
    </row>
    <row r="596" spans="1:5" ht="15" customHeight="1" x14ac:dyDescent="0.25">
      <c r="A596" s="7" t="s">
        <v>827</v>
      </c>
      <c r="B596" s="3">
        <v>77344.149999999994</v>
      </c>
      <c r="C596" s="3">
        <v>42362.71</v>
      </c>
      <c r="D596" s="3">
        <v>135142.25</v>
      </c>
      <c r="E596" s="8">
        <v>254849.11</v>
      </c>
    </row>
    <row r="597" spans="1:5" ht="15" customHeight="1" x14ac:dyDescent="0.25">
      <c r="A597" s="7" t="s">
        <v>828</v>
      </c>
      <c r="B597" s="3">
        <v>17335.63</v>
      </c>
      <c r="C597" s="3">
        <v>5777.4</v>
      </c>
      <c r="D597" s="3">
        <v>20233.060000000001</v>
      </c>
      <c r="E597" s="8">
        <v>43346.09</v>
      </c>
    </row>
    <row r="598" spans="1:5" ht="15" customHeight="1" x14ac:dyDescent="0.25">
      <c r="A598" s="7" t="s">
        <v>829</v>
      </c>
      <c r="B598" s="3">
        <v>19533.97</v>
      </c>
      <c r="C598" s="3">
        <v>1184.1500000000001</v>
      </c>
      <c r="D598" s="3">
        <v>580.01</v>
      </c>
      <c r="E598" s="8">
        <v>21298.13</v>
      </c>
    </row>
    <row r="599" spans="1:5" ht="15" customHeight="1" x14ac:dyDescent="0.25">
      <c r="A599" s="7" t="s">
        <v>830</v>
      </c>
      <c r="B599" s="3">
        <v>502179.72</v>
      </c>
      <c r="C599" s="3">
        <v>234101.52</v>
      </c>
      <c r="D599" s="3">
        <v>250623.24</v>
      </c>
      <c r="E599" s="8">
        <v>986904.48</v>
      </c>
    </row>
    <row r="600" spans="1:5" ht="15" customHeight="1" x14ac:dyDescent="0.25">
      <c r="A600" s="7" t="s">
        <v>831</v>
      </c>
      <c r="B600" s="3">
        <v>234731.98</v>
      </c>
      <c r="C600" s="3">
        <v>59180.92</v>
      </c>
      <c r="D600" s="3">
        <v>114720.2</v>
      </c>
      <c r="E600" s="8">
        <v>408633.1</v>
      </c>
    </row>
    <row r="601" spans="1:5" ht="15" customHeight="1" x14ac:dyDescent="0.25">
      <c r="A601" s="7" t="s">
        <v>832</v>
      </c>
      <c r="B601" s="3">
        <v>488861.97</v>
      </c>
      <c r="C601" s="3">
        <v>242815.2</v>
      </c>
      <c r="D601" s="3">
        <v>241294.19</v>
      </c>
      <c r="E601" s="8">
        <v>972971.36</v>
      </c>
    </row>
    <row r="602" spans="1:5" ht="15" customHeight="1" x14ac:dyDescent="0.25">
      <c r="A602" s="7" t="s">
        <v>833</v>
      </c>
      <c r="B602" s="3">
        <v>80375.73</v>
      </c>
      <c r="C602" s="3">
        <v>20326.45</v>
      </c>
      <c r="D602" s="3">
        <v>38927.64</v>
      </c>
      <c r="E602" s="8">
        <v>139629.82</v>
      </c>
    </row>
    <row r="603" spans="1:5" ht="15" customHeight="1" x14ac:dyDescent="0.25">
      <c r="A603" s="7" t="s">
        <v>834</v>
      </c>
      <c r="B603" s="3">
        <v>44675.08</v>
      </c>
      <c r="C603" s="3">
        <v>10631.81</v>
      </c>
      <c r="D603" s="3">
        <v>21664.85</v>
      </c>
      <c r="E603" s="8">
        <v>76971.740000000005</v>
      </c>
    </row>
    <row r="604" spans="1:5" ht="15" customHeight="1" x14ac:dyDescent="0.25">
      <c r="A604" s="7" t="s">
        <v>835</v>
      </c>
      <c r="B604" s="3">
        <v>82517.240000000005</v>
      </c>
      <c r="C604" s="3">
        <v>20868.099999999999</v>
      </c>
      <c r="D604" s="3">
        <v>43781.47</v>
      </c>
      <c r="E604" s="8">
        <v>147166.81</v>
      </c>
    </row>
    <row r="605" spans="1:5" ht="15" customHeight="1" x14ac:dyDescent="0.25">
      <c r="A605" s="7" t="s">
        <v>836</v>
      </c>
      <c r="B605" s="3">
        <v>67314.789999999994</v>
      </c>
      <c r="C605" s="3">
        <v>17023.45</v>
      </c>
      <c r="D605" s="3">
        <v>32594.31</v>
      </c>
      <c r="E605" s="8">
        <v>116932.55</v>
      </c>
    </row>
    <row r="606" spans="1:5" ht="15" customHeight="1" x14ac:dyDescent="0.25">
      <c r="A606" s="7" t="s">
        <v>837</v>
      </c>
      <c r="B606" s="3">
        <v>21511.599999999999</v>
      </c>
      <c r="C606" s="3">
        <v>5440.15</v>
      </c>
      <c r="D606" s="3">
        <v>10665.27</v>
      </c>
      <c r="E606" s="8">
        <v>37617.019999999997</v>
      </c>
    </row>
    <row r="607" spans="1:5" ht="15" customHeight="1" x14ac:dyDescent="0.25">
      <c r="A607" s="7" t="s">
        <v>838</v>
      </c>
      <c r="B607" s="3">
        <v>72370.39</v>
      </c>
      <c r="C607" s="3">
        <v>164501.12</v>
      </c>
      <c r="D607" s="3">
        <v>43237.07</v>
      </c>
      <c r="E607" s="8">
        <v>280108.58</v>
      </c>
    </row>
    <row r="608" spans="1:5" ht="15" customHeight="1" x14ac:dyDescent="0.25">
      <c r="A608" s="7" t="s">
        <v>839</v>
      </c>
      <c r="B608" s="3">
        <v>20597.3</v>
      </c>
      <c r="C608" s="3">
        <v>5208.8900000000003</v>
      </c>
      <c r="D608" s="3">
        <v>12266.45</v>
      </c>
      <c r="E608" s="8">
        <v>38072.639999999999</v>
      </c>
    </row>
    <row r="609" spans="1:5" ht="15" customHeight="1" x14ac:dyDescent="0.25">
      <c r="A609" s="7" t="s">
        <v>840</v>
      </c>
      <c r="B609" s="3">
        <v>11049.26</v>
      </c>
      <c r="C609" s="3">
        <v>2794.3</v>
      </c>
      <c r="D609" s="3">
        <v>5304.06</v>
      </c>
      <c r="E609" s="8">
        <v>19147.62</v>
      </c>
    </row>
    <row r="610" spans="1:5" ht="15" customHeight="1" x14ac:dyDescent="0.25">
      <c r="A610" s="7" t="s">
        <v>841</v>
      </c>
      <c r="B610" s="3">
        <v>4378.07</v>
      </c>
      <c r="C610" s="3">
        <v>1107.2</v>
      </c>
      <c r="D610" s="3">
        <v>2101.54</v>
      </c>
      <c r="E610" s="8">
        <v>7586.81</v>
      </c>
    </row>
    <row r="611" spans="1:5" ht="15" customHeight="1" x14ac:dyDescent="0.25">
      <c r="A611" s="7" t="s">
        <v>842</v>
      </c>
      <c r="B611" s="3">
        <v>9826.8799999999992</v>
      </c>
      <c r="C611" s="3">
        <v>2485.13</v>
      </c>
      <c r="D611" s="3">
        <v>4717.32</v>
      </c>
      <c r="E611" s="8">
        <v>17029.330000000002</v>
      </c>
    </row>
    <row r="612" spans="1:5" ht="15" customHeight="1" x14ac:dyDescent="0.25">
      <c r="A612" s="7" t="s">
        <v>843</v>
      </c>
      <c r="B612" s="3">
        <v>54905.57</v>
      </c>
      <c r="C612" s="3">
        <v>13885.15</v>
      </c>
      <c r="D612" s="3">
        <v>26356.79</v>
      </c>
      <c r="E612" s="8">
        <v>95147.51</v>
      </c>
    </row>
    <row r="613" spans="1:5" ht="15" customHeight="1" x14ac:dyDescent="0.25">
      <c r="A613" s="7" t="s">
        <v>844</v>
      </c>
      <c r="B613" s="3">
        <v>3322.01</v>
      </c>
      <c r="C613" s="3">
        <v>840.05</v>
      </c>
      <c r="D613" s="3">
        <v>3527.71</v>
      </c>
      <c r="E613" s="8">
        <v>7689.77</v>
      </c>
    </row>
    <row r="614" spans="1:5" ht="15" customHeight="1" x14ac:dyDescent="0.25">
      <c r="A614" s="7" t="s">
        <v>845</v>
      </c>
      <c r="B614" s="3">
        <v>460.18</v>
      </c>
      <c r="C614" s="3">
        <v>116.43</v>
      </c>
      <c r="D614" s="3">
        <v>220.96</v>
      </c>
      <c r="E614" s="8">
        <v>797.57</v>
      </c>
    </row>
    <row r="615" spans="1:5" ht="15" customHeight="1" x14ac:dyDescent="0.25">
      <c r="A615" s="7" t="s">
        <v>846</v>
      </c>
      <c r="B615" s="3">
        <v>931.61</v>
      </c>
      <c r="C615" s="3">
        <v>235.61</v>
      </c>
      <c r="D615" s="3">
        <v>447.15</v>
      </c>
      <c r="E615" s="8">
        <v>1614.37</v>
      </c>
    </row>
    <row r="616" spans="1:5" ht="15" customHeight="1" x14ac:dyDescent="0.25">
      <c r="A616" s="7" t="s">
        <v>847</v>
      </c>
      <c r="B616" s="3">
        <v>222.24</v>
      </c>
      <c r="C616" s="3">
        <v>56.21</v>
      </c>
      <c r="D616" s="3">
        <v>106.73</v>
      </c>
      <c r="E616" s="8">
        <v>385.18</v>
      </c>
    </row>
    <row r="617" spans="1:5" ht="15" customHeight="1" x14ac:dyDescent="0.25">
      <c r="A617" s="7" t="s">
        <v>848</v>
      </c>
      <c r="B617" s="3">
        <v>73273.14</v>
      </c>
      <c r="C617" s="3">
        <v>18530.240000000002</v>
      </c>
      <c r="D617" s="3">
        <v>39712.769999999997</v>
      </c>
      <c r="E617" s="8">
        <v>131516.15</v>
      </c>
    </row>
    <row r="618" spans="1:5" ht="15" customHeight="1" x14ac:dyDescent="0.25">
      <c r="A618" s="7" t="s">
        <v>849</v>
      </c>
      <c r="B618" s="3">
        <v>163023.01</v>
      </c>
      <c r="C618" s="3">
        <v>36800.06</v>
      </c>
      <c r="D618" s="3">
        <v>45891.4</v>
      </c>
      <c r="E618" s="8">
        <v>245714.47</v>
      </c>
    </row>
    <row r="619" spans="1:5" ht="15" customHeight="1" x14ac:dyDescent="0.25">
      <c r="A619" s="7" t="s">
        <v>850</v>
      </c>
      <c r="B619" s="3">
        <v>89888.89</v>
      </c>
      <c r="C619" s="3">
        <v>62313.79</v>
      </c>
      <c r="D619" s="3">
        <v>222976.22</v>
      </c>
      <c r="E619" s="8">
        <v>375178.9</v>
      </c>
    </row>
    <row r="620" spans="1:5" ht="15" customHeight="1" x14ac:dyDescent="0.25">
      <c r="A620" s="7" t="s">
        <v>854</v>
      </c>
      <c r="B620" s="3">
        <v>17599.689999999999</v>
      </c>
      <c r="C620" s="3">
        <v>1267.9000000000001</v>
      </c>
      <c r="D620" s="3">
        <v>23583.200000000001</v>
      </c>
      <c r="E620" s="8">
        <v>42450.79</v>
      </c>
    </row>
    <row r="621" spans="1:5" ht="15" customHeight="1" x14ac:dyDescent="0.25">
      <c r="A621" s="7" t="s">
        <v>855</v>
      </c>
      <c r="B621" s="3">
        <v>208049.42</v>
      </c>
      <c r="C621" s="3">
        <v>173075</v>
      </c>
      <c r="D621" s="3">
        <v>321491.57</v>
      </c>
      <c r="E621" s="8">
        <v>702615.99</v>
      </c>
    </row>
    <row r="622" spans="1:5" ht="15" customHeight="1" x14ac:dyDescent="0.25">
      <c r="A622" s="7" t="s">
        <v>856</v>
      </c>
      <c r="B622" s="3">
        <v>63240.72</v>
      </c>
      <c r="C622" s="3">
        <v>38285.9</v>
      </c>
      <c r="D622" s="3">
        <v>100580.98</v>
      </c>
      <c r="E622" s="8">
        <v>202107.6</v>
      </c>
    </row>
    <row r="623" spans="1:5" ht="15" customHeight="1" x14ac:dyDescent="0.25">
      <c r="A623" s="7" t="s">
        <v>857</v>
      </c>
      <c r="B623" s="3">
        <v>176636.51</v>
      </c>
      <c r="C623" s="3">
        <v>112479.89</v>
      </c>
      <c r="D623" s="3">
        <v>167182.29</v>
      </c>
      <c r="E623" s="8">
        <v>456298.69</v>
      </c>
    </row>
    <row r="624" spans="1:5" ht="15" customHeight="1" x14ac:dyDescent="0.25">
      <c r="A624" s="7" t="s">
        <v>858</v>
      </c>
      <c r="B624" s="3">
        <v>122267.16</v>
      </c>
      <c r="C624" s="3">
        <v>75025.72</v>
      </c>
      <c r="D624" s="3">
        <v>144840.16</v>
      </c>
      <c r="E624" s="8">
        <v>342133.04</v>
      </c>
    </row>
    <row r="625" spans="1:5" ht="15" customHeight="1" x14ac:dyDescent="0.25">
      <c r="A625" s="7" t="s">
        <v>859</v>
      </c>
      <c r="B625" s="3">
        <v>98567.03</v>
      </c>
      <c r="C625" s="3">
        <v>52020.05</v>
      </c>
      <c r="D625" s="3">
        <v>55604.9</v>
      </c>
      <c r="E625" s="8">
        <v>206191.98</v>
      </c>
    </row>
    <row r="626" spans="1:5" ht="15" customHeight="1" x14ac:dyDescent="0.25">
      <c r="A626" s="7" t="s">
        <v>860</v>
      </c>
      <c r="B626" s="3">
        <v>1144869.8400000001</v>
      </c>
      <c r="C626" s="3">
        <v>415009.79</v>
      </c>
      <c r="D626" s="3">
        <v>778077.03</v>
      </c>
      <c r="E626" s="8">
        <v>2337956.66</v>
      </c>
    </row>
    <row r="627" spans="1:5" ht="15" customHeight="1" x14ac:dyDescent="0.25">
      <c r="A627" s="7" t="s">
        <v>861</v>
      </c>
      <c r="B627" s="3">
        <v>789802.12</v>
      </c>
      <c r="C627" s="3">
        <v>649714.88</v>
      </c>
      <c r="D627" s="3">
        <v>364276.77</v>
      </c>
      <c r="E627" s="8">
        <v>1803793.77</v>
      </c>
    </row>
    <row r="628" spans="1:5" ht="15" customHeight="1" x14ac:dyDescent="0.25">
      <c r="A628" s="7" t="s">
        <v>862</v>
      </c>
      <c r="B628" s="3">
        <v>39380.519999999997</v>
      </c>
      <c r="C628" s="3">
        <v>12320.82</v>
      </c>
      <c r="D628" s="3">
        <v>19444.259999999998</v>
      </c>
      <c r="E628" s="8">
        <v>71145.600000000006</v>
      </c>
    </row>
    <row r="629" spans="1:5" ht="15" customHeight="1" x14ac:dyDescent="0.25">
      <c r="A629" s="7" t="s">
        <v>863</v>
      </c>
      <c r="B629" s="4" t="s">
        <v>864</v>
      </c>
      <c r="C629" s="3">
        <v>1292.67</v>
      </c>
      <c r="D629" s="3">
        <v>9823.09</v>
      </c>
      <c r="E629" s="11" t="s">
        <v>865</v>
      </c>
    </row>
    <row r="630" spans="1:5" ht="15" customHeight="1" x14ac:dyDescent="0.25">
      <c r="A630" s="7" t="s">
        <v>866</v>
      </c>
      <c r="B630" s="3">
        <v>941288.24</v>
      </c>
      <c r="C630" s="3">
        <v>1342994.5</v>
      </c>
      <c r="D630" s="3">
        <v>783002.67</v>
      </c>
      <c r="E630" s="8">
        <v>3067285.41</v>
      </c>
    </row>
    <row r="631" spans="1:5" ht="15" customHeight="1" x14ac:dyDescent="0.25">
      <c r="A631" s="7" t="s">
        <v>867</v>
      </c>
      <c r="B631" s="4" t="s">
        <v>868</v>
      </c>
      <c r="C631" s="3">
        <v>1215.6400000000001</v>
      </c>
      <c r="D631" s="4" t="s">
        <v>869</v>
      </c>
      <c r="E631" s="11" t="s">
        <v>870</v>
      </c>
    </row>
    <row r="632" spans="1:5" ht="15" customHeight="1" x14ac:dyDescent="0.25">
      <c r="A632" s="7" t="s">
        <v>871</v>
      </c>
      <c r="B632" s="4" t="s">
        <v>872</v>
      </c>
      <c r="C632" s="3">
        <v>2533.84</v>
      </c>
      <c r="D632" s="4" t="s">
        <v>873</v>
      </c>
      <c r="E632" s="11" t="s">
        <v>874</v>
      </c>
    </row>
    <row r="633" spans="1:5" ht="15" customHeight="1" x14ac:dyDescent="0.25">
      <c r="A633" s="7" t="s">
        <v>875</v>
      </c>
      <c r="B633" s="4" t="s">
        <v>876</v>
      </c>
      <c r="C633" s="3">
        <v>19408.66</v>
      </c>
      <c r="D633" s="4" t="s">
        <v>877</v>
      </c>
      <c r="E633" s="11" t="s">
        <v>878</v>
      </c>
    </row>
    <row r="634" spans="1:5" ht="15" customHeight="1" x14ac:dyDescent="0.25">
      <c r="A634" s="7" t="s">
        <v>879</v>
      </c>
      <c r="B634" s="3">
        <v>264334.84999999998</v>
      </c>
      <c r="C634" s="3">
        <v>85214.6</v>
      </c>
      <c r="D634" s="3">
        <v>231575.85</v>
      </c>
      <c r="E634" s="8">
        <v>581125.30000000005</v>
      </c>
    </row>
    <row r="635" spans="1:5" ht="15" customHeight="1" x14ac:dyDescent="0.25">
      <c r="A635" s="7" t="s">
        <v>880</v>
      </c>
      <c r="B635" s="3">
        <v>83113.37</v>
      </c>
      <c r="C635" s="3">
        <v>74271.37</v>
      </c>
      <c r="D635" s="3">
        <v>62619.6</v>
      </c>
      <c r="E635" s="8">
        <v>220004.34</v>
      </c>
    </row>
    <row r="636" spans="1:5" ht="15" customHeight="1" x14ac:dyDescent="0.25">
      <c r="A636" s="7" t="s">
        <v>881</v>
      </c>
      <c r="B636" s="3">
        <v>24710.12</v>
      </c>
      <c r="C636" s="5"/>
      <c r="D636" s="3">
        <v>94461.51</v>
      </c>
      <c r="E636" s="8">
        <v>119171.63</v>
      </c>
    </row>
    <row r="637" spans="1:5" ht="15" customHeight="1" x14ac:dyDescent="0.25">
      <c r="A637" s="7" t="s">
        <v>882</v>
      </c>
      <c r="B637" s="3">
        <v>520158.28</v>
      </c>
      <c r="C637" s="3">
        <v>779142.18</v>
      </c>
      <c r="D637" s="3">
        <v>264059.93</v>
      </c>
      <c r="E637" s="8">
        <v>1563360.39</v>
      </c>
    </row>
    <row r="638" spans="1:5" ht="15" customHeight="1" x14ac:dyDescent="0.25">
      <c r="A638" s="7" t="s">
        <v>883</v>
      </c>
      <c r="B638" s="3">
        <v>803159.88</v>
      </c>
      <c r="C638" s="3">
        <v>1013584.34</v>
      </c>
      <c r="D638" s="3">
        <v>847960.46</v>
      </c>
      <c r="E638" s="8">
        <v>2664704.6800000002</v>
      </c>
    </row>
    <row r="639" spans="1:5" ht="15" customHeight="1" x14ac:dyDescent="0.25">
      <c r="A639" s="7" t="s">
        <v>884</v>
      </c>
      <c r="B639" s="3">
        <v>1058580.3500000001</v>
      </c>
      <c r="C639" s="3">
        <v>1575553.84</v>
      </c>
      <c r="D639" s="3">
        <v>1539751.59</v>
      </c>
      <c r="E639" s="8">
        <v>4173885.78</v>
      </c>
    </row>
    <row r="640" spans="1:5" ht="15" customHeight="1" x14ac:dyDescent="0.25">
      <c r="A640" s="7" t="s">
        <v>886</v>
      </c>
      <c r="B640" s="3">
        <v>1892261.07</v>
      </c>
      <c r="C640" s="3">
        <v>944709.54</v>
      </c>
      <c r="D640" s="3">
        <v>1199764.68</v>
      </c>
      <c r="E640" s="8">
        <v>4036735.29</v>
      </c>
    </row>
    <row r="641" spans="1:5" ht="15" customHeight="1" x14ac:dyDescent="0.25">
      <c r="A641" s="7" t="s">
        <v>887</v>
      </c>
      <c r="B641" s="3">
        <v>99458.74</v>
      </c>
      <c r="C641" s="3">
        <v>36960.06</v>
      </c>
      <c r="D641" s="3">
        <v>141102.13</v>
      </c>
      <c r="E641" s="8">
        <v>277520.93</v>
      </c>
    </row>
    <row r="642" spans="1:5" ht="15" customHeight="1" x14ac:dyDescent="0.25">
      <c r="A642" s="7" t="s">
        <v>888</v>
      </c>
      <c r="B642" s="3">
        <v>1871148.38</v>
      </c>
      <c r="C642" s="3">
        <v>2446661.66</v>
      </c>
      <c r="D642" s="3">
        <v>2052259.43</v>
      </c>
      <c r="E642" s="8">
        <v>6370069.4699999997</v>
      </c>
    </row>
    <row r="643" spans="1:5" ht="15" customHeight="1" x14ac:dyDescent="0.25">
      <c r="A643" s="7" t="s">
        <v>889</v>
      </c>
      <c r="B643" s="3">
        <v>463928.08</v>
      </c>
      <c r="C643" s="3">
        <v>190699.42</v>
      </c>
      <c r="D643" s="3">
        <v>210979.25</v>
      </c>
      <c r="E643" s="8">
        <v>865606.75</v>
      </c>
    </row>
    <row r="644" spans="1:5" ht="15" customHeight="1" x14ac:dyDescent="0.25">
      <c r="A644" s="7" t="s">
        <v>890</v>
      </c>
      <c r="B644" s="3">
        <v>295463.43</v>
      </c>
      <c r="C644" s="3">
        <v>158435.92000000001</v>
      </c>
      <c r="D644" s="3">
        <v>278720.01</v>
      </c>
      <c r="E644" s="8">
        <v>732619.36</v>
      </c>
    </row>
    <row r="645" spans="1:5" ht="15" customHeight="1" x14ac:dyDescent="0.25">
      <c r="A645" s="7" t="s">
        <v>891</v>
      </c>
      <c r="B645" s="3">
        <v>341674.93</v>
      </c>
      <c r="C645" s="3">
        <v>192330.49</v>
      </c>
      <c r="D645" s="3">
        <v>157900.6</v>
      </c>
      <c r="E645" s="8">
        <v>691906.02</v>
      </c>
    </row>
    <row r="646" spans="1:5" ht="15" customHeight="1" x14ac:dyDescent="0.25">
      <c r="A646" s="7" t="s">
        <v>892</v>
      </c>
      <c r="B646" s="3">
        <v>16864.79</v>
      </c>
      <c r="C646" s="3">
        <v>8495.34</v>
      </c>
      <c r="D646" s="3">
        <v>6633.57</v>
      </c>
      <c r="E646" s="8">
        <v>31993.7</v>
      </c>
    </row>
    <row r="647" spans="1:5" ht="15" customHeight="1" x14ac:dyDescent="0.25">
      <c r="A647" s="7" t="s">
        <v>893</v>
      </c>
      <c r="B647" s="3">
        <v>10132.01</v>
      </c>
      <c r="C647" s="5"/>
      <c r="D647" s="3">
        <v>7065.28</v>
      </c>
      <c r="E647" s="8">
        <v>17197.29</v>
      </c>
    </row>
    <row r="648" spans="1:5" ht="15" customHeight="1" x14ac:dyDescent="0.25">
      <c r="A648" s="7" t="s">
        <v>894</v>
      </c>
      <c r="B648" s="3">
        <v>1458.04</v>
      </c>
      <c r="C648" s="5"/>
      <c r="D648" s="3">
        <v>14865.76</v>
      </c>
      <c r="E648" s="8">
        <v>16323.8</v>
      </c>
    </row>
    <row r="649" spans="1:5" ht="15" customHeight="1" x14ac:dyDescent="0.25">
      <c r="A649" s="7" t="s">
        <v>896</v>
      </c>
      <c r="B649" s="3">
        <v>765441.16</v>
      </c>
      <c r="C649" s="3">
        <v>731084.88</v>
      </c>
      <c r="D649" s="3">
        <v>702511.76</v>
      </c>
      <c r="E649" s="8">
        <v>2199037.7999999998</v>
      </c>
    </row>
    <row r="650" spans="1:5" ht="15" customHeight="1" x14ac:dyDescent="0.25">
      <c r="A650" s="7" t="s">
        <v>897</v>
      </c>
      <c r="B650" s="3">
        <v>7697.12</v>
      </c>
      <c r="C650" s="3">
        <v>7974.21</v>
      </c>
      <c r="D650" s="3">
        <v>5839.26</v>
      </c>
      <c r="E650" s="8">
        <v>21510.59</v>
      </c>
    </row>
    <row r="651" spans="1:5" ht="15" customHeight="1" x14ac:dyDescent="0.25">
      <c r="A651" s="7" t="s">
        <v>898</v>
      </c>
      <c r="B651" s="3">
        <v>25585.5</v>
      </c>
      <c r="C651" s="3">
        <v>13794.68</v>
      </c>
      <c r="D651" s="3">
        <v>11433.3</v>
      </c>
      <c r="E651" s="8">
        <v>50813.48</v>
      </c>
    </row>
    <row r="652" spans="1:5" ht="15" customHeight="1" x14ac:dyDescent="0.25">
      <c r="A652" s="7" t="s">
        <v>900</v>
      </c>
      <c r="B652" s="3">
        <v>59727.71</v>
      </c>
      <c r="C652" s="3">
        <v>467116.22</v>
      </c>
      <c r="D652" s="3">
        <v>534684.67000000004</v>
      </c>
      <c r="E652" s="8">
        <v>1061528.6000000001</v>
      </c>
    </row>
    <row r="653" spans="1:5" ht="15" customHeight="1" x14ac:dyDescent="0.25">
      <c r="A653" s="7" t="s">
        <v>901</v>
      </c>
      <c r="B653" s="3">
        <v>6235.39</v>
      </c>
      <c r="C653" s="3">
        <v>24140.639999999999</v>
      </c>
      <c r="D653" s="3">
        <v>30545.47</v>
      </c>
      <c r="E653" s="8">
        <v>60921.5</v>
      </c>
    </row>
    <row r="654" spans="1:5" ht="15" customHeight="1" x14ac:dyDescent="0.25">
      <c r="A654" s="7" t="s">
        <v>903</v>
      </c>
      <c r="B654" s="3">
        <v>232214.51</v>
      </c>
      <c r="C654" s="3">
        <v>208018.32</v>
      </c>
      <c r="D654" s="3">
        <v>187950.4</v>
      </c>
      <c r="E654" s="8">
        <v>628183.23</v>
      </c>
    </row>
    <row r="655" spans="1:5" ht="15" customHeight="1" x14ac:dyDescent="0.25">
      <c r="A655" s="7" t="s">
        <v>904</v>
      </c>
      <c r="B655" s="3">
        <v>3700.17</v>
      </c>
      <c r="C655" s="3">
        <v>6241.01</v>
      </c>
      <c r="D655" s="3">
        <v>6981.93</v>
      </c>
      <c r="E655" s="8">
        <v>16923.11</v>
      </c>
    </row>
    <row r="656" spans="1:5" ht="15" customHeight="1" x14ac:dyDescent="0.25">
      <c r="A656" s="7" t="s">
        <v>905</v>
      </c>
      <c r="B656" s="3">
        <v>426111.18</v>
      </c>
      <c r="C656" s="3">
        <v>46653.66</v>
      </c>
      <c r="D656" s="3">
        <v>460960.37</v>
      </c>
      <c r="E656" s="8">
        <v>933725.21</v>
      </c>
    </row>
    <row r="657" spans="1:5" ht="15" customHeight="1" x14ac:dyDescent="0.25">
      <c r="A657" s="7" t="s">
        <v>906</v>
      </c>
      <c r="B657" s="3">
        <v>12201.6</v>
      </c>
      <c r="C657" s="3">
        <v>50377.22</v>
      </c>
      <c r="D657" s="3">
        <v>126601</v>
      </c>
      <c r="E657" s="8">
        <v>189179.82</v>
      </c>
    </row>
    <row r="658" spans="1:5" ht="15" customHeight="1" x14ac:dyDescent="0.25">
      <c r="A658" s="7" t="s">
        <v>907</v>
      </c>
      <c r="B658" s="3">
        <v>38898.58</v>
      </c>
      <c r="C658" s="3">
        <v>23816.52</v>
      </c>
      <c r="D658" s="3">
        <v>244225.61</v>
      </c>
      <c r="E658" s="8">
        <v>306940.71000000002</v>
      </c>
    </row>
    <row r="659" spans="1:5" ht="15" customHeight="1" x14ac:dyDescent="0.25">
      <c r="A659" s="7" t="s">
        <v>908</v>
      </c>
      <c r="B659" s="3">
        <v>20359.68</v>
      </c>
      <c r="C659" s="3">
        <v>9597.4500000000007</v>
      </c>
      <c r="D659" s="3">
        <v>17745.38</v>
      </c>
      <c r="E659" s="8">
        <v>47702.51</v>
      </c>
    </row>
    <row r="660" spans="1:5" ht="15" customHeight="1" x14ac:dyDescent="0.25">
      <c r="A660" s="7" t="s">
        <v>909</v>
      </c>
      <c r="B660" s="3">
        <v>382737.22</v>
      </c>
      <c r="C660" s="4" t="s">
        <v>910</v>
      </c>
      <c r="D660" s="3">
        <v>291082.02</v>
      </c>
      <c r="E660" s="8">
        <v>241452.56</v>
      </c>
    </row>
    <row r="661" spans="1:5" ht="15" customHeight="1" x14ac:dyDescent="0.25">
      <c r="A661" s="7" t="s">
        <v>911</v>
      </c>
      <c r="B661" s="3">
        <v>7201.63</v>
      </c>
      <c r="C661" s="3">
        <v>6932.75</v>
      </c>
      <c r="D661" s="3">
        <v>19323.91</v>
      </c>
      <c r="E661" s="8">
        <v>33458.29</v>
      </c>
    </row>
    <row r="662" spans="1:5" ht="15" customHeight="1" x14ac:dyDescent="0.25">
      <c r="A662" s="7" t="s">
        <v>912</v>
      </c>
      <c r="B662" s="3">
        <v>2672.75</v>
      </c>
      <c r="C662" s="3">
        <v>6772.82</v>
      </c>
      <c r="D662" s="3">
        <v>16559.73</v>
      </c>
      <c r="E662" s="8">
        <v>26005.3</v>
      </c>
    </row>
    <row r="663" spans="1:5" ht="15" customHeight="1" x14ac:dyDescent="0.25">
      <c r="A663" s="7" t="s">
        <v>913</v>
      </c>
      <c r="B663" s="3">
        <v>427579.5</v>
      </c>
      <c r="C663" s="4" t="s">
        <v>914</v>
      </c>
      <c r="D663" s="3">
        <v>391137.95</v>
      </c>
      <c r="E663" s="8">
        <v>804075.97</v>
      </c>
    </row>
    <row r="664" spans="1:5" ht="15" customHeight="1" x14ac:dyDescent="0.25">
      <c r="A664" s="7" t="s">
        <v>915</v>
      </c>
      <c r="B664" s="3">
        <v>26716.48</v>
      </c>
      <c r="C664" s="3">
        <v>1323.52</v>
      </c>
      <c r="D664" s="3">
        <v>21556.52</v>
      </c>
      <c r="E664" s="8">
        <v>49596.52</v>
      </c>
    </row>
    <row r="665" spans="1:5" ht="15" customHeight="1" x14ac:dyDescent="0.25">
      <c r="A665" s="7" t="s">
        <v>916</v>
      </c>
      <c r="B665" s="3">
        <v>19417.73</v>
      </c>
      <c r="C665" s="3">
        <v>8122.82</v>
      </c>
      <c r="D665" s="3">
        <v>18969.86</v>
      </c>
      <c r="E665" s="8">
        <v>46510.41</v>
      </c>
    </row>
    <row r="666" spans="1:5" ht="15" customHeight="1" x14ac:dyDescent="0.25">
      <c r="A666" s="7" t="s">
        <v>917</v>
      </c>
      <c r="B666" s="3">
        <v>500759.47</v>
      </c>
      <c r="C666" s="3">
        <v>297188.27</v>
      </c>
      <c r="D666" s="3">
        <v>392320</v>
      </c>
      <c r="E666" s="8">
        <v>1190267.74</v>
      </c>
    </row>
    <row r="667" spans="1:5" ht="15" customHeight="1" x14ac:dyDescent="0.25">
      <c r="A667" s="7" t="s">
        <v>918</v>
      </c>
      <c r="B667" s="3">
        <v>26865.11</v>
      </c>
      <c r="C667" s="3">
        <v>9240.6299999999992</v>
      </c>
      <c r="D667" s="3">
        <v>21067.24</v>
      </c>
      <c r="E667" s="8">
        <v>57172.98</v>
      </c>
    </row>
    <row r="668" spans="1:5" ht="15" customHeight="1" x14ac:dyDescent="0.25">
      <c r="A668" s="7" t="s">
        <v>919</v>
      </c>
      <c r="B668" s="3">
        <v>21472.86</v>
      </c>
      <c r="C668" s="3">
        <v>8460.4599999999991</v>
      </c>
      <c r="D668" s="3">
        <v>20130.09</v>
      </c>
      <c r="E668" s="8">
        <v>50063.41</v>
      </c>
    </row>
    <row r="669" spans="1:5" ht="15" customHeight="1" x14ac:dyDescent="0.25">
      <c r="A669" s="7" t="s">
        <v>920</v>
      </c>
      <c r="B669" s="3">
        <v>27216.5</v>
      </c>
      <c r="C669" s="3">
        <v>8789.84</v>
      </c>
      <c r="D669" s="3">
        <v>22792.58</v>
      </c>
      <c r="E669" s="8">
        <v>58798.92</v>
      </c>
    </row>
    <row r="670" spans="1:5" ht="15" customHeight="1" x14ac:dyDescent="0.25">
      <c r="A670" s="7" t="s">
        <v>921</v>
      </c>
      <c r="B670" s="3">
        <v>32894.06</v>
      </c>
      <c r="C670" s="3">
        <v>11921.49</v>
      </c>
      <c r="D670" s="3">
        <v>27578.49</v>
      </c>
      <c r="E670" s="8">
        <v>72394.039999999994</v>
      </c>
    </row>
    <row r="671" spans="1:5" ht="15" customHeight="1" x14ac:dyDescent="0.25">
      <c r="A671" s="7" t="s">
        <v>922</v>
      </c>
      <c r="B671" s="3">
        <v>17410.48</v>
      </c>
      <c r="C671" s="3">
        <v>5116.87</v>
      </c>
      <c r="D671" s="3">
        <v>24290.37</v>
      </c>
      <c r="E671" s="8">
        <v>46817.72</v>
      </c>
    </row>
    <row r="672" spans="1:5" ht="15" customHeight="1" x14ac:dyDescent="0.25">
      <c r="A672" s="7" t="s">
        <v>923</v>
      </c>
      <c r="B672" s="3">
        <v>136794.49</v>
      </c>
      <c r="C672" s="3">
        <v>121022.79</v>
      </c>
      <c r="D672" s="3">
        <v>225707.44</v>
      </c>
      <c r="E672" s="8">
        <v>483524.72</v>
      </c>
    </row>
    <row r="673" spans="1:5" ht="15" customHeight="1" x14ac:dyDescent="0.25">
      <c r="A673" s="7" t="s">
        <v>924</v>
      </c>
      <c r="B673" s="3">
        <v>8777.24</v>
      </c>
      <c r="C673" s="5"/>
      <c r="D673" s="3">
        <v>14849.16</v>
      </c>
      <c r="E673" s="8">
        <v>23626.400000000001</v>
      </c>
    </row>
    <row r="674" spans="1:5" ht="15" customHeight="1" x14ac:dyDescent="0.25">
      <c r="A674" s="7" t="s">
        <v>927</v>
      </c>
      <c r="B674" s="3">
        <v>49.53</v>
      </c>
      <c r="C674" s="3">
        <v>255.19</v>
      </c>
      <c r="D674" s="3">
        <v>664.85</v>
      </c>
      <c r="E674" s="8">
        <v>969.57</v>
      </c>
    </row>
    <row r="675" spans="1:5" ht="15" customHeight="1" x14ac:dyDescent="0.25">
      <c r="A675" s="7" t="s">
        <v>928</v>
      </c>
      <c r="B675" s="3">
        <v>1260.03</v>
      </c>
      <c r="C675" s="3">
        <v>494.15</v>
      </c>
      <c r="D675" s="3">
        <v>1022.73</v>
      </c>
      <c r="E675" s="8">
        <v>2776.91</v>
      </c>
    </row>
    <row r="676" spans="1:5" ht="15" customHeight="1" x14ac:dyDescent="0.25">
      <c r="A676" s="7" t="s">
        <v>929</v>
      </c>
      <c r="B676" s="3">
        <v>284.17</v>
      </c>
      <c r="C676" s="3">
        <v>3276.72</v>
      </c>
      <c r="D676" s="3">
        <v>3215.91</v>
      </c>
      <c r="E676" s="8">
        <v>6776.8</v>
      </c>
    </row>
    <row r="677" spans="1:5" ht="15" customHeight="1" x14ac:dyDescent="0.25">
      <c r="A677" s="7" t="s">
        <v>930</v>
      </c>
      <c r="B677" s="3">
        <v>436969.82</v>
      </c>
      <c r="C677" s="3">
        <v>436347.58</v>
      </c>
      <c r="D677" s="3">
        <v>303956.49</v>
      </c>
      <c r="E677" s="8">
        <v>1177273.8899999999</v>
      </c>
    </row>
    <row r="678" spans="1:5" ht="15" customHeight="1" x14ac:dyDescent="0.25">
      <c r="A678" s="7" t="s">
        <v>931</v>
      </c>
      <c r="B678" s="3">
        <v>587753.84</v>
      </c>
      <c r="C678" s="3">
        <v>342730.4</v>
      </c>
      <c r="D678" s="3">
        <v>665921.41</v>
      </c>
      <c r="E678" s="8">
        <v>1596405.65</v>
      </c>
    </row>
    <row r="679" spans="1:5" ht="15" customHeight="1" x14ac:dyDescent="0.25">
      <c r="A679" s="7" t="s">
        <v>932</v>
      </c>
      <c r="B679" s="3">
        <v>46801.35</v>
      </c>
      <c r="C679" s="3">
        <v>41445.54</v>
      </c>
      <c r="D679" s="3">
        <v>74780.479999999996</v>
      </c>
      <c r="E679" s="8">
        <v>163027.37</v>
      </c>
    </row>
    <row r="680" spans="1:5" ht="15" customHeight="1" x14ac:dyDescent="0.25">
      <c r="A680" s="7" t="s">
        <v>933</v>
      </c>
      <c r="B680" s="3">
        <v>67654.64</v>
      </c>
      <c r="C680" s="4" t="s">
        <v>934</v>
      </c>
      <c r="D680" s="3">
        <v>28047.46</v>
      </c>
      <c r="E680" s="8">
        <v>90782.96</v>
      </c>
    </row>
    <row r="681" spans="1:5" ht="15" customHeight="1" x14ac:dyDescent="0.25">
      <c r="A681" s="7" t="s">
        <v>935</v>
      </c>
      <c r="B681" s="3">
        <v>200008.88</v>
      </c>
      <c r="C681" s="3">
        <v>102097.28</v>
      </c>
      <c r="D681" s="3">
        <v>195760.41</v>
      </c>
      <c r="E681" s="8">
        <v>497866.57</v>
      </c>
    </row>
    <row r="682" spans="1:5" ht="15" customHeight="1" x14ac:dyDescent="0.25">
      <c r="A682" s="7" t="s">
        <v>936</v>
      </c>
      <c r="B682" s="3">
        <v>90444.93</v>
      </c>
      <c r="C682" s="3">
        <v>106298.98</v>
      </c>
      <c r="D682" s="3">
        <v>130902.26</v>
      </c>
      <c r="E682" s="8">
        <v>327646.17</v>
      </c>
    </row>
    <row r="683" spans="1:5" ht="15" customHeight="1" x14ac:dyDescent="0.25">
      <c r="A683" s="7" t="s">
        <v>937</v>
      </c>
      <c r="B683" s="3">
        <v>146755.92000000001</v>
      </c>
      <c r="C683" s="3">
        <v>149591.28</v>
      </c>
      <c r="D683" s="3">
        <v>192285.16</v>
      </c>
      <c r="E683" s="8">
        <v>488632.36</v>
      </c>
    </row>
    <row r="684" spans="1:5" ht="15" customHeight="1" x14ac:dyDescent="0.25">
      <c r="A684" s="7" t="s">
        <v>938</v>
      </c>
      <c r="B684" s="3">
        <v>110219.39</v>
      </c>
      <c r="C684" s="3">
        <v>115482.95</v>
      </c>
      <c r="D684" s="3">
        <v>186462.66</v>
      </c>
      <c r="E684" s="8">
        <v>412165</v>
      </c>
    </row>
    <row r="685" spans="1:5" ht="15" customHeight="1" x14ac:dyDescent="0.25">
      <c r="A685" s="7" t="s">
        <v>939</v>
      </c>
      <c r="B685" s="3">
        <v>595246</v>
      </c>
      <c r="C685" s="3">
        <v>305336.64</v>
      </c>
      <c r="D685" s="3">
        <v>579698.53</v>
      </c>
      <c r="E685" s="8">
        <v>1480281.17</v>
      </c>
    </row>
    <row r="686" spans="1:5" ht="15" customHeight="1" x14ac:dyDescent="0.25">
      <c r="A686" s="7" t="s">
        <v>940</v>
      </c>
      <c r="B686" s="3">
        <v>116947.81</v>
      </c>
      <c r="C686" s="3">
        <v>55967.59</v>
      </c>
      <c r="D686" s="3">
        <v>209961.01</v>
      </c>
      <c r="E686" s="8">
        <v>382876.41</v>
      </c>
    </row>
    <row r="687" spans="1:5" ht="15" customHeight="1" x14ac:dyDescent="0.25">
      <c r="A687" s="7" t="s">
        <v>941</v>
      </c>
      <c r="B687" s="3">
        <v>466297.61</v>
      </c>
      <c r="C687" s="3">
        <v>99374.28</v>
      </c>
      <c r="D687" s="3">
        <v>125649.28</v>
      </c>
      <c r="E687" s="8">
        <v>691321.17</v>
      </c>
    </row>
    <row r="688" spans="1:5" ht="15" customHeight="1" x14ac:dyDescent="0.25">
      <c r="A688" s="7" t="s">
        <v>942</v>
      </c>
      <c r="B688" s="3">
        <v>66899.73</v>
      </c>
      <c r="C688" s="3">
        <v>24766.95</v>
      </c>
      <c r="D688" s="3">
        <v>92384.21</v>
      </c>
      <c r="E688" s="8">
        <v>184050.89</v>
      </c>
    </row>
    <row r="689" spans="1:5" ht="15" customHeight="1" x14ac:dyDescent="0.25">
      <c r="A689" s="7" t="s">
        <v>943</v>
      </c>
      <c r="B689" s="3">
        <v>348771.16</v>
      </c>
      <c r="C689" s="3">
        <v>96044.86</v>
      </c>
      <c r="D689" s="3">
        <v>208804.83</v>
      </c>
      <c r="E689" s="8">
        <v>653620.85</v>
      </c>
    </row>
    <row r="690" spans="1:5" ht="15" customHeight="1" x14ac:dyDescent="0.25">
      <c r="A690" s="7" t="s">
        <v>944</v>
      </c>
      <c r="B690" s="3">
        <v>218818.8</v>
      </c>
      <c r="C690" s="3">
        <v>132611.49</v>
      </c>
      <c r="D690" s="3">
        <v>272556.53000000003</v>
      </c>
      <c r="E690" s="8">
        <v>623986.81999999995</v>
      </c>
    </row>
    <row r="691" spans="1:5" ht="15" customHeight="1" x14ac:dyDescent="0.25">
      <c r="A691" s="7" t="s">
        <v>945</v>
      </c>
      <c r="B691" s="3">
        <v>7652.72</v>
      </c>
      <c r="C691" s="4" t="s">
        <v>946</v>
      </c>
      <c r="D691" s="4" t="s">
        <v>947</v>
      </c>
      <c r="E691" s="11" t="s">
        <v>948</v>
      </c>
    </row>
    <row r="692" spans="1:5" ht="15" customHeight="1" x14ac:dyDescent="0.25">
      <c r="A692" s="7" t="s">
        <v>949</v>
      </c>
      <c r="B692" s="3">
        <v>1450.33</v>
      </c>
      <c r="C692" s="4" t="s">
        <v>950</v>
      </c>
      <c r="D692" s="4" t="s">
        <v>951</v>
      </c>
      <c r="E692" s="8">
        <v>990.06000000000097</v>
      </c>
    </row>
    <row r="693" spans="1:5" ht="15" customHeight="1" x14ac:dyDescent="0.25">
      <c r="A693" s="7" t="s">
        <v>952</v>
      </c>
      <c r="B693" s="3">
        <v>958.92</v>
      </c>
      <c r="C693" s="4" t="s">
        <v>953</v>
      </c>
      <c r="D693" s="3">
        <v>981.72</v>
      </c>
      <c r="E693" s="8">
        <v>1555.46</v>
      </c>
    </row>
    <row r="694" spans="1:5" ht="15" customHeight="1" x14ac:dyDescent="0.25">
      <c r="A694" s="7" t="s">
        <v>954</v>
      </c>
      <c r="B694" s="4" t="s">
        <v>955</v>
      </c>
      <c r="C694" s="4" t="s">
        <v>956</v>
      </c>
      <c r="D694" s="4" t="s">
        <v>957</v>
      </c>
      <c r="E694" s="11" t="s">
        <v>958</v>
      </c>
    </row>
    <row r="695" spans="1:5" ht="15" customHeight="1" x14ac:dyDescent="0.25">
      <c r="A695" s="7" t="s">
        <v>959</v>
      </c>
      <c r="B695" s="3">
        <v>1047.17</v>
      </c>
      <c r="C695" s="3">
        <v>1111.28</v>
      </c>
      <c r="D695" s="3">
        <v>3251.66</v>
      </c>
      <c r="E695" s="8">
        <v>5410.11</v>
      </c>
    </row>
    <row r="696" spans="1:5" ht="15" customHeight="1" x14ac:dyDescent="0.25">
      <c r="A696" s="7" t="s">
        <v>960</v>
      </c>
      <c r="B696" s="3">
        <v>297.97000000000003</v>
      </c>
      <c r="C696" s="3">
        <v>316.25</v>
      </c>
      <c r="D696" s="3">
        <v>925.37</v>
      </c>
      <c r="E696" s="8">
        <v>1539.59</v>
      </c>
    </row>
    <row r="697" spans="1:5" ht="15" customHeight="1" x14ac:dyDescent="0.25">
      <c r="A697" s="7" t="s">
        <v>962</v>
      </c>
      <c r="B697" s="4" t="s">
        <v>963</v>
      </c>
      <c r="C697" s="4" t="s">
        <v>964</v>
      </c>
      <c r="D697" s="4" t="s">
        <v>965</v>
      </c>
      <c r="E697" s="11" t="s">
        <v>966</v>
      </c>
    </row>
    <row r="698" spans="1:5" ht="15" customHeight="1" x14ac:dyDescent="0.25">
      <c r="A698" s="7" t="s">
        <v>967</v>
      </c>
      <c r="B698" s="3">
        <v>11562.8</v>
      </c>
      <c r="C698" s="3">
        <v>6913.37</v>
      </c>
      <c r="D698" s="3">
        <v>31575.13</v>
      </c>
      <c r="E698" s="8">
        <v>50051.3</v>
      </c>
    </row>
    <row r="699" spans="1:5" ht="15" customHeight="1" x14ac:dyDescent="0.25">
      <c r="A699" s="7" t="s">
        <v>968</v>
      </c>
      <c r="B699" s="3">
        <v>7829.13</v>
      </c>
      <c r="C699" s="3">
        <v>4681.03</v>
      </c>
      <c r="D699" s="3">
        <v>21379.4</v>
      </c>
      <c r="E699" s="8">
        <v>33889.56</v>
      </c>
    </row>
    <row r="700" spans="1:5" ht="15" customHeight="1" x14ac:dyDescent="0.25">
      <c r="A700" s="7" t="s">
        <v>969</v>
      </c>
      <c r="B700" s="3">
        <v>11058.01</v>
      </c>
      <c r="C700" s="3">
        <v>6611.54</v>
      </c>
      <c r="D700" s="3">
        <v>30196.639999999999</v>
      </c>
      <c r="E700" s="8">
        <v>47866.19</v>
      </c>
    </row>
    <row r="701" spans="1:5" ht="15" customHeight="1" x14ac:dyDescent="0.25">
      <c r="A701" s="7" t="s">
        <v>970</v>
      </c>
      <c r="B701" s="3">
        <v>952.46</v>
      </c>
      <c r="C701" s="3">
        <v>552.21</v>
      </c>
      <c r="D701" s="3">
        <v>2831.95</v>
      </c>
      <c r="E701" s="8">
        <v>4336.62</v>
      </c>
    </row>
    <row r="702" spans="1:5" ht="15" customHeight="1" x14ac:dyDescent="0.25">
      <c r="A702" s="7" t="s">
        <v>973</v>
      </c>
      <c r="B702" s="4" t="s">
        <v>974</v>
      </c>
      <c r="C702" s="4" t="s">
        <v>975</v>
      </c>
      <c r="D702" s="4" t="s">
        <v>976</v>
      </c>
      <c r="E702" s="11" t="s">
        <v>977</v>
      </c>
    </row>
    <row r="703" spans="1:5" ht="15" customHeight="1" x14ac:dyDescent="0.25">
      <c r="A703" s="7" t="s">
        <v>978</v>
      </c>
      <c r="B703" s="3">
        <v>17181.490000000002</v>
      </c>
      <c r="C703" s="3">
        <v>17349.099999999999</v>
      </c>
      <c r="D703" s="3">
        <v>15312.29</v>
      </c>
      <c r="E703" s="8">
        <v>49842.879999999997</v>
      </c>
    </row>
    <row r="704" spans="1:5" ht="15" customHeight="1" x14ac:dyDescent="0.25">
      <c r="A704" s="7" t="s">
        <v>979</v>
      </c>
      <c r="B704" s="3">
        <v>22111.61</v>
      </c>
      <c r="C704" s="3">
        <v>22327.48</v>
      </c>
      <c r="D704" s="3">
        <v>19705.099999999999</v>
      </c>
      <c r="E704" s="8">
        <v>64144.19</v>
      </c>
    </row>
    <row r="705" spans="1:5" ht="15" customHeight="1" x14ac:dyDescent="0.25">
      <c r="A705" s="7" t="s">
        <v>980</v>
      </c>
      <c r="B705" s="4" t="s">
        <v>981</v>
      </c>
      <c r="C705" s="4" t="s">
        <v>982</v>
      </c>
      <c r="D705" s="4" t="s">
        <v>983</v>
      </c>
      <c r="E705" s="11" t="s">
        <v>984</v>
      </c>
    </row>
    <row r="706" spans="1:5" ht="15" customHeight="1" x14ac:dyDescent="0.25">
      <c r="A706" s="7" t="s">
        <v>985</v>
      </c>
      <c r="B706" s="3">
        <v>14364.28</v>
      </c>
      <c r="C706" s="3">
        <v>12080.13</v>
      </c>
      <c r="D706" s="3">
        <v>19075.66</v>
      </c>
      <c r="E706" s="8">
        <v>45520.07</v>
      </c>
    </row>
    <row r="707" spans="1:5" ht="15" customHeight="1" x14ac:dyDescent="0.25">
      <c r="A707" s="7" t="s">
        <v>986</v>
      </c>
      <c r="B707" s="3">
        <v>31651</v>
      </c>
      <c r="C707" s="3">
        <v>26618.04</v>
      </c>
      <c r="D707" s="3">
        <v>42032.24</v>
      </c>
      <c r="E707" s="8">
        <v>100301.28</v>
      </c>
    </row>
    <row r="708" spans="1:5" ht="15" customHeight="1" x14ac:dyDescent="0.25">
      <c r="A708" s="7" t="s">
        <v>987</v>
      </c>
      <c r="B708" s="3">
        <v>6309.93</v>
      </c>
      <c r="C708" s="3">
        <v>5306.53</v>
      </c>
      <c r="D708" s="3">
        <v>8379.5</v>
      </c>
      <c r="E708" s="8">
        <v>19995.96</v>
      </c>
    </row>
    <row r="709" spans="1:5" ht="15" customHeight="1" x14ac:dyDescent="0.25">
      <c r="A709" s="7" t="s">
        <v>988</v>
      </c>
      <c r="B709" s="4" t="s">
        <v>989</v>
      </c>
      <c r="C709" s="4" t="s">
        <v>990</v>
      </c>
      <c r="D709" s="4" t="s">
        <v>991</v>
      </c>
      <c r="E709" s="11" t="s">
        <v>992</v>
      </c>
    </row>
    <row r="710" spans="1:5" ht="15" customHeight="1" x14ac:dyDescent="0.25">
      <c r="A710" s="7" t="s">
        <v>993</v>
      </c>
      <c r="B710" s="3">
        <v>62170.13</v>
      </c>
      <c r="C710" s="3">
        <v>25721.62</v>
      </c>
      <c r="D710" s="3">
        <v>91622.56</v>
      </c>
      <c r="E710" s="8">
        <v>179514.31</v>
      </c>
    </row>
    <row r="711" spans="1:5" ht="15" customHeight="1" x14ac:dyDescent="0.25">
      <c r="A711" s="7" t="s">
        <v>994</v>
      </c>
      <c r="B711" s="3">
        <v>35910.33</v>
      </c>
      <c r="C711" s="3">
        <v>14857.18</v>
      </c>
      <c r="D711" s="3">
        <v>52922.37</v>
      </c>
      <c r="E711" s="8">
        <v>103689.88</v>
      </c>
    </row>
    <row r="712" spans="1:5" ht="15" customHeight="1" x14ac:dyDescent="0.25">
      <c r="A712" s="7" t="s">
        <v>995</v>
      </c>
      <c r="B712" s="3">
        <v>7666.71</v>
      </c>
      <c r="C712" s="3">
        <v>3171.94</v>
      </c>
      <c r="D712" s="3">
        <v>11298.78</v>
      </c>
      <c r="E712" s="8">
        <v>22137.43</v>
      </c>
    </row>
    <row r="713" spans="1:5" ht="15" customHeight="1" x14ac:dyDescent="0.25">
      <c r="A713" s="7" t="s">
        <v>996</v>
      </c>
      <c r="B713" s="3">
        <v>373593.3</v>
      </c>
      <c r="C713" s="3">
        <v>554445.96</v>
      </c>
      <c r="D713" s="3">
        <v>337599.84</v>
      </c>
      <c r="E713" s="8">
        <v>1265639.1000000001</v>
      </c>
    </row>
    <row r="714" spans="1:5" ht="15" customHeight="1" x14ac:dyDescent="0.25">
      <c r="A714" s="7" t="s">
        <v>997</v>
      </c>
      <c r="B714" s="3">
        <v>161667.82</v>
      </c>
      <c r="C714" s="3">
        <v>71999.89</v>
      </c>
      <c r="D714" s="3">
        <v>168012.91</v>
      </c>
      <c r="E714" s="8">
        <v>401680.62</v>
      </c>
    </row>
    <row r="715" spans="1:5" ht="15" customHeight="1" x14ac:dyDescent="0.25">
      <c r="A715" s="7" t="s">
        <v>998</v>
      </c>
      <c r="B715" s="3">
        <v>57512.24</v>
      </c>
      <c r="C715" s="3">
        <v>89606.89</v>
      </c>
      <c r="D715" s="3">
        <v>105433.60000000001</v>
      </c>
      <c r="E715" s="8">
        <v>252552.73</v>
      </c>
    </row>
    <row r="716" spans="1:5" ht="15" customHeight="1" x14ac:dyDescent="0.25">
      <c r="A716" s="7" t="s">
        <v>999</v>
      </c>
      <c r="B716" s="3">
        <v>59563.360000000001</v>
      </c>
      <c r="C716" s="3">
        <v>25142.48</v>
      </c>
      <c r="D716" s="3">
        <v>72755.600000000006</v>
      </c>
      <c r="E716" s="8">
        <v>157461.44</v>
      </c>
    </row>
    <row r="717" spans="1:5" ht="15" customHeight="1" x14ac:dyDescent="0.25">
      <c r="A717" s="7" t="s">
        <v>1000</v>
      </c>
      <c r="B717" s="3">
        <v>172593.19</v>
      </c>
      <c r="C717" s="3">
        <v>125352.6</v>
      </c>
      <c r="D717" s="3">
        <v>277739.2</v>
      </c>
      <c r="E717" s="8">
        <v>575684.99</v>
      </c>
    </row>
    <row r="718" spans="1:5" ht="15" customHeight="1" x14ac:dyDescent="0.25">
      <c r="A718" s="7" t="s">
        <v>1001</v>
      </c>
      <c r="B718" s="3">
        <v>32002.49</v>
      </c>
      <c r="C718" s="3">
        <v>17751.7</v>
      </c>
      <c r="D718" s="3">
        <v>47897.25</v>
      </c>
      <c r="E718" s="8">
        <v>97651.4399999999</v>
      </c>
    </row>
    <row r="719" spans="1:5" ht="15" customHeight="1" x14ac:dyDescent="0.25">
      <c r="A719" s="7" t="s">
        <v>1002</v>
      </c>
      <c r="B719" s="3">
        <v>113964.36</v>
      </c>
      <c r="C719" s="3">
        <v>70976.77</v>
      </c>
      <c r="D719" s="3">
        <v>216210.36</v>
      </c>
      <c r="E719" s="8">
        <v>401151.49</v>
      </c>
    </row>
    <row r="720" spans="1:5" ht="15" customHeight="1" x14ac:dyDescent="0.25">
      <c r="A720" s="7" t="s">
        <v>1003</v>
      </c>
      <c r="B720" s="3">
        <v>62530.28</v>
      </c>
      <c r="C720" s="3">
        <v>34581.5</v>
      </c>
      <c r="D720" s="3">
        <v>112413.69</v>
      </c>
      <c r="E720" s="8">
        <v>209525.47</v>
      </c>
    </row>
    <row r="721" spans="1:5" ht="15" customHeight="1" x14ac:dyDescent="0.25">
      <c r="A721" s="7" t="s">
        <v>1004</v>
      </c>
      <c r="B721" s="3">
        <v>119526.03</v>
      </c>
      <c r="C721" s="3">
        <v>84243.520000000004</v>
      </c>
      <c r="D721" s="3">
        <v>122609.55</v>
      </c>
      <c r="E721" s="8">
        <v>326379.09999999998</v>
      </c>
    </row>
    <row r="722" spans="1:5" ht="15" customHeight="1" x14ac:dyDescent="0.25">
      <c r="A722" s="7" t="s">
        <v>1005</v>
      </c>
      <c r="B722" s="3">
        <v>41162.019999999997</v>
      </c>
      <c r="C722" s="3">
        <v>41392.86</v>
      </c>
      <c r="D722" s="3">
        <v>62159.05</v>
      </c>
      <c r="E722" s="8">
        <v>144713.93</v>
      </c>
    </row>
    <row r="723" spans="1:5" ht="15" customHeight="1" x14ac:dyDescent="0.25">
      <c r="A723" s="7" t="s">
        <v>1006</v>
      </c>
      <c r="B723" s="3">
        <v>65950.899999999994</v>
      </c>
      <c r="C723" s="3">
        <v>32128.5</v>
      </c>
      <c r="D723" s="3">
        <v>84303.37</v>
      </c>
      <c r="E723" s="8">
        <v>182382.77</v>
      </c>
    </row>
    <row r="724" spans="1:5" ht="15" customHeight="1" x14ac:dyDescent="0.25">
      <c r="A724" s="7" t="s">
        <v>1007</v>
      </c>
      <c r="B724" s="3">
        <v>396019.25</v>
      </c>
      <c r="C724" s="3">
        <v>335898.37</v>
      </c>
      <c r="D724" s="3">
        <v>284827.59999999998</v>
      </c>
      <c r="E724" s="8">
        <v>1016745.22</v>
      </c>
    </row>
    <row r="725" spans="1:5" ht="15" customHeight="1" x14ac:dyDescent="0.25">
      <c r="A725" s="7" t="s">
        <v>1008</v>
      </c>
      <c r="B725" s="3">
        <v>648387.65</v>
      </c>
      <c r="C725" s="3">
        <v>293543.06</v>
      </c>
      <c r="D725" s="3">
        <v>473708.79999999999</v>
      </c>
      <c r="E725" s="8">
        <v>1415639.51</v>
      </c>
    </row>
    <row r="726" spans="1:5" ht="15" customHeight="1" x14ac:dyDescent="0.25">
      <c r="A726" s="7" t="s">
        <v>1009</v>
      </c>
      <c r="B726" s="3">
        <v>70948.27</v>
      </c>
      <c r="C726" s="3">
        <v>41850.06</v>
      </c>
      <c r="D726" s="3">
        <v>62995.92</v>
      </c>
      <c r="E726" s="8">
        <v>175794.25</v>
      </c>
    </row>
    <row r="727" spans="1:5" ht="15" customHeight="1" x14ac:dyDescent="0.25">
      <c r="A727" s="7" t="s">
        <v>1010</v>
      </c>
      <c r="B727" s="3">
        <v>129046.1</v>
      </c>
      <c r="C727" s="3">
        <v>262876.21999999997</v>
      </c>
      <c r="D727" s="3">
        <v>100944.1</v>
      </c>
      <c r="E727" s="8">
        <v>492866.42</v>
      </c>
    </row>
    <row r="728" spans="1:5" ht="15" customHeight="1" x14ac:dyDescent="0.25">
      <c r="A728" s="7" t="s">
        <v>1011</v>
      </c>
      <c r="B728" s="3">
        <v>43395.26</v>
      </c>
      <c r="C728" s="3">
        <v>62340.639999999999</v>
      </c>
      <c r="D728" s="3">
        <v>97686.67</v>
      </c>
      <c r="E728" s="8">
        <v>203422.57</v>
      </c>
    </row>
    <row r="729" spans="1:5" ht="15" customHeight="1" x14ac:dyDescent="0.25">
      <c r="A729" s="7" t="s">
        <v>1012</v>
      </c>
      <c r="B729" s="3">
        <v>56968.1</v>
      </c>
      <c r="C729" s="3">
        <v>47645.83</v>
      </c>
      <c r="D729" s="3">
        <v>114883.63</v>
      </c>
      <c r="E729" s="8">
        <v>219497.56</v>
      </c>
    </row>
    <row r="730" spans="1:5" ht="15" customHeight="1" x14ac:dyDescent="0.25">
      <c r="A730" s="7" t="s">
        <v>1013</v>
      </c>
      <c r="B730" s="3">
        <v>65723.39</v>
      </c>
      <c r="C730" s="3">
        <v>20877.150000000001</v>
      </c>
      <c r="D730" s="3">
        <v>138888.82999999999</v>
      </c>
      <c r="E730" s="8">
        <v>225489.37</v>
      </c>
    </row>
    <row r="731" spans="1:5" ht="15" customHeight="1" x14ac:dyDescent="0.25">
      <c r="A731" s="7" t="s">
        <v>1014</v>
      </c>
      <c r="B731" s="3">
        <v>33192.400000000001</v>
      </c>
      <c r="C731" s="3">
        <v>7449.75</v>
      </c>
      <c r="D731" s="3">
        <v>30989.77</v>
      </c>
      <c r="E731" s="8">
        <v>71631.92</v>
      </c>
    </row>
    <row r="732" spans="1:5" ht="15" customHeight="1" x14ac:dyDescent="0.25">
      <c r="A732" s="7" t="s">
        <v>1015</v>
      </c>
      <c r="B732" s="3">
        <v>242588.04</v>
      </c>
      <c r="C732" s="3">
        <v>166346.87</v>
      </c>
      <c r="D732" s="3">
        <v>621512.59</v>
      </c>
      <c r="E732" s="8">
        <v>1030447.5</v>
      </c>
    </row>
    <row r="733" spans="1:5" ht="15" customHeight="1" x14ac:dyDescent="0.25">
      <c r="A733" s="7" t="s">
        <v>1016</v>
      </c>
      <c r="B733" s="3">
        <v>17604.38</v>
      </c>
      <c r="C733" s="3">
        <v>924.62</v>
      </c>
      <c r="D733" s="3">
        <v>1828.24</v>
      </c>
      <c r="E733" s="8">
        <v>20357.240000000002</v>
      </c>
    </row>
    <row r="734" spans="1:5" ht="15" customHeight="1" x14ac:dyDescent="0.25">
      <c r="A734" s="7" t="s">
        <v>1017</v>
      </c>
      <c r="B734" s="3">
        <v>21417.5</v>
      </c>
      <c r="C734" s="3">
        <v>19873.810000000001</v>
      </c>
      <c r="D734" s="3">
        <v>15500.64</v>
      </c>
      <c r="E734" s="8">
        <v>56791.95</v>
      </c>
    </row>
    <row r="735" spans="1:5" ht="15" customHeight="1" x14ac:dyDescent="0.25">
      <c r="A735" s="7" t="s">
        <v>1018</v>
      </c>
      <c r="B735" s="3">
        <v>393986.57</v>
      </c>
      <c r="C735" s="3">
        <v>148124.69</v>
      </c>
      <c r="D735" s="3">
        <v>226651.23</v>
      </c>
      <c r="E735" s="8">
        <v>768762.49</v>
      </c>
    </row>
    <row r="736" spans="1:5" ht="15" customHeight="1" x14ac:dyDescent="0.25">
      <c r="A736" s="7" t="s">
        <v>1019</v>
      </c>
      <c r="B736" s="3">
        <v>151186.81</v>
      </c>
      <c r="C736" s="3">
        <v>55241.36</v>
      </c>
      <c r="D736" s="3">
        <v>142113.97</v>
      </c>
      <c r="E736" s="8">
        <v>348542.14</v>
      </c>
    </row>
    <row r="737" spans="1:5" ht="15" customHeight="1" x14ac:dyDescent="0.25">
      <c r="A737" s="7" t="s">
        <v>1020</v>
      </c>
      <c r="B737" s="3">
        <v>20962.86</v>
      </c>
      <c r="C737" s="3">
        <v>9886.5499999999993</v>
      </c>
      <c r="D737" s="3">
        <v>56939.38</v>
      </c>
      <c r="E737" s="8">
        <v>87788.79</v>
      </c>
    </row>
    <row r="738" spans="1:5" ht="15" customHeight="1" x14ac:dyDescent="0.25">
      <c r="A738" s="7" t="s">
        <v>1021</v>
      </c>
      <c r="B738" s="4" t="s">
        <v>1022</v>
      </c>
      <c r="C738" s="4" t="s">
        <v>1023</v>
      </c>
      <c r="D738" s="3">
        <v>6574.19</v>
      </c>
      <c r="E738" s="11" t="s">
        <v>1024</v>
      </c>
    </row>
    <row r="739" spans="1:5" ht="15" customHeight="1" x14ac:dyDescent="0.25">
      <c r="A739" s="7" t="s">
        <v>1025</v>
      </c>
      <c r="B739" s="3">
        <v>7468.46</v>
      </c>
      <c r="C739" s="3">
        <v>1822.61</v>
      </c>
      <c r="D739" s="3">
        <v>8402.83</v>
      </c>
      <c r="E739" s="8">
        <v>17693.900000000001</v>
      </c>
    </row>
    <row r="740" spans="1:5" ht="15" customHeight="1" x14ac:dyDescent="0.25">
      <c r="A740" s="7" t="s">
        <v>1026</v>
      </c>
      <c r="B740" s="3">
        <v>1430.57</v>
      </c>
      <c r="C740" s="3">
        <v>374.88</v>
      </c>
      <c r="D740" s="3">
        <v>8945.42</v>
      </c>
      <c r="E740" s="8">
        <v>10750.87</v>
      </c>
    </row>
    <row r="741" spans="1:5" ht="15" customHeight="1" x14ac:dyDescent="0.25">
      <c r="A741" s="7" t="s">
        <v>1027</v>
      </c>
      <c r="B741" s="4" t="s">
        <v>1028</v>
      </c>
      <c r="C741" s="4" t="s">
        <v>1029</v>
      </c>
      <c r="D741" s="4" t="s">
        <v>1030</v>
      </c>
      <c r="E741" s="11" t="s">
        <v>1031</v>
      </c>
    </row>
    <row r="742" spans="1:5" ht="15" customHeight="1" x14ac:dyDescent="0.25">
      <c r="A742" s="7" t="s">
        <v>1032</v>
      </c>
      <c r="B742" s="3">
        <v>16383.6</v>
      </c>
      <c r="C742" s="3">
        <v>4760.1099999999997</v>
      </c>
      <c r="D742" s="3">
        <v>10601.86</v>
      </c>
      <c r="E742" s="8">
        <v>31745.57</v>
      </c>
    </row>
    <row r="743" spans="1:5" ht="15" customHeight="1" x14ac:dyDescent="0.25">
      <c r="A743" s="7" t="s">
        <v>1033</v>
      </c>
      <c r="B743" s="3">
        <v>27884.83</v>
      </c>
      <c r="C743" s="3">
        <v>8035.21</v>
      </c>
      <c r="D743" s="3">
        <v>17989.47</v>
      </c>
      <c r="E743" s="8">
        <v>53909.51</v>
      </c>
    </row>
    <row r="744" spans="1:5" ht="15" customHeight="1" x14ac:dyDescent="0.25">
      <c r="A744" s="7" t="s">
        <v>1034</v>
      </c>
      <c r="B744" s="3">
        <v>37920.449999999997</v>
      </c>
      <c r="C744" s="3">
        <v>6411.89</v>
      </c>
      <c r="D744" s="3">
        <v>34455.910000000003</v>
      </c>
      <c r="E744" s="8">
        <v>78788.25</v>
      </c>
    </row>
    <row r="745" spans="1:5" ht="15" customHeight="1" x14ac:dyDescent="0.25">
      <c r="A745" s="7" t="s">
        <v>1035</v>
      </c>
      <c r="B745" s="3">
        <v>36718.03</v>
      </c>
      <c r="C745" s="4" t="s">
        <v>1036</v>
      </c>
      <c r="D745" s="3">
        <v>21341.11</v>
      </c>
      <c r="E745" s="8">
        <v>50025.08</v>
      </c>
    </row>
    <row r="746" spans="1:5" ht="15" customHeight="1" x14ac:dyDescent="0.25">
      <c r="A746" s="7" t="s">
        <v>1037</v>
      </c>
      <c r="B746" s="3">
        <v>3210.11</v>
      </c>
      <c r="C746" s="3">
        <v>2123.71</v>
      </c>
      <c r="D746" s="3">
        <v>1884.66</v>
      </c>
      <c r="E746" s="8">
        <v>7218.48</v>
      </c>
    </row>
    <row r="747" spans="1:5" ht="15" customHeight="1" x14ac:dyDescent="0.25">
      <c r="A747" s="7" t="s">
        <v>1038</v>
      </c>
      <c r="B747" s="3">
        <v>12786.01</v>
      </c>
      <c r="C747" s="3">
        <v>6884.69</v>
      </c>
      <c r="D747" s="3">
        <v>28866.92</v>
      </c>
      <c r="E747" s="8">
        <v>48537.62</v>
      </c>
    </row>
    <row r="748" spans="1:5" ht="15" customHeight="1" x14ac:dyDescent="0.25">
      <c r="A748" s="7" t="s">
        <v>1040</v>
      </c>
      <c r="B748" s="4" t="s">
        <v>1041</v>
      </c>
      <c r="C748" s="4" t="s">
        <v>1042</v>
      </c>
      <c r="D748" s="4" t="s">
        <v>1043</v>
      </c>
      <c r="E748" s="11" t="s">
        <v>1044</v>
      </c>
    </row>
    <row r="749" spans="1:5" ht="15" customHeight="1" x14ac:dyDescent="0.25">
      <c r="A749" s="7" t="s">
        <v>1045</v>
      </c>
      <c r="B749" s="3">
        <v>132183.1</v>
      </c>
      <c r="C749" s="3">
        <v>58250.83</v>
      </c>
      <c r="D749" s="3">
        <v>128277.99</v>
      </c>
      <c r="E749" s="8">
        <v>318711.92</v>
      </c>
    </row>
    <row r="750" spans="1:5" ht="15" customHeight="1" x14ac:dyDescent="0.25">
      <c r="A750" s="7" t="s">
        <v>1046</v>
      </c>
      <c r="B750" s="3">
        <v>47525.52</v>
      </c>
      <c r="C750" s="3">
        <v>27205.26</v>
      </c>
      <c r="D750" s="3">
        <v>51092.21</v>
      </c>
      <c r="E750" s="8">
        <v>125822.99</v>
      </c>
    </row>
    <row r="751" spans="1:5" ht="15" customHeight="1" x14ac:dyDescent="0.25">
      <c r="A751" s="7" t="s">
        <v>1047</v>
      </c>
      <c r="B751" s="3">
        <v>13395.96</v>
      </c>
      <c r="C751" s="5"/>
      <c r="D751" s="3">
        <v>18785.97</v>
      </c>
      <c r="E751" s="8">
        <v>32181.93</v>
      </c>
    </row>
    <row r="752" spans="1:5" ht="15" customHeight="1" x14ac:dyDescent="0.25">
      <c r="A752" s="7" t="s">
        <v>1048</v>
      </c>
      <c r="B752" s="3">
        <v>41660.06</v>
      </c>
      <c r="C752" s="3">
        <v>12279.46</v>
      </c>
      <c r="D752" s="3">
        <v>54600.97</v>
      </c>
      <c r="E752" s="8">
        <v>108540.49</v>
      </c>
    </row>
    <row r="753" spans="1:5" ht="15" customHeight="1" x14ac:dyDescent="0.25">
      <c r="A753" s="7" t="s">
        <v>1049</v>
      </c>
      <c r="B753" s="3">
        <v>544216.01</v>
      </c>
      <c r="C753" s="3">
        <v>529593.96</v>
      </c>
      <c r="D753" s="3">
        <v>419305.35</v>
      </c>
      <c r="E753" s="8">
        <v>1493115.32</v>
      </c>
    </row>
    <row r="754" spans="1:5" ht="15" customHeight="1" x14ac:dyDescent="0.25">
      <c r="A754" s="7" t="s">
        <v>1050</v>
      </c>
      <c r="B754" s="3">
        <v>608738.72</v>
      </c>
      <c r="C754" s="3">
        <v>628184.85</v>
      </c>
      <c r="D754" s="3">
        <v>468770.81</v>
      </c>
      <c r="E754" s="8">
        <v>1705694.38</v>
      </c>
    </row>
    <row r="755" spans="1:5" ht="15" customHeight="1" x14ac:dyDescent="0.25">
      <c r="A755" s="7" t="s">
        <v>1051</v>
      </c>
      <c r="B755" s="3">
        <v>164461.76999999999</v>
      </c>
      <c r="C755" s="3">
        <v>52262.64</v>
      </c>
      <c r="D755" s="3">
        <v>142269.42000000001</v>
      </c>
      <c r="E755" s="8">
        <v>358993.83</v>
      </c>
    </row>
    <row r="756" spans="1:5" ht="15" customHeight="1" x14ac:dyDescent="0.25">
      <c r="A756" s="7" t="s">
        <v>1052</v>
      </c>
      <c r="B756" s="3">
        <v>637360.4</v>
      </c>
      <c r="C756" s="3">
        <v>414882.42</v>
      </c>
      <c r="D756" s="3">
        <v>657554.63</v>
      </c>
      <c r="E756" s="8">
        <v>1709797.45</v>
      </c>
    </row>
    <row r="757" spans="1:5" ht="15" customHeight="1" x14ac:dyDescent="0.25">
      <c r="A757" s="7" t="s">
        <v>1053</v>
      </c>
      <c r="B757" s="3">
        <v>168470.8</v>
      </c>
      <c r="C757" s="3">
        <v>345700.85</v>
      </c>
      <c r="D757" s="3">
        <v>153476.6</v>
      </c>
      <c r="E757" s="8">
        <v>667648.25</v>
      </c>
    </row>
    <row r="758" spans="1:5" ht="15" customHeight="1" x14ac:dyDescent="0.25">
      <c r="A758" s="7" t="s">
        <v>1054</v>
      </c>
      <c r="B758" s="3">
        <v>17908.87</v>
      </c>
      <c r="C758" s="3">
        <v>16599.63</v>
      </c>
      <c r="D758" s="3">
        <v>7934.14</v>
      </c>
      <c r="E758" s="8">
        <v>42442.64</v>
      </c>
    </row>
    <row r="759" spans="1:5" ht="15" customHeight="1" x14ac:dyDescent="0.25">
      <c r="A759" s="7" t="s">
        <v>1055</v>
      </c>
      <c r="B759" s="3">
        <v>148131.66</v>
      </c>
      <c r="C759" s="3">
        <v>218425.57</v>
      </c>
      <c r="D759" s="3">
        <v>154043.89000000001</v>
      </c>
      <c r="E759" s="8">
        <v>520601.12</v>
      </c>
    </row>
    <row r="760" spans="1:5" ht="15" customHeight="1" x14ac:dyDescent="0.25">
      <c r="A760" s="7" t="s">
        <v>1056</v>
      </c>
      <c r="B760" s="3">
        <v>208377.41</v>
      </c>
      <c r="C760" s="3">
        <v>143157.14000000001</v>
      </c>
      <c r="D760" s="3">
        <v>220568.34</v>
      </c>
      <c r="E760" s="8">
        <v>572102.89</v>
      </c>
    </row>
    <row r="761" spans="1:5" ht="15" customHeight="1" x14ac:dyDescent="0.25">
      <c r="A761" s="7" t="s">
        <v>1057</v>
      </c>
      <c r="B761" s="3">
        <v>263821.28999999998</v>
      </c>
      <c r="C761" s="3">
        <v>490685.01</v>
      </c>
      <c r="D761" s="3">
        <v>279399.34999999998</v>
      </c>
      <c r="E761" s="8">
        <v>1033905.65</v>
      </c>
    </row>
    <row r="762" spans="1:5" ht="15" customHeight="1" x14ac:dyDescent="0.25">
      <c r="A762" s="7" t="s">
        <v>1058</v>
      </c>
      <c r="B762" s="3">
        <v>209338.47</v>
      </c>
      <c r="C762" s="3">
        <v>17797.05</v>
      </c>
      <c r="D762" s="3">
        <v>117380.24</v>
      </c>
      <c r="E762" s="8">
        <v>344515.76</v>
      </c>
    </row>
    <row r="763" spans="1:5" ht="15" customHeight="1" x14ac:dyDescent="0.25">
      <c r="A763" s="7" t="s">
        <v>1059</v>
      </c>
      <c r="B763" s="3">
        <v>238082.14</v>
      </c>
      <c r="C763" s="3">
        <v>330722.28999999998</v>
      </c>
      <c r="D763" s="3">
        <v>579088.35</v>
      </c>
      <c r="E763" s="8">
        <v>1147892.78</v>
      </c>
    </row>
    <row r="764" spans="1:5" ht="15" customHeight="1" x14ac:dyDescent="0.25">
      <c r="A764" s="7" t="s">
        <v>1060</v>
      </c>
      <c r="B764" s="3">
        <v>304739.59000000003</v>
      </c>
      <c r="C764" s="3">
        <v>190024.11</v>
      </c>
      <c r="D764" s="3">
        <v>193036.27</v>
      </c>
      <c r="E764" s="8">
        <v>687799.97</v>
      </c>
    </row>
    <row r="765" spans="1:5" ht="15" customHeight="1" x14ac:dyDescent="0.25">
      <c r="A765" s="7" t="s">
        <v>1061</v>
      </c>
      <c r="B765" s="3">
        <v>622616.78</v>
      </c>
      <c r="C765" s="3">
        <v>411508.98</v>
      </c>
      <c r="D765" s="3">
        <v>2965711.16</v>
      </c>
      <c r="E765" s="8">
        <v>3999836.92</v>
      </c>
    </row>
    <row r="766" spans="1:5" ht="15" customHeight="1" x14ac:dyDescent="0.25">
      <c r="A766" s="7" t="s">
        <v>1062</v>
      </c>
      <c r="B766" s="3">
        <v>40319.33</v>
      </c>
      <c r="C766" s="3">
        <v>22416.59</v>
      </c>
      <c r="D766" s="3">
        <v>23951.49</v>
      </c>
      <c r="E766" s="8">
        <v>86687.41</v>
      </c>
    </row>
    <row r="767" spans="1:5" ht="15" customHeight="1" x14ac:dyDescent="0.25">
      <c r="A767" s="7" t="s">
        <v>1063</v>
      </c>
      <c r="B767" s="3">
        <v>8993.75</v>
      </c>
      <c r="C767" s="4" t="s">
        <v>1064</v>
      </c>
      <c r="D767" s="5"/>
      <c r="E767" s="8">
        <v>5607.01</v>
      </c>
    </row>
    <row r="768" spans="1:5" ht="15" customHeight="1" x14ac:dyDescent="0.25">
      <c r="A768" s="7" t="s">
        <v>1065</v>
      </c>
      <c r="B768" s="3">
        <v>602495.78</v>
      </c>
      <c r="C768" s="3">
        <v>307749.65000000002</v>
      </c>
      <c r="D768" s="3">
        <v>1207230.71</v>
      </c>
      <c r="E768" s="8">
        <v>2117476.14</v>
      </c>
    </row>
    <row r="769" spans="1:5" ht="15" customHeight="1" x14ac:dyDescent="0.25">
      <c r="A769" s="7" t="s">
        <v>1066</v>
      </c>
      <c r="B769" s="3">
        <v>146592.32999999999</v>
      </c>
      <c r="C769" s="3">
        <v>156928.38</v>
      </c>
      <c r="D769" s="3">
        <v>289656.76</v>
      </c>
      <c r="E769" s="8">
        <v>593177.47</v>
      </c>
    </row>
    <row r="770" spans="1:5" ht="15" customHeight="1" x14ac:dyDescent="0.25">
      <c r="A770" s="7" t="s">
        <v>1067</v>
      </c>
      <c r="B770" s="3">
        <v>10112.299999999999</v>
      </c>
      <c r="C770" s="3">
        <v>20607.21</v>
      </c>
      <c r="D770" s="5"/>
      <c r="E770" s="8">
        <v>30719.51</v>
      </c>
    </row>
    <row r="771" spans="1:5" ht="15" customHeight="1" x14ac:dyDescent="0.25">
      <c r="A771" s="7" t="s">
        <v>1069</v>
      </c>
      <c r="B771" s="3">
        <v>279700.93</v>
      </c>
      <c r="C771" s="3">
        <v>203926.62</v>
      </c>
      <c r="D771" s="3">
        <v>199258.39</v>
      </c>
      <c r="E771" s="8">
        <v>682885.94</v>
      </c>
    </row>
    <row r="772" spans="1:5" ht="15" customHeight="1" x14ac:dyDescent="0.25">
      <c r="A772" s="7" t="s">
        <v>1070</v>
      </c>
      <c r="B772" s="3">
        <v>323608.77</v>
      </c>
      <c r="C772" s="3">
        <v>254563.78</v>
      </c>
      <c r="D772" s="3">
        <v>211344.48</v>
      </c>
      <c r="E772" s="8">
        <v>789517.03</v>
      </c>
    </row>
    <row r="773" spans="1:5" ht="15" customHeight="1" x14ac:dyDescent="0.25">
      <c r="A773" s="7" t="s">
        <v>1071</v>
      </c>
      <c r="B773" s="3">
        <v>76412.63</v>
      </c>
      <c r="C773" s="3">
        <v>82192.92</v>
      </c>
      <c r="D773" s="3">
        <v>107889.33</v>
      </c>
      <c r="E773" s="8">
        <v>266494.88</v>
      </c>
    </row>
    <row r="774" spans="1:5" ht="15" customHeight="1" x14ac:dyDescent="0.25">
      <c r="A774" s="7" t="s">
        <v>1072</v>
      </c>
      <c r="B774" s="3">
        <v>539780.42000000004</v>
      </c>
      <c r="C774" s="3">
        <v>410282.27</v>
      </c>
      <c r="D774" s="3">
        <v>498782.73</v>
      </c>
      <c r="E774" s="8">
        <v>1448845.42</v>
      </c>
    </row>
    <row r="775" spans="1:5" ht="15" customHeight="1" x14ac:dyDescent="0.25">
      <c r="A775" s="7" t="s">
        <v>1073</v>
      </c>
      <c r="B775" s="3">
        <v>176931.8</v>
      </c>
      <c r="C775" s="3">
        <v>140323.28</v>
      </c>
      <c r="D775" s="3">
        <v>216822.39</v>
      </c>
      <c r="E775" s="8">
        <v>534077.47</v>
      </c>
    </row>
    <row r="776" spans="1:5" ht="15" customHeight="1" x14ac:dyDescent="0.25">
      <c r="A776" s="7" t="s">
        <v>1074</v>
      </c>
      <c r="B776" s="3">
        <v>87583.01</v>
      </c>
      <c r="C776" s="3">
        <v>53911.65</v>
      </c>
      <c r="D776" s="3">
        <v>102588.6</v>
      </c>
      <c r="E776" s="8">
        <v>244083.26</v>
      </c>
    </row>
    <row r="777" spans="1:5" ht="15" customHeight="1" x14ac:dyDescent="0.25">
      <c r="A777" s="7" t="s">
        <v>1075</v>
      </c>
      <c r="B777" s="3">
        <v>81294.48</v>
      </c>
      <c r="C777" s="3">
        <v>10964.52</v>
      </c>
      <c r="D777" s="3">
        <v>27270.2</v>
      </c>
      <c r="E777" s="8">
        <v>119529.2</v>
      </c>
    </row>
    <row r="778" spans="1:5" ht="15" customHeight="1" x14ac:dyDescent="0.25">
      <c r="A778" s="7" t="s">
        <v>1076</v>
      </c>
      <c r="B778" s="3">
        <v>126759.03999999999</v>
      </c>
      <c r="C778" s="3">
        <v>127119.58</v>
      </c>
      <c r="D778" s="3">
        <v>208934.85</v>
      </c>
      <c r="E778" s="8">
        <v>462813.47</v>
      </c>
    </row>
    <row r="779" spans="1:5" ht="15" customHeight="1" x14ac:dyDescent="0.25">
      <c r="A779" s="7" t="s">
        <v>1077</v>
      </c>
      <c r="B779" s="3">
        <v>80157.22</v>
      </c>
      <c r="C779" s="3">
        <v>82718.22</v>
      </c>
      <c r="D779" s="3">
        <v>97030.69</v>
      </c>
      <c r="E779" s="8">
        <v>259906.13</v>
      </c>
    </row>
    <row r="780" spans="1:5" ht="15" customHeight="1" x14ac:dyDescent="0.25">
      <c r="A780" s="7" t="s">
        <v>1078</v>
      </c>
      <c r="B780" s="3">
        <v>17672.759999999998</v>
      </c>
      <c r="C780" s="5"/>
      <c r="D780" s="3">
        <v>1839.12</v>
      </c>
      <c r="E780" s="8">
        <v>19511.88</v>
      </c>
    </row>
    <row r="781" spans="1:5" ht="15" customHeight="1" x14ac:dyDescent="0.25">
      <c r="A781" s="7" t="s">
        <v>1079</v>
      </c>
      <c r="B781" s="3">
        <v>4790.92</v>
      </c>
      <c r="C781" s="3">
        <v>3669.92</v>
      </c>
      <c r="D781" s="3">
        <v>7258.85</v>
      </c>
      <c r="E781" s="8">
        <v>15719.69</v>
      </c>
    </row>
    <row r="782" spans="1:5" ht="15" customHeight="1" x14ac:dyDescent="0.25">
      <c r="A782" s="7" t="s">
        <v>1080</v>
      </c>
      <c r="B782" s="4" t="s">
        <v>1081</v>
      </c>
      <c r="C782" s="4" t="s">
        <v>1082</v>
      </c>
      <c r="D782" s="4" t="s">
        <v>1083</v>
      </c>
      <c r="E782" s="11" t="s">
        <v>1084</v>
      </c>
    </row>
    <row r="783" spans="1:5" ht="15" customHeight="1" x14ac:dyDescent="0.25">
      <c r="A783" s="7" t="s">
        <v>1085</v>
      </c>
      <c r="B783" s="3">
        <v>443194.67</v>
      </c>
      <c r="C783" s="3">
        <v>419333.23</v>
      </c>
      <c r="D783" s="3">
        <v>623736.81000000006</v>
      </c>
      <c r="E783" s="8">
        <v>1486264.71</v>
      </c>
    </row>
    <row r="784" spans="1:5" ht="15" customHeight="1" x14ac:dyDescent="0.25">
      <c r="A784" s="7" t="s">
        <v>1086</v>
      </c>
      <c r="B784" s="3">
        <v>261131.77</v>
      </c>
      <c r="C784" s="3">
        <v>369996.76</v>
      </c>
      <c r="D784" s="3">
        <v>342242.15</v>
      </c>
      <c r="E784" s="8">
        <v>973370.68</v>
      </c>
    </row>
    <row r="785" spans="1:5" ht="15" customHeight="1" x14ac:dyDescent="0.25">
      <c r="A785" s="7" t="s">
        <v>1087</v>
      </c>
      <c r="B785" s="3">
        <v>1497.6</v>
      </c>
      <c r="C785" s="4" t="s">
        <v>1088</v>
      </c>
      <c r="D785" s="3">
        <v>1108.8499999999999</v>
      </c>
      <c r="E785" s="11" t="s">
        <v>1089</v>
      </c>
    </row>
    <row r="786" spans="1:5" ht="15" customHeight="1" x14ac:dyDescent="0.25">
      <c r="A786" s="7" t="s">
        <v>1090</v>
      </c>
      <c r="B786" s="3">
        <v>7856.64</v>
      </c>
      <c r="C786" s="5"/>
      <c r="D786" s="3">
        <v>7976.15</v>
      </c>
      <c r="E786" s="8">
        <v>15832.79</v>
      </c>
    </row>
    <row r="787" spans="1:5" ht="15" customHeight="1" x14ac:dyDescent="0.25">
      <c r="A787" s="7" t="s">
        <v>1091</v>
      </c>
      <c r="B787" s="3">
        <v>12103</v>
      </c>
      <c r="C787" s="5"/>
      <c r="D787" s="3">
        <v>12282.27</v>
      </c>
      <c r="E787" s="8">
        <v>24385.27</v>
      </c>
    </row>
    <row r="788" spans="1:5" ht="15" customHeight="1" x14ac:dyDescent="0.25">
      <c r="A788" s="7" t="s">
        <v>1092</v>
      </c>
      <c r="B788" s="3">
        <v>3774.05</v>
      </c>
      <c r="C788" s="3">
        <v>5402.08</v>
      </c>
      <c r="D788" s="3">
        <v>3833.8</v>
      </c>
      <c r="E788" s="8">
        <v>13009.93</v>
      </c>
    </row>
    <row r="789" spans="1:5" ht="15" customHeight="1" x14ac:dyDescent="0.25">
      <c r="A789" s="7" t="s">
        <v>1093</v>
      </c>
      <c r="B789" s="3">
        <v>9102.67</v>
      </c>
      <c r="C789" s="5"/>
      <c r="D789" s="3">
        <v>9251.56</v>
      </c>
      <c r="E789" s="8">
        <v>18354.23</v>
      </c>
    </row>
    <row r="790" spans="1:5" ht="15" customHeight="1" x14ac:dyDescent="0.25">
      <c r="A790" s="7" t="s">
        <v>1094</v>
      </c>
      <c r="B790" s="3">
        <v>3111.54</v>
      </c>
      <c r="C790" s="5"/>
      <c r="D790" s="3">
        <v>3156.95</v>
      </c>
      <c r="E790" s="8">
        <v>6268.49</v>
      </c>
    </row>
    <row r="791" spans="1:5" ht="15" customHeight="1" x14ac:dyDescent="0.25">
      <c r="A791" s="7" t="s">
        <v>1095</v>
      </c>
      <c r="B791" s="3">
        <v>1551.94</v>
      </c>
      <c r="C791" s="5"/>
      <c r="D791" s="3">
        <v>1573.59</v>
      </c>
      <c r="E791" s="8">
        <v>3125.53</v>
      </c>
    </row>
    <row r="792" spans="1:5" ht="15" customHeight="1" x14ac:dyDescent="0.25">
      <c r="A792" s="7" t="s">
        <v>1097</v>
      </c>
      <c r="B792" s="3">
        <v>108528.3</v>
      </c>
      <c r="C792" s="3">
        <v>97284.22</v>
      </c>
      <c r="D792" s="3">
        <v>189068.73</v>
      </c>
      <c r="E792" s="8">
        <v>394881.25</v>
      </c>
    </row>
    <row r="793" spans="1:5" ht="15" customHeight="1" x14ac:dyDescent="0.25">
      <c r="A793" s="7" t="s">
        <v>1098</v>
      </c>
      <c r="B793" s="3">
        <v>69133.14</v>
      </c>
      <c r="C793" s="3">
        <v>42017.97</v>
      </c>
      <c r="D793" s="3">
        <v>94876.74</v>
      </c>
      <c r="E793" s="8">
        <v>206027.85</v>
      </c>
    </row>
    <row r="794" spans="1:5" ht="15" customHeight="1" x14ac:dyDescent="0.25">
      <c r="A794" s="7" t="s">
        <v>1099</v>
      </c>
      <c r="B794" s="3">
        <v>108.14</v>
      </c>
      <c r="C794" s="3">
        <v>5241</v>
      </c>
      <c r="D794" s="3">
        <v>5304.25</v>
      </c>
      <c r="E794" s="8">
        <v>10653.39</v>
      </c>
    </row>
    <row r="795" spans="1:5" ht="15" customHeight="1" x14ac:dyDescent="0.25">
      <c r="A795" s="7" t="s">
        <v>1100</v>
      </c>
      <c r="B795" s="4" t="s">
        <v>1101</v>
      </c>
      <c r="C795" s="3">
        <v>23264.57</v>
      </c>
      <c r="D795" s="4" t="s">
        <v>1102</v>
      </c>
      <c r="E795" s="11" t="s">
        <v>1103</v>
      </c>
    </row>
    <row r="796" spans="1:5" ht="15" customHeight="1" x14ac:dyDescent="0.25">
      <c r="A796" s="7" t="s">
        <v>1104</v>
      </c>
      <c r="B796" s="3">
        <v>10687.49</v>
      </c>
      <c r="C796" s="5"/>
      <c r="D796" s="3">
        <v>11672.37</v>
      </c>
      <c r="E796" s="8">
        <v>22359.86</v>
      </c>
    </row>
    <row r="797" spans="1:5" ht="15" customHeight="1" x14ac:dyDescent="0.25">
      <c r="A797" s="7" t="s">
        <v>1105</v>
      </c>
      <c r="B797" s="3">
        <v>33323.31</v>
      </c>
      <c r="C797" s="5"/>
      <c r="D797" s="3">
        <v>36394.019999999997</v>
      </c>
      <c r="E797" s="8">
        <v>69717.33</v>
      </c>
    </row>
    <row r="798" spans="1:5" ht="15" customHeight="1" x14ac:dyDescent="0.25">
      <c r="A798" s="7" t="s">
        <v>1106</v>
      </c>
      <c r="B798" s="3">
        <v>12756.29</v>
      </c>
      <c r="C798" s="5"/>
      <c r="D798" s="3">
        <v>13931.72</v>
      </c>
      <c r="E798" s="8">
        <v>26688.01</v>
      </c>
    </row>
    <row r="799" spans="1:5" ht="15" customHeight="1" x14ac:dyDescent="0.25">
      <c r="A799" s="7" t="s">
        <v>1107</v>
      </c>
      <c r="B799" s="3">
        <v>49440.73</v>
      </c>
      <c r="C799" s="5"/>
      <c r="D799" s="3">
        <v>53996.7</v>
      </c>
      <c r="E799" s="8">
        <v>103437.43</v>
      </c>
    </row>
    <row r="800" spans="1:5" ht="15" customHeight="1" x14ac:dyDescent="0.25">
      <c r="A800" s="7" t="s">
        <v>1108</v>
      </c>
      <c r="B800" s="3">
        <v>181.74</v>
      </c>
      <c r="C800" s="5"/>
      <c r="D800" s="3">
        <v>198.49</v>
      </c>
      <c r="E800" s="8">
        <v>380.23</v>
      </c>
    </row>
    <row r="801" spans="1:5" ht="15" customHeight="1" x14ac:dyDescent="0.25">
      <c r="A801" s="7" t="s">
        <v>1109</v>
      </c>
      <c r="B801" s="3">
        <v>8932.39</v>
      </c>
      <c r="C801" s="5"/>
      <c r="D801" s="3">
        <v>9755.5400000000009</v>
      </c>
      <c r="E801" s="8">
        <v>18687.93</v>
      </c>
    </row>
    <row r="802" spans="1:5" ht="15" customHeight="1" x14ac:dyDescent="0.25">
      <c r="A802" s="7" t="s">
        <v>1110</v>
      </c>
      <c r="B802" s="3">
        <v>2440.4899999999998</v>
      </c>
      <c r="C802" s="5"/>
      <c r="D802" s="3">
        <v>2665.36</v>
      </c>
      <c r="E802" s="8">
        <v>5105.8500000000004</v>
      </c>
    </row>
    <row r="803" spans="1:5" ht="15" customHeight="1" x14ac:dyDescent="0.25">
      <c r="A803" s="7" t="s">
        <v>1111</v>
      </c>
      <c r="B803" s="3">
        <v>4237.54</v>
      </c>
      <c r="C803" s="5"/>
      <c r="D803" s="3">
        <v>4628.04</v>
      </c>
      <c r="E803" s="8">
        <v>8865.58</v>
      </c>
    </row>
    <row r="804" spans="1:5" ht="15" customHeight="1" x14ac:dyDescent="0.25">
      <c r="A804" s="7" t="s">
        <v>1112</v>
      </c>
      <c r="B804" s="3">
        <v>14029.02</v>
      </c>
      <c r="C804" s="5"/>
      <c r="D804" s="3">
        <v>15321.8</v>
      </c>
      <c r="E804" s="8">
        <v>29350.82</v>
      </c>
    </row>
    <row r="805" spans="1:5" ht="15" customHeight="1" x14ac:dyDescent="0.25">
      <c r="A805" s="7" t="s">
        <v>1114</v>
      </c>
      <c r="B805" s="3">
        <v>190409.38</v>
      </c>
      <c r="C805" s="3">
        <v>76637.22</v>
      </c>
      <c r="D805" s="3">
        <v>234113.46</v>
      </c>
      <c r="E805" s="8">
        <v>501160.06</v>
      </c>
    </row>
    <row r="806" spans="1:5" ht="15" customHeight="1" x14ac:dyDescent="0.25">
      <c r="A806" s="7" t="s">
        <v>1115</v>
      </c>
      <c r="B806" s="3">
        <v>346160.22</v>
      </c>
      <c r="C806" s="3">
        <v>173937.72</v>
      </c>
      <c r="D806" s="3">
        <v>388165.21</v>
      </c>
      <c r="E806" s="8">
        <v>908263.15</v>
      </c>
    </row>
    <row r="807" spans="1:5" ht="15" customHeight="1" x14ac:dyDescent="0.25">
      <c r="A807" s="7" t="s">
        <v>1116</v>
      </c>
      <c r="B807" s="3">
        <v>152505.57999999999</v>
      </c>
      <c r="C807" s="3">
        <v>45632.59</v>
      </c>
      <c r="D807" s="3">
        <v>165614.10999999999</v>
      </c>
      <c r="E807" s="8">
        <v>363752.28</v>
      </c>
    </row>
    <row r="808" spans="1:5" ht="15" customHeight="1" x14ac:dyDescent="0.25">
      <c r="A808" s="7" t="s">
        <v>1117</v>
      </c>
      <c r="B808" s="3">
        <v>89829.34</v>
      </c>
      <c r="C808" s="3">
        <v>123430.87</v>
      </c>
      <c r="D808" s="3">
        <v>295380</v>
      </c>
      <c r="E808" s="8">
        <v>508640.21</v>
      </c>
    </row>
    <row r="809" spans="1:5" ht="15" customHeight="1" x14ac:dyDescent="0.25">
      <c r="A809" s="7" t="s">
        <v>1118</v>
      </c>
      <c r="B809" s="3">
        <v>362158.47</v>
      </c>
      <c r="C809" s="3">
        <v>236403.41</v>
      </c>
      <c r="D809" s="3">
        <v>438495.18</v>
      </c>
      <c r="E809" s="8">
        <v>1037057.06</v>
      </c>
    </row>
    <row r="810" spans="1:5" ht="15" customHeight="1" x14ac:dyDescent="0.25">
      <c r="A810" s="7" t="s">
        <v>1119</v>
      </c>
      <c r="B810" s="3">
        <v>629829.17000000004</v>
      </c>
      <c r="C810" s="3">
        <v>546901.46</v>
      </c>
      <c r="D810" s="3">
        <v>884110.36</v>
      </c>
      <c r="E810" s="8">
        <v>2060840.99</v>
      </c>
    </row>
    <row r="811" spans="1:5" ht="15" customHeight="1" x14ac:dyDescent="0.25">
      <c r="A811" s="7" t="s">
        <v>1120</v>
      </c>
      <c r="B811" s="3">
        <v>296795.71999999997</v>
      </c>
      <c r="C811" s="3">
        <v>205528.97</v>
      </c>
      <c r="D811" s="3">
        <v>186763.1</v>
      </c>
      <c r="E811" s="8">
        <v>689087.79</v>
      </c>
    </row>
    <row r="812" spans="1:5" ht="15" customHeight="1" x14ac:dyDescent="0.25">
      <c r="A812" s="7" t="s">
        <v>1121</v>
      </c>
      <c r="B812" s="3">
        <v>150135.45000000001</v>
      </c>
      <c r="C812" s="3">
        <v>91119.23</v>
      </c>
      <c r="D812" s="3">
        <v>138806.51</v>
      </c>
      <c r="E812" s="8">
        <v>380061.19</v>
      </c>
    </row>
    <row r="813" spans="1:5" ht="15" customHeight="1" x14ac:dyDescent="0.25">
      <c r="A813" s="7" t="s">
        <v>1122</v>
      </c>
      <c r="B813" s="3">
        <v>6215.96</v>
      </c>
      <c r="C813" s="3">
        <v>107326.97</v>
      </c>
      <c r="D813" s="3">
        <v>115203.77</v>
      </c>
      <c r="E813" s="8">
        <v>228746.7</v>
      </c>
    </row>
    <row r="814" spans="1:5" ht="15" customHeight="1" x14ac:dyDescent="0.25">
      <c r="A814" s="7" t="s">
        <v>1123</v>
      </c>
      <c r="B814" s="4" t="s">
        <v>1124</v>
      </c>
      <c r="C814" s="4" t="s">
        <v>1125</v>
      </c>
      <c r="D814" s="4" t="s">
        <v>1126</v>
      </c>
      <c r="E814" s="11" t="s">
        <v>1127</v>
      </c>
    </row>
    <row r="815" spans="1:5" ht="15" customHeight="1" x14ac:dyDescent="0.25">
      <c r="A815" s="7" t="s">
        <v>1128</v>
      </c>
      <c r="B815" s="3">
        <v>2701316.94</v>
      </c>
      <c r="C815" s="3">
        <v>2474058.92</v>
      </c>
      <c r="D815" s="3">
        <v>3691266.27</v>
      </c>
      <c r="E815" s="8">
        <v>8866642.1300000008</v>
      </c>
    </row>
    <row r="816" spans="1:5" ht="15" customHeight="1" x14ac:dyDescent="0.25">
      <c r="A816" s="7" t="s">
        <v>1129</v>
      </c>
      <c r="B816" s="3">
        <v>1292544.45</v>
      </c>
      <c r="C816" s="3">
        <v>2540283.1800000002</v>
      </c>
      <c r="D816" s="3">
        <v>2813230.96</v>
      </c>
      <c r="E816" s="8">
        <v>6646058.5899999999</v>
      </c>
    </row>
    <row r="817" spans="1:5" ht="15" customHeight="1" x14ac:dyDescent="0.25">
      <c r="A817" s="7" t="s">
        <v>1130</v>
      </c>
      <c r="B817" s="3">
        <v>649194.77</v>
      </c>
      <c r="C817" s="3">
        <v>995701.35</v>
      </c>
      <c r="D817" s="3">
        <v>1558119.67</v>
      </c>
      <c r="E817" s="8">
        <v>3203015.79</v>
      </c>
    </row>
    <row r="818" spans="1:5" ht="15" customHeight="1" x14ac:dyDescent="0.25">
      <c r="A818" s="7" t="s">
        <v>1131</v>
      </c>
      <c r="B818" s="4" t="s">
        <v>1132</v>
      </c>
      <c r="C818" s="4" t="s">
        <v>1133</v>
      </c>
      <c r="D818" s="4" t="s">
        <v>1134</v>
      </c>
      <c r="E818" s="11" t="s">
        <v>1135</v>
      </c>
    </row>
    <row r="819" spans="1:5" ht="15" customHeight="1" x14ac:dyDescent="0.25">
      <c r="A819" s="7" t="s">
        <v>1136</v>
      </c>
      <c r="B819" s="4" t="s">
        <v>1137</v>
      </c>
      <c r="C819" s="3">
        <v>2808.28</v>
      </c>
      <c r="D819" s="3">
        <v>968.280000000001</v>
      </c>
      <c r="E819" s="11" t="s">
        <v>1138</v>
      </c>
    </row>
    <row r="820" spans="1:5" ht="15" customHeight="1" x14ac:dyDescent="0.25">
      <c r="A820" s="7" t="s">
        <v>1139</v>
      </c>
      <c r="B820" s="4" t="s">
        <v>1140</v>
      </c>
      <c r="C820" s="4" t="s">
        <v>1141</v>
      </c>
      <c r="D820" s="4" t="s">
        <v>1142</v>
      </c>
      <c r="E820" s="11" t="s">
        <v>1143</v>
      </c>
    </row>
    <row r="821" spans="1:5" ht="15" customHeight="1" x14ac:dyDescent="0.25">
      <c r="A821" s="7" t="s">
        <v>1144</v>
      </c>
      <c r="B821" s="3">
        <v>154294.96</v>
      </c>
      <c r="C821" s="3">
        <v>83795.360000000001</v>
      </c>
      <c r="D821" s="3">
        <v>150992.47</v>
      </c>
      <c r="E821" s="8">
        <v>389082.79</v>
      </c>
    </row>
    <row r="822" spans="1:5" ht="15" customHeight="1" x14ac:dyDescent="0.25">
      <c r="A822" s="7" t="s">
        <v>1145</v>
      </c>
      <c r="B822" s="3">
        <v>1299088.42</v>
      </c>
      <c r="C822" s="3">
        <v>1283017.97</v>
      </c>
      <c r="D822" s="3">
        <v>1448668.84</v>
      </c>
      <c r="E822" s="8">
        <v>4030775.23</v>
      </c>
    </row>
    <row r="823" spans="1:5" ht="15" customHeight="1" x14ac:dyDescent="0.25">
      <c r="A823" s="7" t="s">
        <v>1146</v>
      </c>
      <c r="B823" s="3">
        <v>645197.16</v>
      </c>
      <c r="C823" s="3">
        <v>1038291.84</v>
      </c>
      <c r="D823" s="3">
        <v>1312244.73</v>
      </c>
      <c r="E823" s="8">
        <v>2995733.73</v>
      </c>
    </row>
    <row r="824" spans="1:5" ht="15" customHeight="1" x14ac:dyDescent="0.25">
      <c r="A824" s="7" t="s">
        <v>1147</v>
      </c>
      <c r="B824" s="3">
        <v>497737.39</v>
      </c>
      <c r="C824" s="3">
        <v>440942.9</v>
      </c>
      <c r="D824" s="3">
        <v>585311.02</v>
      </c>
      <c r="E824" s="8">
        <v>1523991.31</v>
      </c>
    </row>
    <row r="825" spans="1:5" ht="15" customHeight="1" x14ac:dyDescent="0.25">
      <c r="A825" s="7" t="s">
        <v>1148</v>
      </c>
      <c r="B825" s="3">
        <v>6175913.7199999997</v>
      </c>
      <c r="C825" s="3">
        <v>8863042.0299999993</v>
      </c>
      <c r="D825" s="3">
        <v>7432841.6399999997</v>
      </c>
      <c r="E825" s="8">
        <v>22471797.390000001</v>
      </c>
    </row>
    <row r="826" spans="1:5" ht="15" customHeight="1" x14ac:dyDescent="0.25">
      <c r="A826" s="7" t="s">
        <v>1149</v>
      </c>
      <c r="B826" s="3">
        <v>318320.51</v>
      </c>
      <c r="C826" s="3">
        <v>116543.56</v>
      </c>
      <c r="D826" s="3">
        <v>215563.71</v>
      </c>
      <c r="E826" s="8">
        <v>650427.78</v>
      </c>
    </row>
    <row r="827" spans="1:5" ht="15" customHeight="1" x14ac:dyDescent="0.25">
      <c r="A827" s="7" t="s">
        <v>1150</v>
      </c>
      <c r="B827" s="3">
        <v>379327.26</v>
      </c>
      <c r="C827" s="3">
        <v>564718.75</v>
      </c>
      <c r="D827" s="3">
        <v>479511.86</v>
      </c>
      <c r="E827" s="8">
        <v>1423557.87</v>
      </c>
    </row>
    <row r="828" spans="1:5" ht="15" customHeight="1" x14ac:dyDescent="0.25">
      <c r="A828" s="7" t="s">
        <v>1151</v>
      </c>
      <c r="B828" s="3">
        <v>51981.760000000002</v>
      </c>
      <c r="C828" s="3">
        <v>38535.33</v>
      </c>
      <c r="D828" s="5"/>
      <c r="E828" s="8">
        <v>90517.09</v>
      </c>
    </row>
    <row r="829" spans="1:5" ht="15" customHeight="1" x14ac:dyDescent="0.25">
      <c r="A829" s="7" t="s">
        <v>1152</v>
      </c>
      <c r="B829" s="3">
        <v>617650.51</v>
      </c>
      <c r="C829" s="3">
        <v>331582.67</v>
      </c>
      <c r="D829" s="3">
        <v>329827.09000000003</v>
      </c>
      <c r="E829" s="8">
        <v>1279060.27</v>
      </c>
    </row>
    <row r="830" spans="1:5" ht="15" customHeight="1" x14ac:dyDescent="0.25">
      <c r="A830" s="7" t="s">
        <v>1154</v>
      </c>
      <c r="B830" s="3">
        <v>2583168.63</v>
      </c>
      <c r="C830" s="3">
        <v>3171708.65</v>
      </c>
      <c r="D830" s="3">
        <v>3060549.52</v>
      </c>
      <c r="E830" s="8">
        <v>8815426.8000000007</v>
      </c>
    </row>
    <row r="831" spans="1:5" ht="15" customHeight="1" x14ac:dyDescent="0.25">
      <c r="A831" s="7" t="s">
        <v>1155</v>
      </c>
      <c r="B831" s="3">
        <v>2919851.27</v>
      </c>
      <c r="C831" s="3">
        <v>2239978.4900000002</v>
      </c>
      <c r="D831" s="3">
        <v>3375846.1</v>
      </c>
      <c r="E831" s="8">
        <v>8535675.8599999994</v>
      </c>
    </row>
    <row r="832" spans="1:5" ht="15" customHeight="1" x14ac:dyDescent="0.25">
      <c r="A832" s="7" t="s">
        <v>1156</v>
      </c>
      <c r="B832" s="3">
        <v>496937.92</v>
      </c>
      <c r="C832" s="4" t="s">
        <v>1157</v>
      </c>
      <c r="D832" s="3">
        <v>604203.52000000002</v>
      </c>
      <c r="E832" s="8">
        <v>1045220.77</v>
      </c>
    </row>
    <row r="833" spans="1:5" ht="15" customHeight="1" x14ac:dyDescent="0.25">
      <c r="A833" s="7" t="s">
        <v>1158</v>
      </c>
      <c r="B833" s="4" t="s">
        <v>1159</v>
      </c>
      <c r="C833" s="4" t="s">
        <v>1160</v>
      </c>
      <c r="D833" s="4" t="s">
        <v>1161</v>
      </c>
      <c r="E833" s="11" t="s">
        <v>1162</v>
      </c>
    </row>
    <row r="834" spans="1:5" ht="15" customHeight="1" x14ac:dyDescent="0.25">
      <c r="A834" s="7" t="s">
        <v>1163</v>
      </c>
      <c r="B834" s="3">
        <v>1875655.51</v>
      </c>
      <c r="C834" s="3">
        <v>2674922.12</v>
      </c>
      <c r="D834" s="3">
        <v>3135673.32</v>
      </c>
      <c r="E834" s="8">
        <v>7686250.9500000002</v>
      </c>
    </row>
    <row r="835" spans="1:5" ht="15" customHeight="1" x14ac:dyDescent="0.25">
      <c r="A835" s="7" t="s">
        <v>1164</v>
      </c>
      <c r="B835" s="3">
        <v>48744.800000000003</v>
      </c>
      <c r="C835" s="3">
        <v>21762.52</v>
      </c>
      <c r="D835" s="3">
        <v>12520.14</v>
      </c>
      <c r="E835" s="8">
        <v>83027.460000000006</v>
      </c>
    </row>
    <row r="836" spans="1:5" ht="15" customHeight="1" x14ac:dyDescent="0.25">
      <c r="A836" s="7" t="s">
        <v>1165</v>
      </c>
      <c r="B836" s="3">
        <v>574292.03</v>
      </c>
      <c r="C836" s="4" t="s">
        <v>1166</v>
      </c>
      <c r="D836" s="3">
        <v>1242560.06</v>
      </c>
      <c r="E836" s="8">
        <v>1277835.75</v>
      </c>
    </row>
    <row r="837" spans="1:5" ht="15" customHeight="1" x14ac:dyDescent="0.25">
      <c r="A837" s="7" t="s">
        <v>1167</v>
      </c>
      <c r="B837" s="3">
        <v>502678.48</v>
      </c>
      <c r="C837" s="3">
        <v>615571.43999999994</v>
      </c>
      <c r="D837" s="3">
        <v>377522.83</v>
      </c>
      <c r="E837" s="8">
        <v>1495772.75</v>
      </c>
    </row>
    <row r="838" spans="1:5" ht="15" customHeight="1" x14ac:dyDescent="0.25">
      <c r="A838" s="7" t="s">
        <v>1169</v>
      </c>
      <c r="B838" s="3">
        <v>43903.96</v>
      </c>
      <c r="C838" s="3">
        <v>12889.63</v>
      </c>
      <c r="D838" s="3">
        <v>11276.82</v>
      </c>
      <c r="E838" s="8">
        <v>68070.41</v>
      </c>
    </row>
    <row r="839" spans="1:5" ht="15" customHeight="1" x14ac:dyDescent="0.25">
      <c r="A839" s="7" t="s">
        <v>1170</v>
      </c>
      <c r="B839" s="4" t="s">
        <v>1171</v>
      </c>
      <c r="C839" s="4" t="s">
        <v>1172</v>
      </c>
      <c r="D839" s="4" t="s">
        <v>1173</v>
      </c>
      <c r="E839" s="11" t="s">
        <v>1174</v>
      </c>
    </row>
    <row r="840" spans="1:5" ht="22.5" customHeight="1" x14ac:dyDescent="0.25">
      <c r="A840" s="7" t="s">
        <v>1177</v>
      </c>
      <c r="B840" s="4" t="s">
        <v>1178</v>
      </c>
      <c r="C840" s="4" t="s">
        <v>1179</v>
      </c>
      <c r="D840" s="4" t="s">
        <v>1180</v>
      </c>
      <c r="E840" s="11" t="s">
        <v>1181</v>
      </c>
    </row>
    <row r="841" spans="1:5" ht="15" customHeight="1" x14ac:dyDescent="0.25">
      <c r="A841" s="7" t="s">
        <v>1182</v>
      </c>
      <c r="B841" s="3">
        <v>745010.69</v>
      </c>
      <c r="C841" s="3">
        <v>362471.99</v>
      </c>
      <c r="D841" s="3">
        <v>190396.75</v>
      </c>
      <c r="E841" s="8">
        <v>1297879.43</v>
      </c>
    </row>
    <row r="842" spans="1:5" ht="15" customHeight="1" x14ac:dyDescent="0.25">
      <c r="A842" s="7" t="s">
        <v>1183</v>
      </c>
      <c r="B842" s="3">
        <v>44387.17</v>
      </c>
      <c r="C842" s="3">
        <v>73400.25</v>
      </c>
      <c r="D842" s="3">
        <v>18157.099999999999</v>
      </c>
      <c r="E842" s="8">
        <v>135944.51999999999</v>
      </c>
    </row>
    <row r="843" spans="1:5" ht="15" customHeight="1" x14ac:dyDescent="0.25">
      <c r="A843" s="7" t="s">
        <v>1184</v>
      </c>
      <c r="B843" s="3">
        <v>36811.54</v>
      </c>
      <c r="C843" s="3">
        <v>6693.18</v>
      </c>
      <c r="D843" s="3">
        <v>9455.1299999999992</v>
      </c>
      <c r="E843" s="8">
        <v>52959.85</v>
      </c>
    </row>
    <row r="844" spans="1:5" ht="15" customHeight="1" x14ac:dyDescent="0.25">
      <c r="A844" s="7" t="s">
        <v>1185</v>
      </c>
      <c r="B844" s="3">
        <v>1337958.58</v>
      </c>
      <c r="C844" s="3">
        <v>1669199.47</v>
      </c>
      <c r="D844" s="3">
        <v>1026595.86</v>
      </c>
      <c r="E844" s="8">
        <v>4033753.91</v>
      </c>
    </row>
    <row r="845" spans="1:5" ht="15" customHeight="1" x14ac:dyDescent="0.25">
      <c r="A845" s="7" t="s">
        <v>1187</v>
      </c>
      <c r="B845" s="3">
        <v>39645.53</v>
      </c>
      <c r="C845" s="3">
        <v>27797.91</v>
      </c>
      <c r="D845" s="3">
        <v>20637.419999999998</v>
      </c>
      <c r="E845" s="8">
        <v>88080.86</v>
      </c>
    </row>
    <row r="846" spans="1:5" ht="15" customHeight="1" x14ac:dyDescent="0.25">
      <c r="A846" s="7" t="s">
        <v>1188</v>
      </c>
      <c r="B846" s="3">
        <v>41027.21</v>
      </c>
      <c r="C846" s="3">
        <v>28766.71</v>
      </c>
      <c r="D846" s="3">
        <v>21356.61</v>
      </c>
      <c r="E846" s="8">
        <v>91150.53</v>
      </c>
    </row>
    <row r="847" spans="1:5" ht="15" customHeight="1" x14ac:dyDescent="0.25">
      <c r="A847" s="7" t="s">
        <v>1189</v>
      </c>
      <c r="B847" s="3">
        <v>31584.5</v>
      </c>
      <c r="C847" s="3">
        <v>22145.83</v>
      </c>
      <c r="D847" s="3">
        <v>16441.29</v>
      </c>
      <c r="E847" s="8">
        <v>70171.62</v>
      </c>
    </row>
    <row r="848" spans="1:5" ht="15" customHeight="1" x14ac:dyDescent="0.25">
      <c r="A848" s="7" t="s">
        <v>1190</v>
      </c>
      <c r="B848" s="3">
        <v>30348.05</v>
      </c>
      <c r="C848" s="3">
        <v>5517.97</v>
      </c>
      <c r="D848" s="3">
        <v>7794.95</v>
      </c>
      <c r="E848" s="8">
        <v>43660.97</v>
      </c>
    </row>
    <row r="849" spans="1:5" ht="15" customHeight="1" x14ac:dyDescent="0.25">
      <c r="A849" s="7" t="s">
        <v>1191</v>
      </c>
      <c r="B849" s="3">
        <v>41415.22</v>
      </c>
      <c r="C849" s="3">
        <v>7530.29</v>
      </c>
      <c r="D849" s="3">
        <v>10637.61</v>
      </c>
      <c r="E849" s="8">
        <v>59583.12</v>
      </c>
    </row>
    <row r="850" spans="1:5" ht="15" customHeight="1" x14ac:dyDescent="0.25">
      <c r="A850" s="7" t="s">
        <v>1193</v>
      </c>
      <c r="B850" s="3">
        <v>26645</v>
      </c>
      <c r="C850" s="3">
        <v>44516.21</v>
      </c>
      <c r="D850" s="3">
        <v>6815.95</v>
      </c>
      <c r="E850" s="8">
        <v>77977.16</v>
      </c>
    </row>
    <row r="851" spans="1:5" ht="15" customHeight="1" x14ac:dyDescent="0.25">
      <c r="A851" s="7" t="s">
        <v>1194</v>
      </c>
      <c r="B851" s="3">
        <v>850</v>
      </c>
      <c r="C851" s="3">
        <v>380.91</v>
      </c>
      <c r="D851" s="5"/>
      <c r="E851" s="8">
        <v>1230.9100000000001</v>
      </c>
    </row>
    <row r="852" spans="1:5" ht="15" customHeight="1" x14ac:dyDescent="0.25">
      <c r="A852" s="7" t="s">
        <v>1195</v>
      </c>
      <c r="B852" s="4" t="s">
        <v>1196</v>
      </c>
      <c r="C852" s="4" t="s">
        <v>1197</v>
      </c>
      <c r="D852" s="4" t="s">
        <v>1198</v>
      </c>
      <c r="E852" s="11" t="s">
        <v>1199</v>
      </c>
    </row>
    <row r="853" spans="1:5" ht="15" customHeight="1" x14ac:dyDescent="0.25">
      <c r="A853" s="7" t="s">
        <v>1200</v>
      </c>
      <c r="B853" s="3">
        <v>2966.85</v>
      </c>
      <c r="C853" s="4" t="s">
        <v>1201</v>
      </c>
      <c r="D853" s="3">
        <v>2524.9899999999998</v>
      </c>
      <c r="E853" s="8">
        <v>2012.48</v>
      </c>
    </row>
    <row r="854" spans="1:5" ht="15" customHeight="1" x14ac:dyDescent="0.25">
      <c r="A854" s="7" t="s">
        <v>1202</v>
      </c>
      <c r="B854" s="3">
        <v>98327.76</v>
      </c>
      <c r="C854" s="3">
        <v>38137.43</v>
      </c>
      <c r="D854" s="3">
        <v>36147.550000000003</v>
      </c>
      <c r="E854" s="8">
        <v>172612.74</v>
      </c>
    </row>
    <row r="855" spans="1:5" ht="15" customHeight="1" x14ac:dyDescent="0.25">
      <c r="A855" s="7" t="s">
        <v>1204</v>
      </c>
      <c r="B855" s="3">
        <v>710086.39</v>
      </c>
      <c r="C855" s="3">
        <v>672146.62</v>
      </c>
      <c r="D855" s="3">
        <v>634321.68000000005</v>
      </c>
      <c r="E855" s="8">
        <v>2016554.69</v>
      </c>
    </row>
    <row r="856" spans="1:5" ht="15" customHeight="1" x14ac:dyDescent="0.25">
      <c r="A856" s="7" t="s">
        <v>1205</v>
      </c>
      <c r="B856" s="3">
        <v>283421.5</v>
      </c>
      <c r="C856" s="3">
        <v>452945.87</v>
      </c>
      <c r="D856" s="3">
        <v>189246.78</v>
      </c>
      <c r="E856" s="8">
        <v>925614.15</v>
      </c>
    </row>
    <row r="857" spans="1:5" ht="15" customHeight="1" x14ac:dyDescent="0.25">
      <c r="A857" s="7" t="s">
        <v>1206</v>
      </c>
      <c r="B857" s="3">
        <v>393632.47</v>
      </c>
      <c r="C857" s="3">
        <v>219443.09</v>
      </c>
      <c r="D857" s="3">
        <v>298960.93</v>
      </c>
      <c r="E857" s="8">
        <v>912036.49</v>
      </c>
    </row>
    <row r="858" spans="1:5" ht="15" customHeight="1" x14ac:dyDescent="0.25">
      <c r="A858" s="7" t="s">
        <v>1207</v>
      </c>
      <c r="B858" s="3">
        <v>24815.02</v>
      </c>
      <c r="C858" s="3">
        <v>14394.15</v>
      </c>
      <c r="D858" s="3">
        <v>29739.38</v>
      </c>
      <c r="E858" s="8">
        <v>68948.55</v>
      </c>
    </row>
    <row r="859" spans="1:5" ht="15" customHeight="1" x14ac:dyDescent="0.25">
      <c r="A859" s="7" t="s">
        <v>1208</v>
      </c>
      <c r="B859" s="3">
        <v>178900.07</v>
      </c>
      <c r="C859" s="3">
        <v>115079.76</v>
      </c>
      <c r="D859" s="3">
        <v>156615.63</v>
      </c>
      <c r="E859" s="8">
        <v>450595.46</v>
      </c>
    </row>
    <row r="860" spans="1:5" ht="15" customHeight="1" x14ac:dyDescent="0.25">
      <c r="A860" s="7" t="s">
        <v>1209</v>
      </c>
      <c r="B860" s="3">
        <v>1001965.96</v>
      </c>
      <c r="C860" s="3">
        <v>474308.84</v>
      </c>
      <c r="D860" s="3">
        <v>674431.61</v>
      </c>
      <c r="E860" s="8">
        <v>2150706.41</v>
      </c>
    </row>
    <row r="861" spans="1:5" ht="15" customHeight="1" x14ac:dyDescent="0.25">
      <c r="A861" s="7" t="s">
        <v>1210</v>
      </c>
      <c r="B861" s="3">
        <v>1974113.98</v>
      </c>
      <c r="C861" s="3">
        <v>3898535.72</v>
      </c>
      <c r="D861" s="3">
        <v>1278790.67</v>
      </c>
      <c r="E861" s="8">
        <v>7151440.3700000001</v>
      </c>
    </row>
    <row r="862" spans="1:5" ht="15" customHeight="1" x14ac:dyDescent="0.25">
      <c r="A862" s="7" t="s">
        <v>1211</v>
      </c>
      <c r="B862" s="3">
        <v>357673.16</v>
      </c>
      <c r="C862" s="3">
        <v>230488.17</v>
      </c>
      <c r="D862" s="3">
        <v>418781.28</v>
      </c>
      <c r="E862" s="8">
        <v>1006942.61</v>
      </c>
    </row>
    <row r="863" spans="1:5" ht="15" customHeight="1" x14ac:dyDescent="0.25">
      <c r="A863" s="7" t="s">
        <v>1212</v>
      </c>
      <c r="B863" s="3">
        <v>366792.39</v>
      </c>
      <c r="C863" s="3">
        <v>194948.4</v>
      </c>
      <c r="D863" s="3">
        <v>259264.49</v>
      </c>
      <c r="E863" s="8">
        <v>821005.28</v>
      </c>
    </row>
    <row r="864" spans="1:5" ht="15" customHeight="1" x14ac:dyDescent="0.25">
      <c r="A864" s="7" t="s">
        <v>1213</v>
      </c>
      <c r="B864" s="3">
        <v>14257.71</v>
      </c>
      <c r="C864" s="3">
        <v>2265.88</v>
      </c>
      <c r="D864" s="3">
        <v>17021.099999999999</v>
      </c>
      <c r="E864" s="8">
        <v>33544.69</v>
      </c>
    </row>
    <row r="865" spans="1:5" ht="15" customHeight="1" x14ac:dyDescent="0.25">
      <c r="A865" s="7" t="s">
        <v>1214</v>
      </c>
      <c r="B865" s="3">
        <v>368969.57</v>
      </c>
      <c r="C865" s="3">
        <v>280908.84000000003</v>
      </c>
      <c r="D865" s="3">
        <v>254344.26</v>
      </c>
      <c r="E865" s="8">
        <v>904222.67</v>
      </c>
    </row>
    <row r="866" spans="1:5" ht="15" customHeight="1" x14ac:dyDescent="0.25">
      <c r="A866" s="7" t="s">
        <v>1216</v>
      </c>
      <c r="B866" s="3">
        <v>87794.57</v>
      </c>
      <c r="C866" s="3">
        <v>56677.81</v>
      </c>
      <c r="D866" s="3">
        <v>53747.65</v>
      </c>
      <c r="E866" s="8">
        <v>198220.03</v>
      </c>
    </row>
    <row r="867" spans="1:5" ht="15" customHeight="1" x14ac:dyDescent="0.25">
      <c r="A867" s="7" t="s">
        <v>1217</v>
      </c>
      <c r="B867" s="3">
        <v>940635.6</v>
      </c>
      <c r="C867" s="3">
        <v>920195.84</v>
      </c>
      <c r="D867" s="3">
        <v>662300.49</v>
      </c>
      <c r="E867" s="8">
        <v>2523131.9300000002</v>
      </c>
    </row>
    <row r="868" spans="1:5" ht="15" customHeight="1" x14ac:dyDescent="0.25">
      <c r="A868" s="7" t="s">
        <v>1218</v>
      </c>
      <c r="B868" s="3">
        <v>124507.7</v>
      </c>
      <c r="C868" s="3">
        <v>64275.62</v>
      </c>
      <c r="D868" s="3">
        <v>70757.850000000006</v>
      </c>
      <c r="E868" s="8">
        <v>259541.17</v>
      </c>
    </row>
    <row r="869" spans="1:5" ht="15" customHeight="1" x14ac:dyDescent="0.25">
      <c r="A869" s="7" t="s">
        <v>1219</v>
      </c>
      <c r="B869" s="3">
        <v>84299.3</v>
      </c>
      <c r="C869" s="3">
        <v>185621.39</v>
      </c>
      <c r="D869" s="3">
        <v>91947.48</v>
      </c>
      <c r="E869" s="8">
        <v>361868.17</v>
      </c>
    </row>
    <row r="870" spans="1:5" ht="15" customHeight="1" x14ac:dyDescent="0.25">
      <c r="A870" s="7" t="s">
        <v>1220</v>
      </c>
      <c r="B870" s="3">
        <v>39163.03</v>
      </c>
      <c r="C870" s="3">
        <v>26808.99</v>
      </c>
      <c r="D870" s="3">
        <v>58996.05</v>
      </c>
      <c r="E870" s="8">
        <v>124968.07</v>
      </c>
    </row>
    <row r="871" spans="1:5" ht="15" customHeight="1" x14ac:dyDescent="0.25">
      <c r="A871" s="7" t="s">
        <v>1221</v>
      </c>
      <c r="B871" s="3">
        <v>134991.98000000001</v>
      </c>
      <c r="C871" s="3">
        <v>96220.85</v>
      </c>
      <c r="D871" s="3">
        <v>201909.87</v>
      </c>
      <c r="E871" s="8">
        <v>433122.7</v>
      </c>
    </row>
    <row r="872" spans="1:5" ht="15" customHeight="1" x14ac:dyDescent="0.25">
      <c r="A872" s="7" t="s">
        <v>1222</v>
      </c>
      <c r="B872" s="3">
        <v>383484.1</v>
      </c>
      <c r="C872" s="3">
        <v>316453.78999999998</v>
      </c>
      <c r="D872" s="3">
        <v>195619.53</v>
      </c>
      <c r="E872" s="8">
        <v>895557.42</v>
      </c>
    </row>
    <row r="873" spans="1:5" ht="15" customHeight="1" x14ac:dyDescent="0.25">
      <c r="A873" s="7" t="s">
        <v>1223</v>
      </c>
      <c r="B873" s="3">
        <v>140665.57999999999</v>
      </c>
      <c r="C873" s="3">
        <v>99456.16</v>
      </c>
      <c r="D873" s="3">
        <v>725401.16</v>
      </c>
      <c r="E873" s="8">
        <v>965522.9</v>
      </c>
    </row>
    <row r="874" spans="1:5" ht="15" customHeight="1" x14ac:dyDescent="0.25">
      <c r="A874" s="7" t="s">
        <v>1224</v>
      </c>
      <c r="B874" s="3">
        <v>534819.83999999997</v>
      </c>
      <c r="C874" s="3">
        <v>428937.4</v>
      </c>
      <c r="D874" s="3">
        <v>227462.9</v>
      </c>
      <c r="E874" s="8">
        <v>1191220.1399999999</v>
      </c>
    </row>
    <row r="875" spans="1:5" ht="15" customHeight="1" x14ac:dyDescent="0.25">
      <c r="A875" s="7" t="s">
        <v>1225</v>
      </c>
      <c r="B875" s="3">
        <v>11749.93</v>
      </c>
      <c r="C875" s="3">
        <v>36015.68</v>
      </c>
      <c r="D875" s="3">
        <v>30873.84</v>
      </c>
      <c r="E875" s="8">
        <v>78639.45</v>
      </c>
    </row>
    <row r="876" spans="1:5" ht="15" customHeight="1" x14ac:dyDescent="0.25">
      <c r="A876" s="7" t="s">
        <v>1226</v>
      </c>
      <c r="B876" s="3">
        <v>21817.22</v>
      </c>
      <c r="C876" s="3">
        <v>74464.679999999993</v>
      </c>
      <c r="D876" s="3">
        <v>24530.25</v>
      </c>
      <c r="E876" s="8">
        <v>120812.15</v>
      </c>
    </row>
    <row r="877" spans="1:5" ht="15" customHeight="1" x14ac:dyDescent="0.25">
      <c r="A877" s="7" t="s">
        <v>1227</v>
      </c>
      <c r="B877" s="3">
        <v>319702.26</v>
      </c>
      <c r="C877" s="3">
        <v>401285.78</v>
      </c>
      <c r="D877" s="3">
        <v>202668.55</v>
      </c>
      <c r="E877" s="8">
        <v>923656.59</v>
      </c>
    </row>
    <row r="878" spans="1:5" ht="15" customHeight="1" x14ac:dyDescent="0.25">
      <c r="A878" s="7" t="s">
        <v>1228</v>
      </c>
      <c r="B878" s="3">
        <v>1475.86</v>
      </c>
      <c r="C878" s="3">
        <v>5239.95</v>
      </c>
      <c r="D878" s="3">
        <v>152.43</v>
      </c>
      <c r="E878" s="8">
        <v>6868.24</v>
      </c>
    </row>
    <row r="879" spans="1:5" ht="15" customHeight="1" x14ac:dyDescent="0.25">
      <c r="A879" s="7" t="s">
        <v>1232</v>
      </c>
      <c r="B879" s="3">
        <v>105717.41</v>
      </c>
      <c r="C879" s="3">
        <v>48513.95</v>
      </c>
      <c r="D879" s="3">
        <v>148991.03</v>
      </c>
      <c r="E879" s="8">
        <v>303222.39</v>
      </c>
    </row>
    <row r="880" spans="1:5" ht="15" customHeight="1" x14ac:dyDescent="0.25">
      <c r="A880" s="7" t="s">
        <v>1233</v>
      </c>
      <c r="B880" s="3">
        <v>274726.15000000002</v>
      </c>
      <c r="C880" s="3">
        <v>176145.03</v>
      </c>
      <c r="D880" s="3">
        <v>333676.76</v>
      </c>
      <c r="E880" s="8">
        <v>784547.94</v>
      </c>
    </row>
    <row r="881" spans="1:5" ht="15" customHeight="1" x14ac:dyDescent="0.25">
      <c r="A881" s="7" t="s">
        <v>1234</v>
      </c>
      <c r="B881" s="3">
        <v>124019.56</v>
      </c>
      <c r="C881" s="3">
        <v>54021.15</v>
      </c>
      <c r="D881" s="3">
        <v>166244.24</v>
      </c>
      <c r="E881" s="8">
        <v>344284.95</v>
      </c>
    </row>
    <row r="882" spans="1:5" ht="15" customHeight="1" x14ac:dyDescent="0.25">
      <c r="A882" s="7" t="s">
        <v>1235</v>
      </c>
      <c r="B882" s="3">
        <v>450767.18</v>
      </c>
      <c r="C882" s="3">
        <v>263890.14</v>
      </c>
      <c r="D882" s="3">
        <v>490779.22</v>
      </c>
      <c r="E882" s="8">
        <v>1205436.54</v>
      </c>
    </row>
    <row r="883" spans="1:5" ht="15" customHeight="1" x14ac:dyDescent="0.25">
      <c r="A883" s="7" t="s">
        <v>1236</v>
      </c>
      <c r="B883" s="3">
        <v>679466.6</v>
      </c>
      <c r="C883" s="3">
        <v>297676.48</v>
      </c>
      <c r="D883" s="3">
        <v>442078.42</v>
      </c>
      <c r="E883" s="8">
        <v>1419221.5</v>
      </c>
    </row>
    <row r="884" spans="1:5" ht="15" customHeight="1" x14ac:dyDescent="0.25">
      <c r="A884" s="7" t="s">
        <v>1237</v>
      </c>
      <c r="B884" s="3">
        <v>102539.72</v>
      </c>
      <c r="C884" s="3">
        <v>30267.88</v>
      </c>
      <c r="D884" s="3">
        <v>75353.789999999994</v>
      </c>
      <c r="E884" s="8">
        <v>208161.39</v>
      </c>
    </row>
    <row r="885" spans="1:5" ht="15" customHeight="1" x14ac:dyDescent="0.25">
      <c r="A885" s="7" t="s">
        <v>1238</v>
      </c>
      <c r="B885" s="3">
        <v>193891.38</v>
      </c>
      <c r="C885" s="3">
        <v>117213.93</v>
      </c>
      <c r="D885" s="3">
        <v>202455.06</v>
      </c>
      <c r="E885" s="8">
        <v>513560.37</v>
      </c>
    </row>
    <row r="886" spans="1:5" ht="15" customHeight="1" x14ac:dyDescent="0.25">
      <c r="A886" s="7" t="s">
        <v>1239</v>
      </c>
      <c r="B886" s="3">
        <v>647614.81999999995</v>
      </c>
      <c r="C886" s="3">
        <v>496113.07</v>
      </c>
      <c r="D886" s="3">
        <v>801777.47</v>
      </c>
      <c r="E886" s="8">
        <v>1945505.36</v>
      </c>
    </row>
    <row r="887" spans="1:5" ht="15" customHeight="1" x14ac:dyDescent="0.25">
      <c r="A887" s="7" t="s">
        <v>1240</v>
      </c>
      <c r="B887" s="3">
        <v>423249.9</v>
      </c>
      <c r="C887" s="3">
        <v>178483.72</v>
      </c>
      <c r="D887" s="3">
        <v>425050.58</v>
      </c>
      <c r="E887" s="8">
        <v>1026784.2</v>
      </c>
    </row>
    <row r="888" spans="1:5" ht="15" customHeight="1" x14ac:dyDescent="0.25">
      <c r="A888" s="7" t="s">
        <v>1241</v>
      </c>
      <c r="B888" s="3">
        <v>3600.04</v>
      </c>
      <c r="C888" s="3">
        <v>8800.18</v>
      </c>
      <c r="D888" s="3">
        <v>30472.05</v>
      </c>
      <c r="E888" s="8">
        <v>42872.27</v>
      </c>
    </row>
    <row r="889" spans="1:5" ht="15" customHeight="1" x14ac:dyDescent="0.25">
      <c r="A889" s="7" t="s">
        <v>1242</v>
      </c>
      <c r="B889" s="3">
        <v>11361.5</v>
      </c>
      <c r="C889" s="3">
        <v>3790.05</v>
      </c>
      <c r="D889" s="3">
        <v>24810.98</v>
      </c>
      <c r="E889" s="8">
        <v>39962.53</v>
      </c>
    </row>
    <row r="890" spans="1:5" ht="15" customHeight="1" x14ac:dyDescent="0.25">
      <c r="A890" s="7" t="s">
        <v>1243</v>
      </c>
      <c r="B890" s="3">
        <v>76697.539999999994</v>
      </c>
      <c r="C890" s="3">
        <v>62049.27</v>
      </c>
      <c r="D890" s="3">
        <v>45753.21</v>
      </c>
      <c r="E890" s="8">
        <v>184500.02</v>
      </c>
    </row>
    <row r="891" spans="1:5" ht="15" customHeight="1" x14ac:dyDescent="0.25">
      <c r="A891" s="7" t="s">
        <v>1244</v>
      </c>
      <c r="B891" s="3">
        <v>819714.97</v>
      </c>
      <c r="C891" s="3">
        <v>365346.54</v>
      </c>
      <c r="D891" s="3">
        <v>295144.84000000003</v>
      </c>
      <c r="E891" s="8">
        <v>1480206.35</v>
      </c>
    </row>
    <row r="892" spans="1:5" ht="15" customHeight="1" x14ac:dyDescent="0.25">
      <c r="A892" s="7" t="s">
        <v>1245</v>
      </c>
      <c r="B892" s="3">
        <v>822765.45</v>
      </c>
      <c r="C892" s="3">
        <v>770748.78</v>
      </c>
      <c r="D892" s="3">
        <v>460207.61</v>
      </c>
      <c r="E892" s="8">
        <v>2053721.84</v>
      </c>
    </row>
    <row r="893" spans="1:5" ht="15" customHeight="1" x14ac:dyDescent="0.25">
      <c r="A893" s="7" t="s">
        <v>1246</v>
      </c>
      <c r="B893" s="3">
        <v>985686.47</v>
      </c>
      <c r="C893" s="3">
        <v>1220058.28</v>
      </c>
      <c r="D893" s="3">
        <v>687419.51</v>
      </c>
      <c r="E893" s="8">
        <v>2893164.26</v>
      </c>
    </row>
    <row r="894" spans="1:5" ht="15" customHeight="1" x14ac:dyDescent="0.25">
      <c r="A894" s="7" t="s">
        <v>1247</v>
      </c>
      <c r="B894" s="3">
        <v>257662.56</v>
      </c>
      <c r="C894" s="3">
        <v>210046.28</v>
      </c>
      <c r="D894" s="3">
        <v>236328.82</v>
      </c>
      <c r="E894" s="8">
        <v>704037.66</v>
      </c>
    </row>
    <row r="895" spans="1:5" ht="15" customHeight="1" x14ac:dyDescent="0.25">
      <c r="A895" s="7" t="s">
        <v>1248</v>
      </c>
      <c r="B895" s="3">
        <v>1150695.6100000001</v>
      </c>
      <c r="C895" s="3">
        <v>1024580.62</v>
      </c>
      <c r="D895" s="3">
        <v>778436.56</v>
      </c>
      <c r="E895" s="8">
        <v>2953712.79</v>
      </c>
    </row>
    <row r="896" spans="1:5" ht="15" customHeight="1" x14ac:dyDescent="0.25">
      <c r="A896" s="7" t="s">
        <v>1249</v>
      </c>
      <c r="B896" s="3">
        <v>145614.78</v>
      </c>
      <c r="C896" s="3">
        <v>129577.56</v>
      </c>
      <c r="D896" s="3">
        <v>102837.34</v>
      </c>
      <c r="E896" s="8">
        <v>378029.68</v>
      </c>
    </row>
    <row r="897" spans="1:5" ht="15" customHeight="1" x14ac:dyDescent="0.25">
      <c r="A897" s="7" t="s">
        <v>1250</v>
      </c>
      <c r="B897" s="3">
        <v>41340.959999999999</v>
      </c>
      <c r="C897" s="3">
        <v>14804.51</v>
      </c>
      <c r="D897" s="3">
        <v>6468.01</v>
      </c>
      <c r="E897" s="8">
        <v>62613.48</v>
      </c>
    </row>
    <row r="898" spans="1:5" ht="15" customHeight="1" x14ac:dyDescent="0.25">
      <c r="A898" s="7" t="s">
        <v>1251</v>
      </c>
      <c r="B898" s="3">
        <v>9825.66</v>
      </c>
      <c r="C898" s="3">
        <v>14964</v>
      </c>
      <c r="D898" s="3">
        <v>16669.349999999999</v>
      </c>
      <c r="E898" s="8">
        <v>41459.01</v>
      </c>
    </row>
    <row r="899" spans="1:5" ht="15" customHeight="1" x14ac:dyDescent="0.25">
      <c r="A899" s="7" t="s">
        <v>1252</v>
      </c>
      <c r="B899" s="3">
        <v>425022.88</v>
      </c>
      <c r="C899" s="3">
        <v>562946.41</v>
      </c>
      <c r="D899" s="3">
        <v>275579</v>
      </c>
      <c r="E899" s="8">
        <v>1263548.29</v>
      </c>
    </row>
    <row r="900" spans="1:5" ht="15" customHeight="1" x14ac:dyDescent="0.25">
      <c r="A900" s="7" t="s">
        <v>1253</v>
      </c>
      <c r="B900" s="3">
        <v>44000.21</v>
      </c>
      <c r="C900" s="3">
        <v>12883.33</v>
      </c>
      <c r="D900" s="3">
        <v>13646.22</v>
      </c>
      <c r="E900" s="8">
        <v>70529.759999999995</v>
      </c>
    </row>
    <row r="901" spans="1:5" ht="15" customHeight="1" x14ac:dyDescent="0.25">
      <c r="A901" s="7" t="s">
        <v>1254</v>
      </c>
      <c r="B901" s="3">
        <v>1285747.3400000001</v>
      </c>
      <c r="C901" s="3">
        <v>1277097.06</v>
      </c>
      <c r="D901" s="3">
        <v>927313.22</v>
      </c>
      <c r="E901" s="8">
        <v>3490157.62</v>
      </c>
    </row>
    <row r="902" spans="1:5" ht="15" customHeight="1" x14ac:dyDescent="0.25">
      <c r="A902" s="7" t="s">
        <v>1255</v>
      </c>
      <c r="B902" s="3">
        <v>1263043.68</v>
      </c>
      <c r="C902" s="3">
        <v>807733.46</v>
      </c>
      <c r="D902" s="3">
        <v>673990.07</v>
      </c>
      <c r="E902" s="8">
        <v>2744767.21</v>
      </c>
    </row>
    <row r="903" spans="1:5" ht="15" customHeight="1" x14ac:dyDescent="0.25">
      <c r="A903" s="7" t="s">
        <v>1256</v>
      </c>
      <c r="B903" s="3">
        <v>35168.559999999998</v>
      </c>
      <c r="C903" s="3">
        <v>23119.99</v>
      </c>
      <c r="D903" s="3">
        <v>19626.89</v>
      </c>
      <c r="E903" s="8">
        <v>77915.44</v>
      </c>
    </row>
    <row r="904" spans="1:5" ht="15" customHeight="1" x14ac:dyDescent="0.25">
      <c r="A904" s="7" t="s">
        <v>1257</v>
      </c>
      <c r="B904" s="3">
        <v>1056632.47</v>
      </c>
      <c r="C904" s="3">
        <v>468283.19</v>
      </c>
      <c r="D904" s="3">
        <v>545345.49</v>
      </c>
      <c r="E904" s="8">
        <v>2070261.15</v>
      </c>
    </row>
    <row r="905" spans="1:5" ht="15" customHeight="1" x14ac:dyDescent="0.25">
      <c r="A905" s="7" t="s">
        <v>1258</v>
      </c>
      <c r="B905" s="3">
        <v>170546.59</v>
      </c>
      <c r="C905" s="3">
        <v>120787.61</v>
      </c>
      <c r="D905" s="3">
        <v>109134.73</v>
      </c>
      <c r="E905" s="8">
        <v>400468.93</v>
      </c>
    </row>
    <row r="906" spans="1:5" ht="15" customHeight="1" x14ac:dyDescent="0.25">
      <c r="A906" s="7" t="s">
        <v>1259</v>
      </c>
      <c r="B906" s="3">
        <v>139233.03</v>
      </c>
      <c r="C906" s="3">
        <v>91593.47</v>
      </c>
      <c r="D906" s="3">
        <v>118764.64</v>
      </c>
      <c r="E906" s="8">
        <v>349591.14</v>
      </c>
    </row>
    <row r="907" spans="1:5" ht="15" customHeight="1" x14ac:dyDescent="0.25">
      <c r="A907" s="7" t="s">
        <v>1260</v>
      </c>
      <c r="B907" s="3">
        <v>81674.009999999995</v>
      </c>
      <c r="C907" s="3">
        <v>79144.490000000005</v>
      </c>
      <c r="D907" s="3">
        <v>97139.12</v>
      </c>
      <c r="E907" s="8">
        <v>257957.62</v>
      </c>
    </row>
    <row r="908" spans="1:5" ht="15" customHeight="1" x14ac:dyDescent="0.25">
      <c r="A908" s="7" t="s">
        <v>1261</v>
      </c>
      <c r="B908" s="3">
        <v>42623.3</v>
      </c>
      <c r="C908" s="3">
        <v>40248.76</v>
      </c>
      <c r="D908" s="3">
        <v>54321.22</v>
      </c>
      <c r="E908" s="8">
        <v>137193.28</v>
      </c>
    </row>
    <row r="909" spans="1:5" ht="15" customHeight="1" x14ac:dyDescent="0.25">
      <c r="A909" s="7" t="s">
        <v>1262</v>
      </c>
      <c r="B909" s="3">
        <v>4722.95</v>
      </c>
      <c r="C909" s="3">
        <v>7539.78</v>
      </c>
      <c r="D909" s="3">
        <v>6292.32</v>
      </c>
      <c r="E909" s="8">
        <v>18555.05</v>
      </c>
    </row>
    <row r="910" spans="1:5" ht="15" customHeight="1" x14ac:dyDescent="0.25">
      <c r="A910" s="7" t="s">
        <v>1263</v>
      </c>
      <c r="B910" s="3">
        <v>12865.5</v>
      </c>
      <c r="C910" s="5"/>
      <c r="D910" s="5"/>
      <c r="E910" s="8">
        <v>12865.5</v>
      </c>
    </row>
    <row r="911" spans="1:5" ht="15" customHeight="1" x14ac:dyDescent="0.25">
      <c r="A911" s="7" t="s">
        <v>1264</v>
      </c>
      <c r="B911" s="3">
        <v>395904.94</v>
      </c>
      <c r="C911" s="3">
        <v>325055.28000000003</v>
      </c>
      <c r="D911" s="3">
        <v>559947.72</v>
      </c>
      <c r="E911" s="8">
        <v>1280907.94</v>
      </c>
    </row>
    <row r="912" spans="1:5" ht="15" customHeight="1" x14ac:dyDescent="0.25">
      <c r="A912" s="7" t="s">
        <v>1265</v>
      </c>
      <c r="B912" s="3">
        <v>988151.28</v>
      </c>
      <c r="C912" s="3">
        <v>2441816.5</v>
      </c>
      <c r="D912" s="3">
        <v>844472.75</v>
      </c>
      <c r="E912" s="8">
        <v>4274440.53</v>
      </c>
    </row>
    <row r="913" spans="1:5" ht="15" customHeight="1" x14ac:dyDescent="0.25">
      <c r="A913" s="7" t="s">
        <v>1266</v>
      </c>
      <c r="B913" s="3">
        <v>25794.46</v>
      </c>
      <c r="C913" s="3">
        <v>99931.33</v>
      </c>
      <c r="D913" s="3">
        <v>6935.52</v>
      </c>
      <c r="E913" s="8">
        <v>132661.31</v>
      </c>
    </row>
    <row r="914" spans="1:5" ht="15" customHeight="1" x14ac:dyDescent="0.25">
      <c r="A914" s="7" t="s">
        <v>1267</v>
      </c>
      <c r="B914" s="3">
        <v>7520.38</v>
      </c>
      <c r="C914" s="5"/>
      <c r="D914" s="5"/>
      <c r="E914" s="8">
        <v>7520.38</v>
      </c>
    </row>
    <row r="915" spans="1:5" ht="15" customHeight="1" x14ac:dyDescent="0.25">
      <c r="A915" s="7" t="s">
        <v>1268</v>
      </c>
      <c r="B915" s="3">
        <v>192878.91</v>
      </c>
      <c r="C915" s="3">
        <v>445141.56</v>
      </c>
      <c r="D915" s="3">
        <v>454597</v>
      </c>
      <c r="E915" s="8">
        <v>1092617.47</v>
      </c>
    </row>
    <row r="916" spans="1:5" ht="15" customHeight="1" x14ac:dyDescent="0.25">
      <c r="A916" s="7" t="s">
        <v>1269</v>
      </c>
      <c r="B916" s="3">
        <v>213205.73</v>
      </c>
      <c r="C916" s="3">
        <v>221636.06</v>
      </c>
      <c r="D916" s="3">
        <v>220980.55</v>
      </c>
      <c r="E916" s="8">
        <v>655822.34</v>
      </c>
    </row>
    <row r="917" spans="1:5" ht="15" customHeight="1" x14ac:dyDescent="0.25">
      <c r="A917" s="7" t="s">
        <v>1270</v>
      </c>
      <c r="B917" s="3">
        <v>181398.09</v>
      </c>
      <c r="C917" s="3">
        <v>149093.72</v>
      </c>
      <c r="D917" s="3">
        <v>206389.41</v>
      </c>
      <c r="E917" s="8">
        <v>536881.22</v>
      </c>
    </row>
    <row r="918" spans="1:5" ht="15" customHeight="1" x14ac:dyDescent="0.25">
      <c r="A918" s="7" t="s">
        <v>1271</v>
      </c>
      <c r="B918" s="3">
        <v>25021.06</v>
      </c>
      <c r="C918" s="3">
        <v>18146.919999999998</v>
      </c>
      <c r="D918" s="3">
        <v>82223.77</v>
      </c>
      <c r="E918" s="8">
        <v>125391.75</v>
      </c>
    </row>
    <row r="919" spans="1:5" ht="15" customHeight="1" x14ac:dyDescent="0.25">
      <c r="A919" s="7" t="s">
        <v>1272</v>
      </c>
      <c r="B919" s="3">
        <v>75002.78</v>
      </c>
      <c r="C919" s="3">
        <v>22741.63</v>
      </c>
      <c r="D919" s="3">
        <v>73483.53</v>
      </c>
      <c r="E919" s="8">
        <v>171227.94</v>
      </c>
    </row>
    <row r="920" spans="1:5" ht="15" customHeight="1" x14ac:dyDescent="0.25">
      <c r="A920" s="7" t="s">
        <v>1273</v>
      </c>
      <c r="B920" s="3">
        <v>409772.49</v>
      </c>
      <c r="C920" s="3">
        <v>510363.61</v>
      </c>
      <c r="D920" s="3">
        <v>456015.22</v>
      </c>
      <c r="E920" s="8">
        <v>1376151.32</v>
      </c>
    </row>
    <row r="921" spans="1:5" ht="15" customHeight="1" x14ac:dyDescent="0.25">
      <c r="A921" s="7" t="s">
        <v>1274</v>
      </c>
      <c r="B921" s="3">
        <v>107746.83</v>
      </c>
      <c r="C921" s="3">
        <v>91775.06</v>
      </c>
      <c r="D921" s="3">
        <v>53734.07</v>
      </c>
      <c r="E921" s="8">
        <v>253255.96</v>
      </c>
    </row>
    <row r="922" spans="1:5" ht="15" customHeight="1" x14ac:dyDescent="0.25">
      <c r="A922" s="7" t="s">
        <v>1275</v>
      </c>
      <c r="B922" s="3">
        <v>106293.18</v>
      </c>
      <c r="C922" s="3">
        <v>160603</v>
      </c>
      <c r="D922" s="3">
        <v>68073.179999999993</v>
      </c>
      <c r="E922" s="8">
        <v>334969.36</v>
      </c>
    </row>
    <row r="923" spans="1:5" ht="15" customHeight="1" x14ac:dyDescent="0.25">
      <c r="A923" s="7" t="s">
        <v>1276</v>
      </c>
      <c r="B923" s="3">
        <v>48178.87</v>
      </c>
      <c r="C923" s="3">
        <v>29466.95</v>
      </c>
      <c r="D923" s="3">
        <v>181450.38</v>
      </c>
      <c r="E923" s="8">
        <v>259096.2</v>
      </c>
    </row>
    <row r="924" spans="1:5" ht="15" customHeight="1" x14ac:dyDescent="0.25">
      <c r="A924" s="7" t="s">
        <v>1277</v>
      </c>
      <c r="B924" s="3">
        <v>118929.3</v>
      </c>
      <c r="C924" s="3">
        <v>124572.25</v>
      </c>
      <c r="D924" s="3">
        <v>199229.26</v>
      </c>
      <c r="E924" s="8">
        <v>442730.81</v>
      </c>
    </row>
    <row r="925" spans="1:5" ht="15" customHeight="1" x14ac:dyDescent="0.25">
      <c r="A925" s="7" t="s">
        <v>1279</v>
      </c>
      <c r="B925" s="3">
        <v>153275.84</v>
      </c>
      <c r="C925" s="3">
        <v>100463.15</v>
      </c>
      <c r="D925" s="3">
        <v>138281.45000000001</v>
      </c>
      <c r="E925" s="8">
        <v>392020.44</v>
      </c>
    </row>
    <row r="926" spans="1:5" ht="15" customHeight="1" x14ac:dyDescent="0.25">
      <c r="A926" s="7" t="s">
        <v>1280</v>
      </c>
      <c r="B926" s="3">
        <v>101766.86</v>
      </c>
      <c r="C926" s="3">
        <v>71994.22</v>
      </c>
      <c r="D926" s="3">
        <v>141037.91</v>
      </c>
      <c r="E926" s="8">
        <v>314798.99</v>
      </c>
    </row>
    <row r="927" spans="1:5" ht="15" customHeight="1" x14ac:dyDescent="0.25">
      <c r="A927" s="7" t="s">
        <v>1281</v>
      </c>
      <c r="B927" s="3">
        <v>240098.38</v>
      </c>
      <c r="C927" s="3">
        <v>143258.88</v>
      </c>
      <c r="D927" s="3">
        <v>187465.26</v>
      </c>
      <c r="E927" s="8">
        <v>570822.52</v>
      </c>
    </row>
    <row r="928" spans="1:5" ht="15" customHeight="1" x14ac:dyDescent="0.25">
      <c r="A928" s="7" t="s">
        <v>1282</v>
      </c>
      <c r="B928" s="3">
        <v>640202.99</v>
      </c>
      <c r="C928" s="3">
        <v>583399.25</v>
      </c>
      <c r="D928" s="3">
        <v>486603.09</v>
      </c>
      <c r="E928" s="8">
        <v>1710205.33</v>
      </c>
    </row>
    <row r="929" spans="1:5" ht="15" customHeight="1" x14ac:dyDescent="0.25">
      <c r="A929" s="7" t="s">
        <v>1283</v>
      </c>
      <c r="B929" s="3">
        <v>82736.789999999994</v>
      </c>
      <c r="C929" s="4" t="s">
        <v>1284</v>
      </c>
      <c r="D929" s="3">
        <v>163777.37</v>
      </c>
      <c r="E929" s="8">
        <v>242639.51</v>
      </c>
    </row>
    <row r="930" spans="1:5" ht="15" customHeight="1" x14ac:dyDescent="0.25">
      <c r="A930" s="7" t="s">
        <v>1285</v>
      </c>
      <c r="B930" s="3">
        <v>102748</v>
      </c>
      <c r="C930" s="3">
        <v>11777.6</v>
      </c>
      <c r="D930" s="3">
        <v>66921.679999999993</v>
      </c>
      <c r="E930" s="8">
        <v>181447.28</v>
      </c>
    </row>
    <row r="931" spans="1:5" ht="15" customHeight="1" x14ac:dyDescent="0.25">
      <c r="A931" s="7" t="s">
        <v>1286</v>
      </c>
      <c r="B931" s="3">
        <v>169391.23</v>
      </c>
      <c r="C931" s="3">
        <v>79433.94</v>
      </c>
      <c r="D931" s="3">
        <v>224480.97</v>
      </c>
      <c r="E931" s="8">
        <v>473306.14</v>
      </c>
    </row>
    <row r="932" spans="1:5" ht="15" customHeight="1" x14ac:dyDescent="0.25">
      <c r="A932" s="7" t="s">
        <v>1287</v>
      </c>
      <c r="B932" s="3">
        <v>164694.46</v>
      </c>
      <c r="C932" s="3">
        <v>60735.64</v>
      </c>
      <c r="D932" s="3">
        <v>189951.62</v>
      </c>
      <c r="E932" s="8">
        <v>415381.72</v>
      </c>
    </row>
    <row r="933" spans="1:5" ht="15" customHeight="1" x14ac:dyDescent="0.25">
      <c r="A933" s="7" t="s">
        <v>1288</v>
      </c>
      <c r="B933" s="3">
        <v>134383.53</v>
      </c>
      <c r="C933" s="3">
        <v>96317.95</v>
      </c>
      <c r="D933" s="3">
        <v>167015.39000000001</v>
      </c>
      <c r="E933" s="8">
        <v>397716.87</v>
      </c>
    </row>
    <row r="934" spans="1:5" ht="15" customHeight="1" x14ac:dyDescent="0.25">
      <c r="A934" s="7" t="s">
        <v>1289</v>
      </c>
      <c r="B934" s="3">
        <v>243259.04</v>
      </c>
      <c r="C934" s="3">
        <v>86808.97</v>
      </c>
      <c r="D934" s="3">
        <v>236878.97</v>
      </c>
      <c r="E934" s="8">
        <v>566946.98</v>
      </c>
    </row>
    <row r="935" spans="1:5" ht="15" customHeight="1" x14ac:dyDescent="0.25">
      <c r="A935" s="7" t="s">
        <v>1290</v>
      </c>
      <c r="B935" s="3">
        <v>259276.17</v>
      </c>
      <c r="C935" s="3">
        <v>154053.81</v>
      </c>
      <c r="D935" s="3">
        <v>278456.09999999998</v>
      </c>
      <c r="E935" s="8">
        <v>691786.08</v>
      </c>
    </row>
    <row r="936" spans="1:5" ht="15" customHeight="1" x14ac:dyDescent="0.25">
      <c r="A936" s="7" t="s">
        <v>1291</v>
      </c>
      <c r="B936" s="3">
        <v>556028.76</v>
      </c>
      <c r="C936" s="3">
        <v>472702.43</v>
      </c>
      <c r="D936" s="3">
        <v>445318.56</v>
      </c>
      <c r="E936" s="8">
        <v>1474049.75</v>
      </c>
    </row>
    <row r="937" spans="1:5" ht="15" customHeight="1" x14ac:dyDescent="0.25">
      <c r="A937" s="7" t="s">
        <v>1292</v>
      </c>
      <c r="B937" s="3">
        <v>388294.8</v>
      </c>
      <c r="C937" s="3">
        <v>192360.48</v>
      </c>
      <c r="D937" s="3">
        <v>332826.71000000002</v>
      </c>
      <c r="E937" s="8">
        <v>913481.99</v>
      </c>
    </row>
    <row r="938" spans="1:5" ht="15" customHeight="1" x14ac:dyDescent="0.25">
      <c r="A938" s="7" t="s">
        <v>1293</v>
      </c>
      <c r="B938" s="3">
        <v>34559.58</v>
      </c>
      <c r="C938" s="3">
        <v>32437.64</v>
      </c>
      <c r="D938" s="3">
        <v>92853.14</v>
      </c>
      <c r="E938" s="8">
        <v>159850.35999999999</v>
      </c>
    </row>
    <row r="939" spans="1:5" ht="15" customHeight="1" x14ac:dyDescent="0.25">
      <c r="A939" s="7" t="s">
        <v>1294</v>
      </c>
      <c r="B939" s="3">
        <v>34853.06</v>
      </c>
      <c r="C939" s="3">
        <v>17716.68</v>
      </c>
      <c r="D939" s="3">
        <v>77515.38</v>
      </c>
      <c r="E939" s="8">
        <v>130085.12</v>
      </c>
    </row>
    <row r="940" spans="1:5" ht="15" customHeight="1" x14ac:dyDescent="0.25">
      <c r="A940" s="7" t="s">
        <v>1295</v>
      </c>
      <c r="B940" s="3">
        <v>245689.43</v>
      </c>
      <c r="C940" s="3">
        <v>159278.31</v>
      </c>
      <c r="D940" s="3">
        <v>180088.46</v>
      </c>
      <c r="E940" s="8">
        <v>585056.19999999995</v>
      </c>
    </row>
    <row r="941" spans="1:5" ht="15" customHeight="1" x14ac:dyDescent="0.25">
      <c r="A941" s="7" t="s">
        <v>1299</v>
      </c>
      <c r="B941" s="3">
        <v>116081.52</v>
      </c>
      <c r="C941" s="3">
        <v>74793.429999999993</v>
      </c>
      <c r="D941" s="3">
        <v>156302.1</v>
      </c>
      <c r="E941" s="8">
        <v>347177.05</v>
      </c>
    </row>
    <row r="942" spans="1:5" ht="15" customHeight="1" x14ac:dyDescent="0.25">
      <c r="A942" s="7" t="s">
        <v>1300</v>
      </c>
      <c r="B942" s="3">
        <v>504369.39</v>
      </c>
      <c r="C942" s="3">
        <v>524485.9</v>
      </c>
      <c r="D942" s="3">
        <v>375474.7</v>
      </c>
      <c r="E942" s="8">
        <v>1404329.99</v>
      </c>
    </row>
    <row r="943" spans="1:5" ht="15" customHeight="1" x14ac:dyDescent="0.25">
      <c r="A943" s="7" t="s">
        <v>1301</v>
      </c>
      <c r="B943" s="3">
        <v>248847.18</v>
      </c>
      <c r="C943" s="3">
        <v>145967.87</v>
      </c>
      <c r="D943" s="3">
        <v>252104.93</v>
      </c>
      <c r="E943" s="8">
        <v>646919.98</v>
      </c>
    </row>
    <row r="944" spans="1:5" ht="15" customHeight="1" x14ac:dyDescent="0.25">
      <c r="A944" s="7" t="s">
        <v>1302</v>
      </c>
      <c r="B944" s="3">
        <v>654757.13</v>
      </c>
      <c r="C944" s="3">
        <v>574629.64</v>
      </c>
      <c r="D944" s="3">
        <v>590516.44999999995</v>
      </c>
      <c r="E944" s="8">
        <v>1819903.22</v>
      </c>
    </row>
    <row r="945" spans="1:5" ht="15" customHeight="1" x14ac:dyDescent="0.25">
      <c r="A945" s="7" t="s">
        <v>1303</v>
      </c>
      <c r="B945" s="3">
        <v>120213.06</v>
      </c>
      <c r="C945" s="3">
        <v>26308.37</v>
      </c>
      <c r="D945" s="3">
        <v>221821.15</v>
      </c>
      <c r="E945" s="8">
        <v>368342.58</v>
      </c>
    </row>
    <row r="946" spans="1:5" ht="15" customHeight="1" x14ac:dyDescent="0.25">
      <c r="A946" s="7" t="s">
        <v>1305</v>
      </c>
      <c r="B946" s="3">
        <v>421902.39</v>
      </c>
      <c r="C946" s="3">
        <v>229020.21</v>
      </c>
      <c r="D946" s="3">
        <v>315884.69</v>
      </c>
      <c r="E946" s="8">
        <v>966807.29</v>
      </c>
    </row>
    <row r="947" spans="1:5" ht="15" customHeight="1" x14ac:dyDescent="0.25">
      <c r="A947" s="7" t="s">
        <v>1306</v>
      </c>
      <c r="B947" s="3">
        <v>27055.82</v>
      </c>
      <c r="C947" s="3">
        <v>2843.33</v>
      </c>
      <c r="D947" s="3">
        <v>52993.11</v>
      </c>
      <c r="E947" s="8">
        <v>82892.259999999995</v>
      </c>
    </row>
    <row r="948" spans="1:5" ht="15" customHeight="1" x14ac:dyDescent="0.25">
      <c r="A948" s="7" t="s">
        <v>1307</v>
      </c>
      <c r="B948" s="3">
        <v>94853.01</v>
      </c>
      <c r="C948" s="3">
        <v>82380.56</v>
      </c>
      <c r="D948" s="3">
        <v>129546.43</v>
      </c>
      <c r="E948" s="8">
        <v>306780</v>
      </c>
    </row>
    <row r="949" spans="1:5" ht="15" customHeight="1" x14ac:dyDescent="0.25">
      <c r="A949" s="7" t="s">
        <v>1308</v>
      </c>
      <c r="B949" s="3">
        <v>20151.32</v>
      </c>
      <c r="C949" s="3">
        <v>43225.17</v>
      </c>
      <c r="D949" s="3">
        <v>71805.490000000005</v>
      </c>
      <c r="E949" s="8">
        <v>135181.98000000001</v>
      </c>
    </row>
    <row r="950" spans="1:5" ht="15" customHeight="1" x14ac:dyDescent="0.25">
      <c r="A950" s="7" t="s">
        <v>1309</v>
      </c>
      <c r="B950" s="3">
        <v>196127.37</v>
      </c>
      <c r="C950" s="3">
        <v>137402.35</v>
      </c>
      <c r="D950" s="3">
        <v>204616.04</v>
      </c>
      <c r="E950" s="8">
        <v>538145.76</v>
      </c>
    </row>
    <row r="951" spans="1:5" ht="15" customHeight="1" x14ac:dyDescent="0.25">
      <c r="A951" s="7" t="s">
        <v>1310</v>
      </c>
      <c r="B951" s="4" t="s">
        <v>1311</v>
      </c>
      <c r="C951" s="3">
        <v>7834.2</v>
      </c>
      <c r="D951" s="4" t="s">
        <v>1312</v>
      </c>
      <c r="E951" s="11" t="s">
        <v>1313</v>
      </c>
    </row>
    <row r="952" spans="1:5" ht="15" customHeight="1" x14ac:dyDescent="0.25">
      <c r="A952" s="7" t="s">
        <v>1314</v>
      </c>
      <c r="B952" s="3">
        <v>12528</v>
      </c>
      <c r="C952" s="3">
        <v>454.32</v>
      </c>
      <c r="D952" s="3">
        <v>12538.09</v>
      </c>
      <c r="E952" s="8">
        <v>25520.41</v>
      </c>
    </row>
    <row r="953" spans="1:5" ht="15" customHeight="1" x14ac:dyDescent="0.25">
      <c r="A953" s="7" t="s">
        <v>1315</v>
      </c>
      <c r="B953" s="3">
        <v>89643.35</v>
      </c>
      <c r="C953" s="5"/>
      <c r="D953" s="3">
        <v>89714.57</v>
      </c>
      <c r="E953" s="8">
        <v>179357.92</v>
      </c>
    </row>
    <row r="954" spans="1:5" ht="15" customHeight="1" x14ac:dyDescent="0.25">
      <c r="A954" s="7" t="s">
        <v>1316</v>
      </c>
      <c r="B954" s="3">
        <v>6811.29</v>
      </c>
      <c r="C954" s="3">
        <v>378.84</v>
      </c>
      <c r="D954" s="3">
        <v>6816.8</v>
      </c>
      <c r="E954" s="8">
        <v>14006.93</v>
      </c>
    </row>
    <row r="955" spans="1:5" ht="15" customHeight="1" x14ac:dyDescent="0.25">
      <c r="A955" s="7" t="s">
        <v>1317</v>
      </c>
      <c r="B955" s="3">
        <v>9376.83</v>
      </c>
      <c r="C955" s="5"/>
      <c r="D955" s="3">
        <v>9384.3700000000008</v>
      </c>
      <c r="E955" s="8">
        <v>18761.2</v>
      </c>
    </row>
    <row r="956" spans="1:5" ht="15" customHeight="1" x14ac:dyDescent="0.25">
      <c r="A956" s="7" t="s">
        <v>1318</v>
      </c>
      <c r="B956" s="3">
        <v>39860.559999999998</v>
      </c>
      <c r="C956" s="3">
        <v>382.4</v>
      </c>
      <c r="D956" s="3">
        <v>39892.769999999997</v>
      </c>
      <c r="E956" s="8">
        <v>80135.73</v>
      </c>
    </row>
    <row r="957" spans="1:5" ht="15" customHeight="1" x14ac:dyDescent="0.25">
      <c r="A957" s="7" t="s">
        <v>1319</v>
      </c>
      <c r="B957" s="3">
        <v>248897.23</v>
      </c>
      <c r="C957" s="3">
        <v>123132.33</v>
      </c>
      <c r="D957" s="3">
        <v>511787.48</v>
      </c>
      <c r="E957" s="8">
        <v>883817.04</v>
      </c>
    </row>
    <row r="958" spans="1:5" ht="15" customHeight="1" x14ac:dyDescent="0.25">
      <c r="A958" s="7" t="s">
        <v>1320</v>
      </c>
      <c r="B958" s="3">
        <v>349166</v>
      </c>
      <c r="C958" s="3">
        <v>285053.17</v>
      </c>
      <c r="D958" s="3">
        <v>356632.04</v>
      </c>
      <c r="E958" s="8">
        <v>990851.21</v>
      </c>
    </row>
    <row r="959" spans="1:5" ht="15" customHeight="1" x14ac:dyDescent="0.25">
      <c r="A959" s="7" t="s">
        <v>1321</v>
      </c>
      <c r="B959" s="3">
        <v>121510.61</v>
      </c>
      <c r="C959" s="3">
        <v>150658.59</v>
      </c>
      <c r="D959" s="3">
        <v>146057.60000000001</v>
      </c>
      <c r="E959" s="8">
        <v>418226.8</v>
      </c>
    </row>
    <row r="960" spans="1:5" ht="15" customHeight="1" x14ac:dyDescent="0.25">
      <c r="A960" s="7" t="s">
        <v>1322</v>
      </c>
      <c r="B960" s="4" t="s">
        <v>865</v>
      </c>
      <c r="C960" s="3">
        <v>33974.17</v>
      </c>
      <c r="D960" s="4" t="s">
        <v>1323</v>
      </c>
      <c r="E960" s="8">
        <v>32622.59</v>
      </c>
    </row>
    <row r="961" spans="1:5" ht="15" customHeight="1" x14ac:dyDescent="0.25">
      <c r="A961" s="7" t="s">
        <v>1324</v>
      </c>
      <c r="B961" s="3">
        <v>181222.61</v>
      </c>
      <c r="C961" s="3">
        <v>116457.13</v>
      </c>
      <c r="D961" s="3">
        <v>221090.94</v>
      </c>
      <c r="E961" s="8">
        <v>518770.68</v>
      </c>
    </row>
    <row r="962" spans="1:5" ht="15" customHeight="1" x14ac:dyDescent="0.25">
      <c r="A962" s="7" t="s">
        <v>1325</v>
      </c>
      <c r="B962" s="3">
        <v>144414.17000000001</v>
      </c>
      <c r="C962" s="4" t="s">
        <v>1326</v>
      </c>
      <c r="D962" s="3">
        <v>233627.88</v>
      </c>
      <c r="E962" s="8">
        <v>304538.52</v>
      </c>
    </row>
    <row r="963" spans="1:5" ht="15" customHeight="1" x14ac:dyDescent="0.25">
      <c r="A963" s="7" t="s">
        <v>1327</v>
      </c>
      <c r="B963" s="3">
        <v>205949.14</v>
      </c>
      <c r="C963" s="3">
        <v>50167.74</v>
      </c>
      <c r="D963" s="3">
        <v>237936.41</v>
      </c>
      <c r="E963" s="8">
        <v>494053.29</v>
      </c>
    </row>
    <row r="964" spans="1:5" ht="15" customHeight="1" x14ac:dyDescent="0.25">
      <c r="A964" s="7" t="s">
        <v>1328</v>
      </c>
      <c r="B964" s="4" t="s">
        <v>1329</v>
      </c>
      <c r="C964" s="4" t="s">
        <v>1330</v>
      </c>
      <c r="D964" s="3">
        <v>995.98000000000195</v>
      </c>
      <c r="E964" s="11" t="s">
        <v>1331</v>
      </c>
    </row>
    <row r="965" spans="1:5" ht="15" customHeight="1" x14ac:dyDescent="0.25">
      <c r="A965" s="7" t="s">
        <v>1332</v>
      </c>
      <c r="B965" s="3">
        <v>27667.24</v>
      </c>
      <c r="C965" s="3">
        <v>23631.41</v>
      </c>
      <c r="D965" s="3">
        <v>50959.12</v>
      </c>
      <c r="E965" s="8">
        <v>102257.77</v>
      </c>
    </row>
    <row r="966" spans="1:5" ht="15" customHeight="1" x14ac:dyDescent="0.25">
      <c r="A966" s="7" t="s">
        <v>1333</v>
      </c>
      <c r="B966" s="3">
        <v>33098.22</v>
      </c>
      <c r="C966" s="3">
        <v>22944.43</v>
      </c>
      <c r="D966" s="3">
        <v>62136.36</v>
      </c>
      <c r="E966" s="8">
        <v>118179.01</v>
      </c>
    </row>
    <row r="967" spans="1:5" ht="15" customHeight="1" x14ac:dyDescent="0.25">
      <c r="A967" s="7" t="s">
        <v>1334</v>
      </c>
      <c r="B967" s="3">
        <v>55243.3</v>
      </c>
      <c r="C967" s="3">
        <v>40680.559999999998</v>
      </c>
      <c r="D967" s="3">
        <v>91720.71</v>
      </c>
      <c r="E967" s="8">
        <v>187644.57</v>
      </c>
    </row>
    <row r="968" spans="1:5" ht="15" customHeight="1" x14ac:dyDescent="0.25">
      <c r="A968" s="7" t="s">
        <v>1335</v>
      </c>
      <c r="B968" s="3">
        <v>291844.34000000003</v>
      </c>
      <c r="C968" s="3">
        <v>146135.42000000001</v>
      </c>
      <c r="D968" s="3">
        <v>356780.37</v>
      </c>
      <c r="E968" s="8">
        <v>794760.13</v>
      </c>
    </row>
    <row r="969" spans="1:5" ht="15" customHeight="1" x14ac:dyDescent="0.25">
      <c r="A969" s="7" t="s">
        <v>1336</v>
      </c>
      <c r="B969" s="3">
        <v>86176.76</v>
      </c>
      <c r="C969" s="3">
        <v>50647.73</v>
      </c>
      <c r="D969" s="3">
        <v>116757.75999999999</v>
      </c>
      <c r="E969" s="8">
        <v>253582.25</v>
      </c>
    </row>
    <row r="970" spans="1:5" ht="15" customHeight="1" x14ac:dyDescent="0.25">
      <c r="A970" s="7" t="s">
        <v>1337</v>
      </c>
      <c r="B970" s="3">
        <v>96661.71</v>
      </c>
      <c r="C970" s="4" t="s">
        <v>1338</v>
      </c>
      <c r="D970" s="3">
        <v>190460.52</v>
      </c>
      <c r="E970" s="8">
        <v>272072.42</v>
      </c>
    </row>
    <row r="971" spans="1:5" ht="15" customHeight="1" x14ac:dyDescent="0.25">
      <c r="A971" s="7" t="s">
        <v>1339</v>
      </c>
      <c r="B971" s="4" t="s">
        <v>1340</v>
      </c>
      <c r="C971" s="3">
        <v>30935</v>
      </c>
      <c r="D971" s="4" t="s">
        <v>1341</v>
      </c>
      <c r="E971" s="11" t="s">
        <v>1342</v>
      </c>
    </row>
    <row r="972" spans="1:5" ht="15" customHeight="1" x14ac:dyDescent="0.25">
      <c r="A972" s="7" t="s">
        <v>1343</v>
      </c>
      <c r="B972" s="3">
        <v>50257.599999999999</v>
      </c>
      <c r="C972" s="3">
        <v>29771.47</v>
      </c>
      <c r="D972" s="3">
        <v>65170.11</v>
      </c>
      <c r="E972" s="8">
        <v>145199.18</v>
      </c>
    </row>
    <row r="973" spans="1:5" ht="15" customHeight="1" x14ac:dyDescent="0.25">
      <c r="A973" s="7" t="s">
        <v>1344</v>
      </c>
      <c r="B973" s="3">
        <v>768432.17</v>
      </c>
      <c r="C973" s="3">
        <v>491615.25</v>
      </c>
      <c r="D973" s="3">
        <v>846475.17</v>
      </c>
      <c r="E973" s="8">
        <v>2106522.59</v>
      </c>
    </row>
    <row r="974" spans="1:5" ht="15" customHeight="1" x14ac:dyDescent="0.25">
      <c r="A974" s="7" t="s">
        <v>1345</v>
      </c>
      <c r="B974" s="3">
        <v>166942.87</v>
      </c>
      <c r="C974" s="3">
        <v>76659.8</v>
      </c>
      <c r="D974" s="3">
        <v>206542.77</v>
      </c>
      <c r="E974" s="8">
        <v>450145.44</v>
      </c>
    </row>
    <row r="975" spans="1:5" ht="15" customHeight="1" x14ac:dyDescent="0.25">
      <c r="A975" s="7" t="s">
        <v>1346</v>
      </c>
      <c r="B975" s="3">
        <v>840354.43</v>
      </c>
      <c r="C975" s="3">
        <v>706591.05</v>
      </c>
      <c r="D975" s="3">
        <v>847564.77</v>
      </c>
      <c r="E975" s="8">
        <v>2394510.25</v>
      </c>
    </row>
    <row r="976" spans="1:5" ht="15" customHeight="1" x14ac:dyDescent="0.25">
      <c r="A976" s="7" t="s">
        <v>1347</v>
      </c>
      <c r="B976" s="3">
        <v>298134.25</v>
      </c>
      <c r="C976" s="3">
        <v>81024.160000000003</v>
      </c>
      <c r="D976" s="3">
        <v>310135.82</v>
      </c>
      <c r="E976" s="8">
        <v>689294.23</v>
      </c>
    </row>
    <row r="977" spans="1:5" ht="15" customHeight="1" x14ac:dyDescent="0.25">
      <c r="A977" s="7" t="s">
        <v>1348</v>
      </c>
      <c r="B977" s="3">
        <v>256463.56</v>
      </c>
      <c r="C977" s="3">
        <v>184500.4</v>
      </c>
      <c r="D977" s="3">
        <v>572755.41</v>
      </c>
      <c r="E977" s="8">
        <v>1013719.37</v>
      </c>
    </row>
    <row r="978" spans="1:5" ht="15" customHeight="1" x14ac:dyDescent="0.25">
      <c r="A978" s="7" t="s">
        <v>1349</v>
      </c>
      <c r="B978" s="3">
        <v>11670</v>
      </c>
      <c r="C978" s="3">
        <v>11678.66</v>
      </c>
      <c r="D978" s="3">
        <v>20169.830000000002</v>
      </c>
      <c r="E978" s="8">
        <v>43518.49</v>
      </c>
    </row>
    <row r="979" spans="1:5" ht="15" customHeight="1" x14ac:dyDescent="0.25">
      <c r="A979" s="7" t="s">
        <v>1350</v>
      </c>
      <c r="B979" s="3">
        <v>22697.040000000001</v>
      </c>
      <c r="C979" s="3">
        <v>28642.26</v>
      </c>
      <c r="D979" s="3">
        <v>75137.86</v>
      </c>
      <c r="E979" s="8">
        <v>126477.16</v>
      </c>
    </row>
    <row r="980" spans="1:5" ht="15" customHeight="1" x14ac:dyDescent="0.25">
      <c r="A980" s="7" t="s">
        <v>1351</v>
      </c>
      <c r="B980" s="3">
        <v>238501</v>
      </c>
      <c r="C980" s="3">
        <v>322083.59999999998</v>
      </c>
      <c r="D980" s="3">
        <v>223920.11</v>
      </c>
      <c r="E980" s="8">
        <v>784504.71</v>
      </c>
    </row>
    <row r="981" spans="1:5" ht="15" customHeight="1" x14ac:dyDescent="0.25">
      <c r="A981" s="7" t="s">
        <v>1352</v>
      </c>
      <c r="B981" s="3">
        <v>89077.17</v>
      </c>
      <c r="C981" s="3">
        <v>63476.51</v>
      </c>
      <c r="D981" s="3">
        <v>154295.22</v>
      </c>
      <c r="E981" s="8">
        <v>306848.90000000002</v>
      </c>
    </row>
    <row r="982" spans="1:5" ht="15" customHeight="1" x14ac:dyDescent="0.25">
      <c r="A982" s="7" t="s">
        <v>1353</v>
      </c>
      <c r="B982" s="3">
        <v>175407.24</v>
      </c>
      <c r="C982" s="3">
        <v>199030.93</v>
      </c>
      <c r="D982" s="3">
        <v>189314.74</v>
      </c>
      <c r="E982" s="8">
        <v>563752.91</v>
      </c>
    </row>
    <row r="983" spans="1:5" ht="15" customHeight="1" x14ac:dyDescent="0.25">
      <c r="A983" s="7" t="s">
        <v>1354</v>
      </c>
      <c r="B983" s="4" t="s">
        <v>1355</v>
      </c>
      <c r="C983" s="4" t="s">
        <v>1356</v>
      </c>
      <c r="D983" s="4" t="s">
        <v>1357</v>
      </c>
      <c r="E983" s="11" t="s">
        <v>1358</v>
      </c>
    </row>
    <row r="984" spans="1:5" ht="15" customHeight="1" x14ac:dyDescent="0.25">
      <c r="A984" s="7" t="s">
        <v>1359</v>
      </c>
      <c r="B984" s="3">
        <v>1144707.1200000001</v>
      </c>
      <c r="C984" s="3">
        <v>804437.85</v>
      </c>
      <c r="D984" s="3">
        <v>1153161.77</v>
      </c>
      <c r="E984" s="8">
        <v>3102306.74</v>
      </c>
    </row>
    <row r="985" spans="1:5" ht="15" customHeight="1" x14ac:dyDescent="0.25">
      <c r="A985" s="7" t="s">
        <v>1360</v>
      </c>
      <c r="B985" s="3">
        <v>389576.01</v>
      </c>
      <c r="C985" s="3">
        <v>195650.12</v>
      </c>
      <c r="D985" s="3">
        <v>446937.81</v>
      </c>
      <c r="E985" s="8">
        <v>1032163.94</v>
      </c>
    </row>
    <row r="986" spans="1:5" ht="15" customHeight="1" x14ac:dyDescent="0.25">
      <c r="A986" s="7" t="s">
        <v>1361</v>
      </c>
      <c r="B986" s="3">
        <v>4144.42</v>
      </c>
      <c r="C986" s="3">
        <v>3484.97</v>
      </c>
      <c r="D986" s="3">
        <v>2311.86</v>
      </c>
      <c r="E986" s="8">
        <v>9941.25</v>
      </c>
    </row>
    <row r="987" spans="1:5" ht="15" customHeight="1" x14ac:dyDescent="0.25">
      <c r="A987" s="7" t="s">
        <v>1362</v>
      </c>
      <c r="B987" s="3">
        <v>348599.44</v>
      </c>
      <c r="C987" s="3">
        <v>234901.47</v>
      </c>
      <c r="D987" s="3">
        <v>562826.88</v>
      </c>
      <c r="E987" s="8">
        <v>1146327.79</v>
      </c>
    </row>
    <row r="988" spans="1:5" ht="15" customHeight="1" x14ac:dyDescent="0.25">
      <c r="A988" s="7" t="s">
        <v>1363</v>
      </c>
      <c r="B988" s="3">
        <v>474903</v>
      </c>
      <c r="C988" s="3">
        <v>361789.37</v>
      </c>
      <c r="D988" s="3">
        <v>662408.81000000006</v>
      </c>
      <c r="E988" s="8">
        <v>1499101.18</v>
      </c>
    </row>
    <row r="989" spans="1:5" ht="15" customHeight="1" x14ac:dyDescent="0.25">
      <c r="A989" s="7" t="s">
        <v>1364</v>
      </c>
      <c r="B989" s="4" t="s">
        <v>1365</v>
      </c>
      <c r="C989" s="4" t="s">
        <v>1366</v>
      </c>
      <c r="D989" s="4" t="s">
        <v>1367</v>
      </c>
      <c r="E989" s="11" t="s">
        <v>1368</v>
      </c>
    </row>
    <row r="990" spans="1:5" ht="15" customHeight="1" x14ac:dyDescent="0.25">
      <c r="A990" s="7" t="s">
        <v>1369</v>
      </c>
      <c r="B990" s="3">
        <v>332987.73</v>
      </c>
      <c r="C990" s="3">
        <v>261786.71</v>
      </c>
      <c r="D990" s="3">
        <v>492693.1</v>
      </c>
      <c r="E990" s="8">
        <v>1087467.54</v>
      </c>
    </row>
    <row r="991" spans="1:5" ht="15" customHeight="1" x14ac:dyDescent="0.25">
      <c r="A991" s="7" t="s">
        <v>1370</v>
      </c>
      <c r="B991" s="4" t="s">
        <v>1371</v>
      </c>
      <c r="C991" s="4" t="s">
        <v>1372</v>
      </c>
      <c r="D991" s="4" t="s">
        <v>1373</v>
      </c>
      <c r="E991" s="11" t="s">
        <v>1374</v>
      </c>
    </row>
    <row r="992" spans="1:5" ht="15" customHeight="1" x14ac:dyDescent="0.25">
      <c r="A992" s="7" t="s">
        <v>1375</v>
      </c>
      <c r="B992" s="3">
        <v>10457.77</v>
      </c>
      <c r="C992" s="5"/>
      <c r="D992" s="3">
        <v>3127.66</v>
      </c>
      <c r="E992" s="8">
        <v>13585.43</v>
      </c>
    </row>
    <row r="993" spans="1:5" ht="15" customHeight="1" x14ac:dyDescent="0.25">
      <c r="A993" s="7" t="s">
        <v>1376</v>
      </c>
      <c r="B993" s="3">
        <v>191393.56</v>
      </c>
      <c r="C993" s="3">
        <v>149875.79999999999</v>
      </c>
      <c r="D993" s="3">
        <v>230103.78</v>
      </c>
      <c r="E993" s="8">
        <v>571373.14</v>
      </c>
    </row>
    <row r="994" spans="1:5" ht="15" customHeight="1" x14ac:dyDescent="0.25">
      <c r="A994" s="7" t="s">
        <v>1377</v>
      </c>
      <c r="B994" s="4" t="s">
        <v>1378</v>
      </c>
      <c r="C994" s="3">
        <v>10027.93</v>
      </c>
      <c r="D994" s="4" t="s">
        <v>1379</v>
      </c>
      <c r="E994" s="11" t="s">
        <v>1380</v>
      </c>
    </row>
    <row r="995" spans="1:5" ht="15" customHeight="1" x14ac:dyDescent="0.25">
      <c r="A995" s="7" t="s">
        <v>1381</v>
      </c>
      <c r="B995" s="3">
        <v>210384.75</v>
      </c>
      <c r="C995" s="3">
        <v>270053.86</v>
      </c>
      <c r="D995" s="3">
        <v>292591.99</v>
      </c>
      <c r="E995" s="8">
        <v>773030.6</v>
      </c>
    </row>
    <row r="996" spans="1:5" ht="15" customHeight="1" x14ac:dyDescent="0.25">
      <c r="A996" s="7" t="s">
        <v>1382</v>
      </c>
      <c r="B996" s="3">
        <v>233412.76</v>
      </c>
      <c r="C996" s="3">
        <v>217347.96</v>
      </c>
      <c r="D996" s="3">
        <v>120774.76</v>
      </c>
      <c r="E996" s="8">
        <v>571535.48</v>
      </c>
    </row>
    <row r="997" spans="1:5" ht="15" customHeight="1" x14ac:dyDescent="0.25">
      <c r="A997" s="7" t="s">
        <v>1383</v>
      </c>
      <c r="B997" s="4" t="s">
        <v>1384</v>
      </c>
      <c r="C997" s="3">
        <v>89358.03</v>
      </c>
      <c r="D997" s="4" t="s">
        <v>1385</v>
      </c>
      <c r="E997" s="11" t="s">
        <v>1386</v>
      </c>
    </row>
    <row r="998" spans="1:5" ht="15" customHeight="1" x14ac:dyDescent="0.25">
      <c r="A998" s="7" t="s">
        <v>1387</v>
      </c>
      <c r="B998" s="3">
        <v>280995.55</v>
      </c>
      <c r="C998" s="3">
        <v>380831.3</v>
      </c>
      <c r="D998" s="3">
        <v>276731.90000000002</v>
      </c>
      <c r="E998" s="8">
        <v>938558.75</v>
      </c>
    </row>
    <row r="999" spans="1:5" ht="15" customHeight="1" x14ac:dyDescent="0.25">
      <c r="A999" s="7" t="s">
        <v>1388</v>
      </c>
      <c r="B999" s="3">
        <v>70375.31</v>
      </c>
      <c r="C999" s="5"/>
      <c r="D999" s="3">
        <v>149942.35</v>
      </c>
      <c r="E999" s="8">
        <v>220317.66</v>
      </c>
    </row>
    <row r="1000" spans="1:5" ht="15" customHeight="1" x14ac:dyDescent="0.25">
      <c r="A1000" s="7" t="s">
        <v>1389</v>
      </c>
      <c r="B1000" s="3">
        <v>153219.20000000001</v>
      </c>
      <c r="C1000" s="5"/>
      <c r="D1000" s="3">
        <v>78752.73</v>
      </c>
      <c r="E1000" s="8">
        <v>231971.93</v>
      </c>
    </row>
    <row r="1001" spans="1:5" ht="15" customHeight="1" x14ac:dyDescent="0.25">
      <c r="A1001" s="7" t="s">
        <v>1390</v>
      </c>
      <c r="B1001" s="3">
        <v>152295.39000000001</v>
      </c>
      <c r="C1001" s="5"/>
      <c r="D1001" s="3">
        <v>78542.850000000006</v>
      </c>
      <c r="E1001" s="8">
        <v>230838.24</v>
      </c>
    </row>
    <row r="1002" spans="1:5" ht="15" customHeight="1" x14ac:dyDescent="0.25">
      <c r="A1002" s="7" t="s">
        <v>1391</v>
      </c>
      <c r="B1002" s="3">
        <v>20996</v>
      </c>
      <c r="C1002" s="5"/>
      <c r="D1002" s="3">
        <v>33487.449999999997</v>
      </c>
      <c r="E1002" s="8">
        <v>54483.45</v>
      </c>
    </row>
    <row r="1003" spans="1:5" ht="15" customHeight="1" x14ac:dyDescent="0.25">
      <c r="A1003" s="7" t="s">
        <v>1392</v>
      </c>
      <c r="B1003" s="3">
        <v>128766.38</v>
      </c>
      <c r="C1003" s="5"/>
      <c r="D1003" s="3">
        <v>66184.320000000007</v>
      </c>
      <c r="E1003" s="8">
        <v>194950.7</v>
      </c>
    </row>
    <row r="1004" spans="1:5" ht="15" customHeight="1" x14ac:dyDescent="0.25">
      <c r="A1004" s="7" t="s">
        <v>1393</v>
      </c>
      <c r="B1004" s="3">
        <v>1998.33</v>
      </c>
      <c r="C1004" s="5"/>
      <c r="D1004" s="3">
        <v>1027.1400000000001</v>
      </c>
      <c r="E1004" s="8">
        <v>3025.47</v>
      </c>
    </row>
    <row r="1005" spans="1:5" ht="15" customHeight="1" x14ac:dyDescent="0.25">
      <c r="A1005" s="7" t="s">
        <v>1394</v>
      </c>
      <c r="B1005" s="3">
        <v>7084.34</v>
      </c>
      <c r="C1005" s="5"/>
      <c r="D1005" s="3">
        <v>3641.27</v>
      </c>
      <c r="E1005" s="8">
        <v>10725.61</v>
      </c>
    </row>
    <row r="1006" spans="1:5" ht="15" customHeight="1" x14ac:dyDescent="0.25">
      <c r="A1006" s="7" t="s">
        <v>1395</v>
      </c>
      <c r="B1006" s="3">
        <v>10262.91</v>
      </c>
      <c r="C1006" s="5"/>
      <c r="D1006" s="3">
        <v>5274.99</v>
      </c>
      <c r="E1006" s="8">
        <v>15537.9</v>
      </c>
    </row>
    <row r="1007" spans="1:5" ht="15" customHeight="1" x14ac:dyDescent="0.25">
      <c r="A1007" s="7" t="s">
        <v>1396</v>
      </c>
      <c r="B1007" s="3">
        <v>114.31</v>
      </c>
      <c r="C1007" s="5"/>
      <c r="D1007" s="3">
        <v>58.75</v>
      </c>
      <c r="E1007" s="8">
        <v>173.06</v>
      </c>
    </row>
    <row r="1008" spans="1:5" ht="15" customHeight="1" x14ac:dyDescent="0.25">
      <c r="A1008" s="7" t="s">
        <v>1397</v>
      </c>
      <c r="B1008" s="3">
        <v>16088.67</v>
      </c>
      <c r="C1008" s="5"/>
      <c r="D1008" s="3">
        <v>7137.79</v>
      </c>
      <c r="E1008" s="8">
        <v>23226.46</v>
      </c>
    </row>
    <row r="1009" spans="1:5" ht="15" customHeight="1" x14ac:dyDescent="0.25">
      <c r="A1009" s="7" t="s">
        <v>1398</v>
      </c>
      <c r="B1009" s="3">
        <v>227.24</v>
      </c>
      <c r="C1009" s="5"/>
      <c r="D1009" s="3">
        <v>100.8</v>
      </c>
      <c r="E1009" s="8">
        <v>328.04</v>
      </c>
    </row>
    <row r="1010" spans="1:5" ht="15" customHeight="1" x14ac:dyDescent="0.25">
      <c r="A1010" s="7" t="s">
        <v>1399</v>
      </c>
      <c r="B1010" s="3">
        <v>41076.71</v>
      </c>
      <c r="C1010" s="5"/>
      <c r="D1010" s="3">
        <v>18223.91</v>
      </c>
      <c r="E1010" s="8">
        <v>59300.62</v>
      </c>
    </row>
    <row r="1011" spans="1:5" ht="15" customHeight="1" x14ac:dyDescent="0.25">
      <c r="A1011" s="7" t="s">
        <v>1400</v>
      </c>
      <c r="B1011" s="3">
        <v>11309.92</v>
      </c>
      <c r="C1011" s="5"/>
      <c r="D1011" s="3">
        <v>42939.57</v>
      </c>
      <c r="E1011" s="8">
        <v>54249.49</v>
      </c>
    </row>
    <row r="1012" spans="1:5" ht="15" customHeight="1" x14ac:dyDescent="0.25">
      <c r="A1012" s="7" t="s">
        <v>1401</v>
      </c>
      <c r="B1012" s="3">
        <v>17837.09</v>
      </c>
      <c r="C1012" s="5"/>
      <c r="D1012" s="3">
        <v>7913.52</v>
      </c>
      <c r="E1012" s="8">
        <v>25750.61</v>
      </c>
    </row>
    <row r="1013" spans="1:5" ht="15" customHeight="1" x14ac:dyDescent="0.25">
      <c r="A1013" s="7" t="s">
        <v>1402</v>
      </c>
      <c r="B1013" s="3">
        <v>3665.38</v>
      </c>
      <c r="C1013" s="5"/>
      <c r="D1013" s="3">
        <v>1626.14</v>
      </c>
      <c r="E1013" s="8">
        <v>5291.52</v>
      </c>
    </row>
    <row r="1014" spans="1:5" ht="15" customHeight="1" x14ac:dyDescent="0.25">
      <c r="A1014" s="7" t="s">
        <v>1403</v>
      </c>
      <c r="B1014" s="3">
        <v>146254.72</v>
      </c>
      <c r="C1014" s="5"/>
      <c r="D1014" s="3">
        <v>64886.66</v>
      </c>
      <c r="E1014" s="8">
        <v>211141.38</v>
      </c>
    </row>
    <row r="1015" spans="1:5" ht="15" customHeight="1" x14ac:dyDescent="0.25">
      <c r="A1015" s="7" t="s">
        <v>1404</v>
      </c>
      <c r="B1015" s="3">
        <v>9167.14</v>
      </c>
      <c r="C1015" s="5"/>
      <c r="D1015" s="3">
        <v>4067.02</v>
      </c>
      <c r="E1015" s="8">
        <v>13234.16</v>
      </c>
    </row>
    <row r="1016" spans="1:5" ht="15" customHeight="1" x14ac:dyDescent="0.25">
      <c r="A1016" s="7" t="s">
        <v>1405</v>
      </c>
      <c r="B1016" s="3">
        <v>6967</v>
      </c>
      <c r="C1016" s="5"/>
      <c r="D1016" s="3">
        <v>3091</v>
      </c>
      <c r="E1016" s="8">
        <v>10058</v>
      </c>
    </row>
    <row r="1017" spans="1:5" ht="15" customHeight="1" x14ac:dyDescent="0.25">
      <c r="A1017" s="7" t="s">
        <v>1406</v>
      </c>
      <c r="B1017" s="3">
        <v>171.88</v>
      </c>
      <c r="C1017" s="5"/>
      <c r="D1017" s="3">
        <v>76.25</v>
      </c>
      <c r="E1017" s="8">
        <v>248.13</v>
      </c>
    </row>
    <row r="1018" spans="1:5" ht="15" customHeight="1" x14ac:dyDescent="0.25">
      <c r="A1018" s="7" t="s">
        <v>1407</v>
      </c>
      <c r="B1018" s="3">
        <v>2505.67</v>
      </c>
      <c r="C1018" s="5"/>
      <c r="D1018" s="3">
        <v>1111.6300000000001</v>
      </c>
      <c r="E1018" s="8">
        <v>3617.3</v>
      </c>
    </row>
    <row r="1019" spans="1:5" ht="15" customHeight="1" x14ac:dyDescent="0.25">
      <c r="A1019" s="7" t="s">
        <v>1408</v>
      </c>
      <c r="B1019" s="4" t="s">
        <v>1409</v>
      </c>
      <c r="C1019" s="4" t="s">
        <v>1410</v>
      </c>
      <c r="D1019" s="3">
        <v>220.22</v>
      </c>
      <c r="E1019" s="11" t="s">
        <v>1411</v>
      </c>
    </row>
    <row r="1020" spans="1:5" ht="15" customHeight="1" x14ac:dyDescent="0.25">
      <c r="A1020" s="7" t="s">
        <v>1412</v>
      </c>
      <c r="B1020" s="3">
        <v>3164.53</v>
      </c>
      <c r="C1020" s="5"/>
      <c r="D1020" s="3">
        <v>986.96</v>
      </c>
      <c r="E1020" s="8">
        <v>4151.49</v>
      </c>
    </row>
    <row r="1021" spans="1:5" ht="15" customHeight="1" x14ac:dyDescent="0.25">
      <c r="A1021" s="7" t="s">
        <v>1413</v>
      </c>
      <c r="B1021" s="3">
        <v>6350.21</v>
      </c>
      <c r="C1021" s="5"/>
      <c r="D1021" s="3">
        <v>19592.53</v>
      </c>
      <c r="E1021" s="8">
        <v>25942.74</v>
      </c>
    </row>
    <row r="1022" spans="1:5" ht="15" customHeight="1" x14ac:dyDescent="0.25">
      <c r="A1022" s="7" t="s">
        <v>1414</v>
      </c>
      <c r="B1022" s="3">
        <v>2393.2800000000002</v>
      </c>
      <c r="C1022" s="5"/>
      <c r="D1022" s="3">
        <v>2393.2800000000002</v>
      </c>
      <c r="E1022" s="8">
        <v>4786.5600000000004</v>
      </c>
    </row>
    <row r="1023" spans="1:5" ht="15" customHeight="1" x14ac:dyDescent="0.25">
      <c r="A1023" s="7" t="s">
        <v>1415</v>
      </c>
      <c r="B1023" s="3">
        <v>3298.89</v>
      </c>
      <c r="C1023" s="5"/>
      <c r="D1023" s="3">
        <v>3298.89</v>
      </c>
      <c r="E1023" s="8">
        <v>6597.78</v>
      </c>
    </row>
    <row r="1024" spans="1:5" ht="15" customHeight="1" x14ac:dyDescent="0.25">
      <c r="A1024" s="7" t="s">
        <v>1416</v>
      </c>
      <c r="B1024" s="3">
        <v>21466.44</v>
      </c>
      <c r="C1024" s="5"/>
      <c r="D1024" s="3">
        <v>21466.49</v>
      </c>
      <c r="E1024" s="8">
        <v>42932.93</v>
      </c>
    </row>
    <row r="1025" spans="1:5" ht="15" customHeight="1" x14ac:dyDescent="0.25">
      <c r="A1025" s="7" t="s">
        <v>1417</v>
      </c>
      <c r="B1025" s="3">
        <v>9799.59</v>
      </c>
      <c r="C1025" s="5"/>
      <c r="D1025" s="3">
        <v>9799.59</v>
      </c>
      <c r="E1025" s="8">
        <v>19599.18</v>
      </c>
    </row>
    <row r="1026" spans="1:5" ht="15" customHeight="1" x14ac:dyDescent="0.25">
      <c r="A1026" s="7" t="s">
        <v>1418</v>
      </c>
      <c r="B1026" s="3">
        <v>216.25</v>
      </c>
      <c r="C1026" s="5"/>
      <c r="D1026" s="3">
        <v>216.25</v>
      </c>
      <c r="E1026" s="8">
        <v>432.5</v>
      </c>
    </row>
    <row r="1027" spans="1:5" ht="15" customHeight="1" x14ac:dyDescent="0.25">
      <c r="A1027" s="7" t="s">
        <v>1419</v>
      </c>
      <c r="B1027" s="3">
        <v>236535.79</v>
      </c>
      <c r="C1027" s="5"/>
      <c r="D1027" s="3">
        <v>316433.19</v>
      </c>
      <c r="E1027" s="8">
        <v>552968.98</v>
      </c>
    </row>
    <row r="1028" spans="1:5" ht="15" customHeight="1" x14ac:dyDescent="0.25">
      <c r="A1028" s="7" t="s">
        <v>1420</v>
      </c>
      <c r="B1028" s="3">
        <v>72497.67</v>
      </c>
      <c r="C1028" s="5"/>
      <c r="D1028" s="3">
        <v>72497.73</v>
      </c>
      <c r="E1028" s="8">
        <v>144995.4</v>
      </c>
    </row>
    <row r="1029" spans="1:5" ht="15" customHeight="1" x14ac:dyDescent="0.25">
      <c r="A1029" s="7" t="s">
        <v>1421</v>
      </c>
      <c r="B1029" s="3">
        <v>21294.74</v>
      </c>
      <c r="C1029" s="5"/>
      <c r="D1029" s="3">
        <v>21294.73</v>
      </c>
      <c r="E1029" s="8">
        <v>42589.47</v>
      </c>
    </row>
    <row r="1030" spans="1:5" ht="15" customHeight="1" x14ac:dyDescent="0.25">
      <c r="A1030" s="7" t="s">
        <v>1422</v>
      </c>
      <c r="B1030" s="3">
        <v>13230.04</v>
      </c>
      <c r="C1030" s="5"/>
      <c r="D1030" s="3">
        <v>13230.04</v>
      </c>
      <c r="E1030" s="8">
        <v>26460.080000000002</v>
      </c>
    </row>
    <row r="1031" spans="1:5" ht="15" customHeight="1" x14ac:dyDescent="0.25">
      <c r="A1031" s="7" t="s">
        <v>1423</v>
      </c>
      <c r="B1031" s="3">
        <v>9445.32</v>
      </c>
      <c r="C1031" s="5"/>
      <c r="D1031" s="3">
        <v>9445.32</v>
      </c>
      <c r="E1031" s="8">
        <v>18890.64</v>
      </c>
    </row>
    <row r="1032" spans="1:5" ht="15" customHeight="1" x14ac:dyDescent="0.25">
      <c r="A1032" s="7" t="s">
        <v>1424</v>
      </c>
      <c r="B1032" s="3">
        <v>14249.57</v>
      </c>
      <c r="C1032" s="5"/>
      <c r="D1032" s="3">
        <v>14249.57</v>
      </c>
      <c r="E1032" s="8">
        <v>28499.14</v>
      </c>
    </row>
    <row r="1033" spans="1:5" ht="15" customHeight="1" x14ac:dyDescent="0.25">
      <c r="A1033" s="7" t="s">
        <v>1425</v>
      </c>
      <c r="B1033" s="3">
        <v>8188.18</v>
      </c>
      <c r="C1033" s="3">
        <v>7957.36</v>
      </c>
      <c r="D1033" s="3">
        <v>8188.17</v>
      </c>
      <c r="E1033" s="8">
        <v>24333.71</v>
      </c>
    </row>
    <row r="1034" spans="1:5" ht="15" customHeight="1" x14ac:dyDescent="0.25">
      <c r="A1034" s="7" t="s">
        <v>1426</v>
      </c>
      <c r="B1034" s="3">
        <v>3443.12</v>
      </c>
      <c r="C1034" s="5"/>
      <c r="D1034" s="3">
        <v>3443.12</v>
      </c>
      <c r="E1034" s="8">
        <v>6886.24</v>
      </c>
    </row>
    <row r="1035" spans="1:5" ht="15" customHeight="1" x14ac:dyDescent="0.25">
      <c r="A1035" s="7" t="s">
        <v>1427</v>
      </c>
      <c r="B1035" s="3">
        <v>3484.64</v>
      </c>
      <c r="C1035" s="4" t="s">
        <v>1428</v>
      </c>
      <c r="D1035" s="4" t="s">
        <v>1429</v>
      </c>
      <c r="E1035" s="11" t="s">
        <v>1430</v>
      </c>
    </row>
    <row r="1036" spans="1:5" ht="15" customHeight="1" x14ac:dyDescent="0.25">
      <c r="A1036" s="7" t="s">
        <v>1431</v>
      </c>
      <c r="B1036" s="3">
        <v>10505.09</v>
      </c>
      <c r="C1036" s="3">
        <v>6678.43</v>
      </c>
      <c r="D1036" s="3">
        <v>1399.11</v>
      </c>
      <c r="E1036" s="8">
        <v>18582.63</v>
      </c>
    </row>
    <row r="1037" spans="1:5" ht="15" customHeight="1" x14ac:dyDescent="0.25">
      <c r="A1037" s="7" t="s">
        <v>1432</v>
      </c>
      <c r="B1037" s="3">
        <v>5283.67</v>
      </c>
      <c r="C1037" s="3">
        <v>444.8</v>
      </c>
      <c r="D1037" s="3">
        <v>1648.31</v>
      </c>
      <c r="E1037" s="8">
        <v>7376.78</v>
      </c>
    </row>
    <row r="1038" spans="1:5" ht="15" customHeight="1" x14ac:dyDescent="0.25">
      <c r="A1038" s="7" t="s">
        <v>1433</v>
      </c>
      <c r="B1038" s="3">
        <v>31458.33</v>
      </c>
      <c r="C1038" s="3">
        <v>40656.11</v>
      </c>
      <c r="D1038" s="3">
        <v>9813.7199999999993</v>
      </c>
      <c r="E1038" s="8">
        <v>81928.160000000003</v>
      </c>
    </row>
    <row r="1039" spans="1:5" ht="15" customHeight="1" x14ac:dyDescent="0.25">
      <c r="A1039" s="7" t="s">
        <v>1434</v>
      </c>
      <c r="B1039" s="3">
        <v>108101.78</v>
      </c>
      <c r="C1039" s="3">
        <v>21013.18</v>
      </c>
      <c r="D1039" s="3">
        <v>33723.440000000002</v>
      </c>
      <c r="E1039" s="8">
        <v>162838.39999999999</v>
      </c>
    </row>
    <row r="1040" spans="1:5" ht="15" customHeight="1" x14ac:dyDescent="0.25">
      <c r="A1040" s="7" t="s">
        <v>1435</v>
      </c>
      <c r="B1040" s="3">
        <v>352870.24</v>
      </c>
      <c r="C1040" s="3">
        <v>444300.49</v>
      </c>
      <c r="D1040" s="3">
        <v>652931.31999999995</v>
      </c>
      <c r="E1040" s="8">
        <v>1450102.05</v>
      </c>
    </row>
    <row r="1041" spans="1:5" ht="15" customHeight="1" x14ac:dyDescent="0.25">
      <c r="A1041" s="7" t="s">
        <v>1436</v>
      </c>
      <c r="B1041" s="4" t="s">
        <v>1437</v>
      </c>
      <c r="C1041" s="4" t="s">
        <v>1438</v>
      </c>
      <c r="D1041" s="4" t="s">
        <v>1439</v>
      </c>
      <c r="E1041" s="11" t="s">
        <v>1440</v>
      </c>
    </row>
    <row r="1042" spans="1:5" ht="15" customHeight="1" x14ac:dyDescent="0.25">
      <c r="A1042" s="7" t="s">
        <v>1441</v>
      </c>
      <c r="B1042" s="3">
        <v>16039.64</v>
      </c>
      <c r="C1042" s="3">
        <v>549.61</v>
      </c>
      <c r="D1042" s="3">
        <v>5003.7299999999996</v>
      </c>
      <c r="E1042" s="8">
        <v>21592.98</v>
      </c>
    </row>
    <row r="1043" spans="1:5" ht="15" customHeight="1" x14ac:dyDescent="0.25">
      <c r="A1043" s="7" t="s">
        <v>1442</v>
      </c>
      <c r="B1043" s="3">
        <v>885</v>
      </c>
      <c r="C1043" s="5"/>
      <c r="D1043" s="3">
        <v>276.13</v>
      </c>
      <c r="E1043" s="8">
        <v>1161.1300000000001</v>
      </c>
    </row>
    <row r="1044" spans="1:5" ht="15" customHeight="1" x14ac:dyDescent="0.25">
      <c r="A1044" s="7" t="s">
        <v>1443</v>
      </c>
      <c r="B1044" s="3">
        <v>89232.05</v>
      </c>
      <c r="C1044" s="5"/>
      <c r="D1044" s="3">
        <v>27836.81</v>
      </c>
      <c r="E1044" s="8">
        <v>117068.86</v>
      </c>
    </row>
    <row r="1045" spans="1:5" ht="15" customHeight="1" x14ac:dyDescent="0.25">
      <c r="A1045" s="7" t="s">
        <v>1444</v>
      </c>
      <c r="B1045" s="3">
        <v>126547.74</v>
      </c>
      <c r="C1045" s="5"/>
      <c r="D1045" s="3">
        <v>39477.760000000002</v>
      </c>
      <c r="E1045" s="8">
        <v>166025.5</v>
      </c>
    </row>
    <row r="1046" spans="1:5" ht="15" customHeight="1" x14ac:dyDescent="0.25">
      <c r="A1046" s="7" t="s">
        <v>1445</v>
      </c>
      <c r="B1046" s="3">
        <v>60012.03</v>
      </c>
      <c r="C1046" s="3">
        <v>552.9</v>
      </c>
      <c r="D1046" s="3">
        <v>18721.310000000001</v>
      </c>
      <c r="E1046" s="8">
        <v>79286.240000000005</v>
      </c>
    </row>
    <row r="1047" spans="1:5" ht="15" customHeight="1" x14ac:dyDescent="0.25">
      <c r="A1047" s="7" t="s">
        <v>1446</v>
      </c>
      <c r="B1047" s="3">
        <v>6664.57</v>
      </c>
      <c r="C1047" s="5"/>
      <c r="D1047" s="3">
        <v>2079.09</v>
      </c>
      <c r="E1047" s="8">
        <v>8743.66</v>
      </c>
    </row>
    <row r="1048" spans="1:5" ht="15" customHeight="1" x14ac:dyDescent="0.25">
      <c r="A1048" s="7" t="s">
        <v>1447</v>
      </c>
      <c r="B1048" s="4" t="s">
        <v>1448</v>
      </c>
      <c r="C1048" s="3">
        <v>4264.49</v>
      </c>
      <c r="D1048" s="4" t="s">
        <v>1449</v>
      </c>
      <c r="E1048" s="11" t="s">
        <v>1450</v>
      </c>
    </row>
    <row r="1049" spans="1:5" ht="15" customHeight="1" x14ac:dyDescent="0.25">
      <c r="A1049" s="7" t="s">
        <v>1451</v>
      </c>
      <c r="B1049" s="3">
        <v>2564.08</v>
      </c>
      <c r="C1049" s="5"/>
      <c r="D1049" s="3">
        <v>60.86</v>
      </c>
      <c r="E1049" s="8">
        <v>2624.94</v>
      </c>
    </row>
    <row r="1050" spans="1:5" ht="15" customHeight="1" x14ac:dyDescent="0.25">
      <c r="A1050" s="7" t="s">
        <v>1452</v>
      </c>
      <c r="B1050" s="3">
        <v>532.84</v>
      </c>
      <c r="C1050" s="5"/>
      <c r="D1050" s="3">
        <v>12.64</v>
      </c>
      <c r="E1050" s="8">
        <v>545.48</v>
      </c>
    </row>
    <row r="1051" spans="1:5" ht="15" customHeight="1" x14ac:dyDescent="0.25">
      <c r="A1051" s="7" t="s">
        <v>1453</v>
      </c>
      <c r="B1051" s="3">
        <v>1067.28</v>
      </c>
      <c r="C1051" s="5"/>
      <c r="D1051" s="3">
        <v>25.33</v>
      </c>
      <c r="E1051" s="8">
        <v>1092.6099999999999</v>
      </c>
    </row>
    <row r="1052" spans="1:5" ht="15" customHeight="1" x14ac:dyDescent="0.25">
      <c r="A1052" s="7" t="s">
        <v>1454</v>
      </c>
      <c r="B1052" s="3">
        <v>1357.27</v>
      </c>
      <c r="C1052" s="5"/>
      <c r="D1052" s="3">
        <v>32.22</v>
      </c>
      <c r="E1052" s="8">
        <v>1389.49</v>
      </c>
    </row>
    <row r="1053" spans="1:5" ht="15" customHeight="1" x14ac:dyDescent="0.25">
      <c r="A1053" s="7" t="s">
        <v>1455</v>
      </c>
      <c r="B1053" s="3">
        <v>478197.46</v>
      </c>
      <c r="C1053" s="3">
        <v>558210.13</v>
      </c>
      <c r="D1053" s="3">
        <v>496987.01</v>
      </c>
      <c r="E1053" s="8">
        <v>1533394.6</v>
      </c>
    </row>
    <row r="1054" spans="1:5" ht="15" customHeight="1" x14ac:dyDescent="0.25">
      <c r="A1054" s="7" t="s">
        <v>1456</v>
      </c>
      <c r="B1054" s="3">
        <v>708.3</v>
      </c>
      <c r="C1054" s="3">
        <v>57.75</v>
      </c>
      <c r="D1054" s="3">
        <v>667.32</v>
      </c>
      <c r="E1054" s="8">
        <v>1433.37</v>
      </c>
    </row>
    <row r="1055" spans="1:5" ht="15" customHeight="1" x14ac:dyDescent="0.25">
      <c r="A1055" s="7" t="s">
        <v>1457</v>
      </c>
      <c r="B1055" s="3">
        <v>28194.84</v>
      </c>
      <c r="C1055" s="3">
        <v>288.75</v>
      </c>
      <c r="D1055" s="3">
        <v>170730.95</v>
      </c>
      <c r="E1055" s="8">
        <v>199214.54</v>
      </c>
    </row>
    <row r="1056" spans="1:5" ht="15" customHeight="1" x14ac:dyDescent="0.25">
      <c r="A1056" s="7" t="s">
        <v>1458</v>
      </c>
      <c r="B1056" s="3">
        <v>15198.22</v>
      </c>
      <c r="C1056" s="5"/>
      <c r="D1056" s="3">
        <v>15198.22</v>
      </c>
      <c r="E1056" s="8">
        <v>30396.44</v>
      </c>
    </row>
    <row r="1057" spans="1:5" ht="15" customHeight="1" x14ac:dyDescent="0.25">
      <c r="A1057" s="7" t="s">
        <v>1459</v>
      </c>
      <c r="B1057" s="3">
        <v>45739.43</v>
      </c>
      <c r="C1057" s="3">
        <v>9046.81</v>
      </c>
      <c r="D1057" s="3">
        <v>63386.75</v>
      </c>
      <c r="E1057" s="8">
        <v>118172.99</v>
      </c>
    </row>
    <row r="1058" spans="1:5" ht="15" customHeight="1" x14ac:dyDescent="0.25">
      <c r="A1058" s="7" t="s">
        <v>1460</v>
      </c>
      <c r="B1058" s="3">
        <v>227047.18</v>
      </c>
      <c r="C1058" s="3">
        <v>345799.56</v>
      </c>
      <c r="D1058" s="3">
        <v>255266.34</v>
      </c>
      <c r="E1058" s="8">
        <v>828113.08</v>
      </c>
    </row>
    <row r="1059" spans="1:5" ht="15" customHeight="1" x14ac:dyDescent="0.25">
      <c r="A1059" s="7" t="s">
        <v>1461</v>
      </c>
      <c r="B1059" s="3">
        <v>160324.14000000001</v>
      </c>
      <c r="C1059" s="3">
        <v>211312.95</v>
      </c>
      <c r="D1059" s="3">
        <v>259168.17</v>
      </c>
      <c r="E1059" s="8">
        <v>630805.26</v>
      </c>
    </row>
    <row r="1060" spans="1:5" ht="15" customHeight="1" x14ac:dyDescent="0.25">
      <c r="A1060" s="7" t="s">
        <v>1462</v>
      </c>
      <c r="B1060" s="3">
        <v>23215.59</v>
      </c>
      <c r="C1060" s="3">
        <v>34703.26</v>
      </c>
      <c r="D1060" s="3">
        <v>36787.22</v>
      </c>
      <c r="E1060" s="8">
        <v>94706.07</v>
      </c>
    </row>
    <row r="1061" spans="1:5" ht="15" customHeight="1" x14ac:dyDescent="0.25">
      <c r="A1061" s="7" t="s">
        <v>1463</v>
      </c>
      <c r="B1061" s="3">
        <v>12144.8</v>
      </c>
      <c r="C1061" s="5"/>
      <c r="D1061" s="3">
        <v>3788.69</v>
      </c>
      <c r="E1061" s="8">
        <v>15933.49</v>
      </c>
    </row>
    <row r="1062" spans="1:5" ht="15" customHeight="1" x14ac:dyDescent="0.25">
      <c r="A1062" s="7" t="s">
        <v>1464</v>
      </c>
      <c r="B1062" s="3">
        <v>6011.92</v>
      </c>
      <c r="C1062" s="5"/>
      <c r="D1062" s="3">
        <v>1875.5</v>
      </c>
      <c r="E1062" s="8">
        <v>7887.42</v>
      </c>
    </row>
    <row r="1063" spans="1:5" ht="15" customHeight="1" x14ac:dyDescent="0.25">
      <c r="A1063" s="7" t="s">
        <v>1465</v>
      </c>
      <c r="B1063" s="3">
        <v>5071.62</v>
      </c>
      <c r="C1063" s="5"/>
      <c r="D1063" s="3">
        <v>1582.12</v>
      </c>
      <c r="E1063" s="8">
        <v>6653.74</v>
      </c>
    </row>
    <row r="1064" spans="1:5" ht="15" customHeight="1" x14ac:dyDescent="0.25">
      <c r="A1064" s="7" t="s">
        <v>1466</v>
      </c>
      <c r="B1064" s="3">
        <v>15010.01</v>
      </c>
      <c r="C1064" s="5"/>
      <c r="D1064" s="3">
        <v>4682.55</v>
      </c>
      <c r="E1064" s="8">
        <v>19692.560000000001</v>
      </c>
    </row>
    <row r="1065" spans="1:5" ht="15" customHeight="1" x14ac:dyDescent="0.25">
      <c r="A1065" s="7" t="s">
        <v>1467</v>
      </c>
      <c r="B1065" s="3">
        <v>3661.93</v>
      </c>
      <c r="C1065" s="5"/>
      <c r="D1065" s="3">
        <v>1142.3800000000001</v>
      </c>
      <c r="E1065" s="8">
        <v>4804.3100000000004</v>
      </c>
    </row>
    <row r="1066" spans="1:5" ht="15" customHeight="1" x14ac:dyDescent="0.25">
      <c r="A1066" s="7" t="s">
        <v>1468</v>
      </c>
      <c r="B1066" s="3">
        <v>8769.99</v>
      </c>
      <c r="C1066" s="3">
        <v>66302.600000000006</v>
      </c>
      <c r="D1066" s="3">
        <v>22509.63</v>
      </c>
      <c r="E1066" s="8">
        <v>97582.22</v>
      </c>
    </row>
    <row r="1067" spans="1:5" ht="15" customHeight="1" x14ac:dyDescent="0.25">
      <c r="A1067" s="7" t="s">
        <v>1469</v>
      </c>
      <c r="B1067" s="3">
        <v>13525.76</v>
      </c>
      <c r="C1067" s="5"/>
      <c r="D1067" s="3">
        <v>14619.33</v>
      </c>
      <c r="E1067" s="8">
        <v>28145.09</v>
      </c>
    </row>
    <row r="1068" spans="1:5" ht="15" customHeight="1" x14ac:dyDescent="0.25">
      <c r="A1068" s="7" t="s">
        <v>1470</v>
      </c>
      <c r="B1068" s="3">
        <v>9423.36</v>
      </c>
      <c r="C1068" s="5"/>
      <c r="D1068" s="3">
        <v>14657.55</v>
      </c>
      <c r="E1068" s="8">
        <v>24080.91</v>
      </c>
    </row>
    <row r="1069" spans="1:5" ht="15" customHeight="1" x14ac:dyDescent="0.25">
      <c r="A1069" s="7" t="s">
        <v>1471</v>
      </c>
      <c r="B1069" s="3">
        <v>18217.419999999998</v>
      </c>
      <c r="C1069" s="3">
        <v>15319.11</v>
      </c>
      <c r="D1069" s="3">
        <v>10552.15</v>
      </c>
      <c r="E1069" s="8">
        <v>44088.68</v>
      </c>
    </row>
    <row r="1070" spans="1:5" ht="15" customHeight="1" x14ac:dyDescent="0.25">
      <c r="A1070" s="7" t="s">
        <v>1472</v>
      </c>
      <c r="B1070" s="3">
        <v>15076.86</v>
      </c>
      <c r="C1070" s="3">
        <v>12678.14</v>
      </c>
      <c r="D1070" s="3">
        <v>8410.39</v>
      </c>
      <c r="E1070" s="8">
        <v>36165.39</v>
      </c>
    </row>
    <row r="1071" spans="1:5" ht="15" customHeight="1" x14ac:dyDescent="0.25">
      <c r="A1071" s="7" t="s">
        <v>1473</v>
      </c>
      <c r="B1071" s="3">
        <v>14342.36</v>
      </c>
      <c r="C1071" s="3">
        <v>12060.55</v>
      </c>
      <c r="D1071" s="3">
        <v>8000.75</v>
      </c>
      <c r="E1071" s="8">
        <v>34403.660000000003</v>
      </c>
    </row>
    <row r="1072" spans="1:5" ht="15" customHeight="1" x14ac:dyDescent="0.25">
      <c r="A1072" s="7" t="s">
        <v>1474</v>
      </c>
      <c r="B1072" s="3">
        <v>7735.39</v>
      </c>
      <c r="C1072" s="3">
        <v>6504.72</v>
      </c>
      <c r="D1072" s="3">
        <v>4315.09</v>
      </c>
      <c r="E1072" s="8">
        <v>18555.2</v>
      </c>
    </row>
    <row r="1073" spans="1:5" ht="15" customHeight="1" x14ac:dyDescent="0.25">
      <c r="A1073" s="7" t="s">
        <v>1475</v>
      </c>
      <c r="B1073" s="3">
        <v>7765.94</v>
      </c>
      <c r="C1073" s="3">
        <v>6565.77</v>
      </c>
      <c r="D1073" s="3">
        <v>7780.94</v>
      </c>
      <c r="E1073" s="8">
        <v>22112.65</v>
      </c>
    </row>
    <row r="1074" spans="1:5" ht="15" customHeight="1" x14ac:dyDescent="0.25">
      <c r="A1074" s="7" t="s">
        <v>1476</v>
      </c>
      <c r="B1074" s="3">
        <v>1834</v>
      </c>
      <c r="C1074" s="5"/>
      <c r="D1074" s="3">
        <v>1837.53</v>
      </c>
      <c r="E1074" s="8">
        <v>3671.53</v>
      </c>
    </row>
    <row r="1075" spans="1:5" ht="15" customHeight="1" x14ac:dyDescent="0.25">
      <c r="A1075" s="7" t="s">
        <v>1477</v>
      </c>
      <c r="B1075" s="3">
        <v>1861.79</v>
      </c>
      <c r="C1075" s="5"/>
      <c r="D1075" s="3">
        <v>1865.38</v>
      </c>
      <c r="E1075" s="8">
        <v>3727.17</v>
      </c>
    </row>
    <row r="1076" spans="1:5" ht="15" customHeight="1" x14ac:dyDescent="0.25">
      <c r="A1076" s="7" t="s">
        <v>1478</v>
      </c>
      <c r="B1076" s="3">
        <v>93.91</v>
      </c>
      <c r="C1076" s="5"/>
      <c r="D1076" s="3">
        <v>48.26</v>
      </c>
      <c r="E1076" s="8">
        <v>142.16999999999999</v>
      </c>
    </row>
    <row r="1077" spans="1:5" ht="15" customHeight="1" x14ac:dyDescent="0.25">
      <c r="A1077" s="7" t="s">
        <v>1479</v>
      </c>
      <c r="B1077" s="3">
        <v>17146.86</v>
      </c>
      <c r="C1077" s="5"/>
      <c r="D1077" s="3">
        <v>8805.76</v>
      </c>
      <c r="E1077" s="8">
        <v>25952.62</v>
      </c>
    </row>
    <row r="1078" spans="1:5" ht="15" customHeight="1" x14ac:dyDescent="0.25">
      <c r="A1078" s="7" t="s">
        <v>1480</v>
      </c>
      <c r="B1078" s="3">
        <v>17146.86</v>
      </c>
      <c r="C1078" s="5"/>
      <c r="D1078" s="3">
        <v>8805.76</v>
      </c>
      <c r="E1078" s="8">
        <v>25952.62</v>
      </c>
    </row>
    <row r="1079" spans="1:5" ht="15" customHeight="1" x14ac:dyDescent="0.25">
      <c r="A1079" s="7" t="s">
        <v>1481</v>
      </c>
      <c r="B1079" s="4" t="s">
        <v>1482</v>
      </c>
      <c r="C1079" s="3">
        <v>67482.399999999994</v>
      </c>
      <c r="D1079" s="4" t="s">
        <v>1483</v>
      </c>
      <c r="E1079" s="11" t="s">
        <v>1484</v>
      </c>
    </row>
    <row r="1080" spans="1:5" ht="15" customHeight="1" x14ac:dyDescent="0.25">
      <c r="A1080" s="7" t="s">
        <v>1485</v>
      </c>
      <c r="B1080" s="3">
        <v>9425.64</v>
      </c>
      <c r="C1080" s="5"/>
      <c r="D1080" s="3">
        <v>4840.46</v>
      </c>
      <c r="E1080" s="8">
        <v>14266.1</v>
      </c>
    </row>
    <row r="1081" spans="1:5" ht="15" customHeight="1" x14ac:dyDescent="0.25">
      <c r="A1081" s="7" t="s">
        <v>1486</v>
      </c>
      <c r="B1081" s="3">
        <v>1682.76</v>
      </c>
      <c r="C1081" s="5"/>
      <c r="D1081" s="3">
        <v>864.17</v>
      </c>
      <c r="E1081" s="8">
        <v>2546.9299999999998</v>
      </c>
    </row>
    <row r="1082" spans="1:5" ht="15" customHeight="1" x14ac:dyDescent="0.25">
      <c r="A1082" s="7" t="s">
        <v>1487</v>
      </c>
      <c r="B1082" s="3">
        <v>2416.63</v>
      </c>
      <c r="C1082" s="5"/>
      <c r="D1082" s="3">
        <v>1241.05</v>
      </c>
      <c r="E1082" s="8">
        <v>3657.68</v>
      </c>
    </row>
    <row r="1083" spans="1:5" ht="15" customHeight="1" x14ac:dyDescent="0.25">
      <c r="A1083" s="7" t="s">
        <v>1488</v>
      </c>
      <c r="B1083" s="3">
        <v>2662.92</v>
      </c>
      <c r="C1083" s="5"/>
      <c r="D1083" s="3">
        <v>1367.55</v>
      </c>
      <c r="E1083" s="8">
        <v>4030.47</v>
      </c>
    </row>
    <row r="1084" spans="1:5" ht="15" customHeight="1" x14ac:dyDescent="0.25">
      <c r="A1084" s="7" t="s">
        <v>1489</v>
      </c>
      <c r="B1084" s="3">
        <v>341.06</v>
      </c>
      <c r="C1084" s="5"/>
      <c r="D1084" s="3">
        <v>175.1</v>
      </c>
      <c r="E1084" s="8">
        <v>516.16</v>
      </c>
    </row>
    <row r="1085" spans="1:5" ht="15" customHeight="1" x14ac:dyDescent="0.25">
      <c r="A1085" s="7" t="s">
        <v>1490</v>
      </c>
      <c r="B1085" s="3">
        <v>71706.3</v>
      </c>
      <c r="C1085" s="5"/>
      <c r="D1085" s="3">
        <v>57259.5</v>
      </c>
      <c r="E1085" s="8">
        <v>128965.8</v>
      </c>
    </row>
    <row r="1086" spans="1:5" ht="15" customHeight="1" x14ac:dyDescent="0.25">
      <c r="A1086" s="7" t="s">
        <v>1491</v>
      </c>
      <c r="B1086" s="3">
        <v>4710.51</v>
      </c>
      <c r="C1086" s="5"/>
      <c r="D1086" s="3">
        <v>2419.1</v>
      </c>
      <c r="E1086" s="8">
        <v>7129.61</v>
      </c>
    </row>
    <row r="1087" spans="1:5" ht="15" customHeight="1" x14ac:dyDescent="0.25">
      <c r="A1087" s="7" t="s">
        <v>1492</v>
      </c>
      <c r="B1087" s="3">
        <v>17777.39</v>
      </c>
      <c r="C1087" s="5"/>
      <c r="D1087" s="3">
        <v>9129.51</v>
      </c>
      <c r="E1087" s="8">
        <v>26906.9</v>
      </c>
    </row>
    <row r="1088" spans="1:5" ht="15" customHeight="1" x14ac:dyDescent="0.25">
      <c r="A1088" s="7" t="s">
        <v>1493</v>
      </c>
      <c r="B1088" s="3">
        <v>62437.760000000002</v>
      </c>
      <c r="C1088" s="5"/>
      <c r="D1088" s="3">
        <v>32064.71</v>
      </c>
      <c r="E1088" s="8">
        <v>94502.47</v>
      </c>
    </row>
    <row r="1089" spans="1:5" ht="15" customHeight="1" x14ac:dyDescent="0.25">
      <c r="A1089" s="7" t="s">
        <v>1494</v>
      </c>
      <c r="B1089" s="3">
        <v>5888.64</v>
      </c>
      <c r="C1089" s="5"/>
      <c r="D1089" s="3">
        <v>3024.12</v>
      </c>
      <c r="E1089" s="8">
        <v>8912.76</v>
      </c>
    </row>
    <row r="1090" spans="1:5" ht="15" customHeight="1" x14ac:dyDescent="0.25">
      <c r="A1090" s="7" t="s">
        <v>1495</v>
      </c>
      <c r="B1090" s="3">
        <v>7758.11</v>
      </c>
      <c r="C1090" s="5"/>
      <c r="D1090" s="3">
        <v>3984.14</v>
      </c>
      <c r="E1090" s="8">
        <v>11742.25</v>
      </c>
    </row>
    <row r="1091" spans="1:5" ht="15" customHeight="1" x14ac:dyDescent="0.25">
      <c r="A1091" s="7" t="s">
        <v>1496</v>
      </c>
      <c r="B1091" s="3">
        <v>10364.1</v>
      </c>
      <c r="C1091" s="5"/>
      <c r="D1091" s="3">
        <v>5322.44</v>
      </c>
      <c r="E1091" s="8">
        <v>15686.54</v>
      </c>
    </row>
    <row r="1092" spans="1:5" ht="15" customHeight="1" x14ac:dyDescent="0.25">
      <c r="A1092" s="7" t="s">
        <v>1497</v>
      </c>
      <c r="B1092" s="4" t="s">
        <v>1498</v>
      </c>
      <c r="C1092" s="5"/>
      <c r="D1092" s="5"/>
      <c r="E1092" s="11" t="s">
        <v>1498</v>
      </c>
    </row>
    <row r="1093" spans="1:5" ht="15" customHeight="1" x14ac:dyDescent="0.25">
      <c r="A1093" s="7" t="s">
        <v>1499</v>
      </c>
      <c r="B1093" s="3">
        <v>5531.43</v>
      </c>
      <c r="C1093" s="3">
        <v>10245.42</v>
      </c>
      <c r="D1093" s="3">
        <v>2840.67</v>
      </c>
      <c r="E1093" s="8">
        <v>18617.52</v>
      </c>
    </row>
    <row r="1094" spans="1:5" ht="15" customHeight="1" x14ac:dyDescent="0.25">
      <c r="A1094" s="7" t="s">
        <v>1500</v>
      </c>
      <c r="B1094" s="3">
        <v>334.60999999999899</v>
      </c>
      <c r="C1094" s="4" t="s">
        <v>1501</v>
      </c>
      <c r="D1094" s="3">
        <v>1892.42</v>
      </c>
      <c r="E1094" s="8">
        <v>1028.83</v>
      </c>
    </row>
    <row r="1095" spans="1:5" ht="15" customHeight="1" x14ac:dyDescent="0.25">
      <c r="A1095" s="7" t="s">
        <v>1502</v>
      </c>
      <c r="B1095" s="3">
        <v>2420.44</v>
      </c>
      <c r="C1095" s="5"/>
      <c r="D1095" s="3">
        <v>1243.02</v>
      </c>
      <c r="E1095" s="8">
        <v>3663.46</v>
      </c>
    </row>
    <row r="1096" spans="1:5" ht="15" customHeight="1" x14ac:dyDescent="0.25">
      <c r="A1096" s="7" t="s">
        <v>1503</v>
      </c>
      <c r="B1096" s="3">
        <v>8840.52</v>
      </c>
      <c r="C1096" s="5"/>
      <c r="D1096" s="3">
        <v>4539.99</v>
      </c>
      <c r="E1096" s="8">
        <v>13380.51</v>
      </c>
    </row>
    <row r="1097" spans="1:5" ht="15" customHeight="1" x14ac:dyDescent="0.25">
      <c r="A1097" s="7" t="s">
        <v>1504</v>
      </c>
      <c r="B1097" s="3">
        <v>1517.26</v>
      </c>
      <c r="C1097" s="5"/>
      <c r="D1097" s="3">
        <v>898.59</v>
      </c>
      <c r="E1097" s="8">
        <v>2415.85</v>
      </c>
    </row>
    <row r="1098" spans="1:5" ht="15" customHeight="1" x14ac:dyDescent="0.25">
      <c r="A1098" s="7" t="s">
        <v>1505</v>
      </c>
      <c r="B1098" s="3">
        <v>28209.439999999999</v>
      </c>
      <c r="C1098" s="5"/>
      <c r="D1098" s="3">
        <v>16707.169999999998</v>
      </c>
      <c r="E1098" s="8">
        <v>44916.61</v>
      </c>
    </row>
    <row r="1099" spans="1:5" ht="15" customHeight="1" x14ac:dyDescent="0.25">
      <c r="A1099" s="7" t="s">
        <v>1506</v>
      </c>
      <c r="B1099" s="3">
        <v>125153.16</v>
      </c>
      <c r="C1099" s="5"/>
      <c r="D1099" s="3">
        <v>74102.350000000006</v>
      </c>
      <c r="E1099" s="8">
        <v>199255.51</v>
      </c>
    </row>
    <row r="1100" spans="1:5" ht="15" customHeight="1" x14ac:dyDescent="0.25">
      <c r="A1100" s="7" t="s">
        <v>1507</v>
      </c>
      <c r="B1100" s="3">
        <v>132195.85</v>
      </c>
      <c r="C1100" s="5"/>
      <c r="D1100" s="3">
        <v>78293.62</v>
      </c>
      <c r="E1100" s="8">
        <v>210489.47</v>
      </c>
    </row>
    <row r="1101" spans="1:5" ht="15" customHeight="1" x14ac:dyDescent="0.25">
      <c r="A1101" s="7" t="s">
        <v>1508</v>
      </c>
      <c r="B1101" s="3">
        <v>21649.27</v>
      </c>
      <c r="C1101" s="5"/>
      <c r="D1101" s="3">
        <v>12821.92</v>
      </c>
      <c r="E1101" s="8">
        <v>34471.19</v>
      </c>
    </row>
    <row r="1102" spans="1:5" ht="15" customHeight="1" x14ac:dyDescent="0.25">
      <c r="A1102" s="7" t="s">
        <v>1509</v>
      </c>
      <c r="B1102" s="3">
        <v>1480.32</v>
      </c>
      <c r="C1102" s="5"/>
      <c r="D1102" s="3">
        <v>876.74</v>
      </c>
      <c r="E1102" s="8">
        <v>2357.06</v>
      </c>
    </row>
    <row r="1103" spans="1:5" ht="15" customHeight="1" x14ac:dyDescent="0.25">
      <c r="A1103" s="7" t="s">
        <v>1510</v>
      </c>
      <c r="B1103" s="3">
        <v>381.63</v>
      </c>
      <c r="C1103" s="5"/>
      <c r="D1103" s="3">
        <v>226.01</v>
      </c>
      <c r="E1103" s="8">
        <v>607.64</v>
      </c>
    </row>
    <row r="1104" spans="1:5" ht="15" customHeight="1" x14ac:dyDescent="0.25">
      <c r="A1104" s="7" t="s">
        <v>1511</v>
      </c>
      <c r="B1104" s="3">
        <v>3014.03</v>
      </c>
      <c r="C1104" s="5"/>
      <c r="D1104" s="3">
        <v>1620.49</v>
      </c>
      <c r="E1104" s="8">
        <v>4634.5200000000004</v>
      </c>
    </row>
    <row r="1105" spans="1:5" ht="15" customHeight="1" x14ac:dyDescent="0.25">
      <c r="A1105" s="7" t="s">
        <v>1512</v>
      </c>
      <c r="B1105" s="3">
        <v>48576.74</v>
      </c>
      <c r="C1105" s="5"/>
      <c r="D1105" s="3">
        <v>82410.100000000006</v>
      </c>
      <c r="E1105" s="8">
        <v>130986.84</v>
      </c>
    </row>
    <row r="1106" spans="1:5" ht="15" customHeight="1" x14ac:dyDescent="0.25">
      <c r="A1106" s="7" t="s">
        <v>1513</v>
      </c>
      <c r="B1106" s="3">
        <v>88506.76</v>
      </c>
      <c r="C1106" s="5"/>
      <c r="D1106" s="3">
        <v>66340.289999999994</v>
      </c>
      <c r="E1106" s="8">
        <v>154847.04999999999</v>
      </c>
    </row>
    <row r="1107" spans="1:5" ht="15" customHeight="1" x14ac:dyDescent="0.25">
      <c r="A1107" s="7" t="s">
        <v>1514</v>
      </c>
      <c r="B1107" s="3">
        <v>3700.88</v>
      </c>
      <c r="C1107" s="5"/>
      <c r="D1107" s="3">
        <v>2773.95</v>
      </c>
      <c r="E1107" s="8">
        <v>6474.83</v>
      </c>
    </row>
    <row r="1108" spans="1:5" ht="15" customHeight="1" x14ac:dyDescent="0.25">
      <c r="A1108" s="7" t="s">
        <v>1515</v>
      </c>
      <c r="B1108" s="3">
        <v>3390.07</v>
      </c>
      <c r="C1108" s="5"/>
      <c r="D1108" s="3">
        <v>2541.02</v>
      </c>
      <c r="E1108" s="8">
        <v>5931.09</v>
      </c>
    </row>
    <row r="1109" spans="1:5" ht="15" customHeight="1" x14ac:dyDescent="0.25">
      <c r="A1109" s="7" t="s">
        <v>1516</v>
      </c>
      <c r="B1109" s="3">
        <v>343.36</v>
      </c>
      <c r="C1109" s="5"/>
      <c r="D1109" s="3">
        <v>257.42</v>
      </c>
      <c r="E1109" s="8">
        <v>600.78</v>
      </c>
    </row>
    <row r="1110" spans="1:5" ht="15" customHeight="1" x14ac:dyDescent="0.25">
      <c r="A1110" s="7" t="s">
        <v>1517</v>
      </c>
      <c r="B1110" s="3">
        <v>2654.88</v>
      </c>
      <c r="C1110" s="5"/>
      <c r="D1110" s="3">
        <v>1523.75</v>
      </c>
      <c r="E1110" s="8">
        <v>4178.63</v>
      </c>
    </row>
    <row r="1111" spans="1:5" ht="15" customHeight="1" x14ac:dyDescent="0.25">
      <c r="A1111" s="7" t="s">
        <v>1518</v>
      </c>
      <c r="B1111" s="3">
        <v>21872.42</v>
      </c>
      <c r="C1111" s="5"/>
      <c r="D1111" s="3">
        <v>12553.42</v>
      </c>
      <c r="E1111" s="8">
        <v>34425.839999999997</v>
      </c>
    </row>
    <row r="1112" spans="1:5" ht="15" customHeight="1" x14ac:dyDescent="0.25">
      <c r="A1112" s="7" t="s">
        <v>1519</v>
      </c>
      <c r="B1112" s="3">
        <v>37403.599999999999</v>
      </c>
      <c r="C1112" s="5"/>
      <c r="D1112" s="3">
        <v>21467.39</v>
      </c>
      <c r="E1112" s="8">
        <v>58870.99</v>
      </c>
    </row>
    <row r="1113" spans="1:5" ht="15" customHeight="1" x14ac:dyDescent="0.25">
      <c r="A1113" s="7" t="s">
        <v>1520</v>
      </c>
      <c r="B1113" s="3">
        <v>510.35</v>
      </c>
      <c r="C1113" s="5"/>
      <c r="D1113" s="3">
        <v>292.92</v>
      </c>
      <c r="E1113" s="8">
        <v>803.27</v>
      </c>
    </row>
    <row r="1114" spans="1:5" ht="15" customHeight="1" x14ac:dyDescent="0.25">
      <c r="A1114" s="7" t="s">
        <v>1521</v>
      </c>
      <c r="B1114" s="3">
        <v>10103.9</v>
      </c>
      <c r="C1114" s="5"/>
      <c r="D1114" s="3">
        <v>5799.04</v>
      </c>
      <c r="E1114" s="8">
        <v>15902.94</v>
      </c>
    </row>
    <row r="1115" spans="1:5" ht="15" customHeight="1" x14ac:dyDescent="0.25">
      <c r="A1115" s="7" t="s">
        <v>1522</v>
      </c>
      <c r="B1115" s="3">
        <v>12738.13</v>
      </c>
      <c r="C1115" s="5"/>
      <c r="D1115" s="3">
        <v>7310.92</v>
      </c>
      <c r="E1115" s="8">
        <v>20049.05</v>
      </c>
    </row>
    <row r="1116" spans="1:5" ht="15" customHeight="1" x14ac:dyDescent="0.25">
      <c r="A1116" s="7" t="s">
        <v>1523</v>
      </c>
      <c r="B1116" s="3">
        <v>6945.16</v>
      </c>
      <c r="C1116" s="5"/>
      <c r="D1116" s="3">
        <v>3986.12</v>
      </c>
      <c r="E1116" s="8">
        <v>10931.28</v>
      </c>
    </row>
    <row r="1117" spans="1:5" ht="15" customHeight="1" x14ac:dyDescent="0.25">
      <c r="A1117" s="7" t="s">
        <v>1524</v>
      </c>
      <c r="B1117" s="3">
        <v>332412.15000000002</v>
      </c>
      <c r="C1117" s="5"/>
      <c r="D1117" s="3">
        <v>190784.34</v>
      </c>
      <c r="E1117" s="8">
        <v>523196.49</v>
      </c>
    </row>
    <row r="1118" spans="1:5" ht="15" customHeight="1" x14ac:dyDescent="0.25">
      <c r="A1118" s="7" t="s">
        <v>1525</v>
      </c>
      <c r="B1118" s="3">
        <v>29638.05</v>
      </c>
      <c r="C1118" s="5"/>
      <c r="D1118" s="3">
        <v>17010.43</v>
      </c>
      <c r="E1118" s="8">
        <v>46648.480000000003</v>
      </c>
    </row>
    <row r="1119" spans="1:5" ht="15" customHeight="1" x14ac:dyDescent="0.25">
      <c r="A1119" s="7" t="s">
        <v>1526</v>
      </c>
      <c r="B1119" s="3">
        <v>26500.47</v>
      </c>
      <c r="C1119" s="5"/>
      <c r="D1119" s="3">
        <v>15209.63</v>
      </c>
      <c r="E1119" s="8">
        <v>41710.1</v>
      </c>
    </row>
    <row r="1120" spans="1:5" ht="15" customHeight="1" x14ac:dyDescent="0.25">
      <c r="A1120" s="7" t="s">
        <v>1527</v>
      </c>
      <c r="B1120" s="3">
        <v>414.86</v>
      </c>
      <c r="C1120" s="5"/>
      <c r="D1120" s="3">
        <v>238.07</v>
      </c>
      <c r="E1120" s="8">
        <v>652.92999999999995</v>
      </c>
    </row>
    <row r="1121" spans="1:5" ht="15" customHeight="1" x14ac:dyDescent="0.25">
      <c r="A1121" s="7" t="s">
        <v>1528</v>
      </c>
      <c r="B1121" s="3">
        <v>225.75</v>
      </c>
      <c r="C1121" s="4" t="s">
        <v>1529</v>
      </c>
      <c r="D1121" s="4" t="s">
        <v>1530</v>
      </c>
      <c r="E1121" s="11" t="s">
        <v>1531</v>
      </c>
    </row>
    <row r="1122" spans="1:5" ht="15" customHeight="1" x14ac:dyDescent="0.25">
      <c r="A1122" s="7" t="s">
        <v>1532</v>
      </c>
      <c r="B1122" s="3">
        <v>11980.86</v>
      </c>
      <c r="C1122" s="5"/>
      <c r="D1122" s="3">
        <v>6875.59</v>
      </c>
      <c r="E1122" s="8">
        <v>18856.45</v>
      </c>
    </row>
    <row r="1123" spans="1:5" ht="15" customHeight="1" x14ac:dyDescent="0.25">
      <c r="A1123" s="7" t="s">
        <v>1534</v>
      </c>
      <c r="B1123" s="4" t="s">
        <v>1535</v>
      </c>
      <c r="C1123" s="4" t="s">
        <v>1536</v>
      </c>
      <c r="D1123" s="4" t="s">
        <v>1537</v>
      </c>
      <c r="E1123" s="11" t="s">
        <v>1538</v>
      </c>
    </row>
    <row r="1124" spans="1:5" ht="15" customHeight="1" x14ac:dyDescent="0.25">
      <c r="A1124" s="7" t="s">
        <v>1539</v>
      </c>
      <c r="B1124" s="3">
        <v>45477.75</v>
      </c>
      <c r="C1124" s="5"/>
      <c r="D1124" s="3">
        <v>44719.49</v>
      </c>
      <c r="E1124" s="8">
        <v>90197.24</v>
      </c>
    </row>
    <row r="1125" spans="1:5" ht="15" customHeight="1" x14ac:dyDescent="0.25">
      <c r="A1125" s="7" t="s">
        <v>1540</v>
      </c>
      <c r="B1125" s="3">
        <v>7927.16</v>
      </c>
      <c r="C1125" s="5"/>
      <c r="D1125" s="3">
        <v>7794.98</v>
      </c>
      <c r="E1125" s="8">
        <v>15722.14</v>
      </c>
    </row>
    <row r="1126" spans="1:5" ht="15" customHeight="1" x14ac:dyDescent="0.25">
      <c r="A1126" s="7" t="s">
        <v>1541</v>
      </c>
      <c r="B1126" s="3">
        <v>7253.99</v>
      </c>
      <c r="C1126" s="5"/>
      <c r="D1126" s="3">
        <v>7133.06</v>
      </c>
      <c r="E1126" s="8">
        <v>14387.05</v>
      </c>
    </row>
    <row r="1127" spans="1:5" ht="15" customHeight="1" x14ac:dyDescent="0.25">
      <c r="A1127" s="7" t="s">
        <v>1542</v>
      </c>
      <c r="B1127" s="3">
        <v>10391.81</v>
      </c>
      <c r="C1127" s="5"/>
      <c r="D1127" s="3">
        <v>10218.540000000001</v>
      </c>
      <c r="E1127" s="8">
        <v>20610.349999999999</v>
      </c>
    </row>
    <row r="1128" spans="1:5" ht="15" customHeight="1" x14ac:dyDescent="0.25">
      <c r="A1128" s="7" t="s">
        <v>1543</v>
      </c>
      <c r="B1128" s="3">
        <v>9775.9699999999993</v>
      </c>
      <c r="C1128" s="5"/>
      <c r="D1128" s="3">
        <v>9612.9500000000007</v>
      </c>
      <c r="E1128" s="8">
        <v>19388.919999999998</v>
      </c>
    </row>
    <row r="1129" spans="1:5" ht="15" customHeight="1" x14ac:dyDescent="0.25">
      <c r="A1129" s="7" t="s">
        <v>1544</v>
      </c>
      <c r="B1129" s="3">
        <v>10301.35</v>
      </c>
      <c r="C1129" s="5"/>
      <c r="D1129" s="3">
        <v>10129.6</v>
      </c>
      <c r="E1129" s="8">
        <v>20430.95</v>
      </c>
    </row>
    <row r="1130" spans="1:5" ht="15" customHeight="1" x14ac:dyDescent="0.25">
      <c r="A1130" s="7" t="s">
        <v>1545</v>
      </c>
      <c r="B1130" s="3">
        <v>13830.64</v>
      </c>
      <c r="C1130" s="5"/>
      <c r="D1130" s="3">
        <v>13600</v>
      </c>
      <c r="E1130" s="8">
        <v>27430.639999999999</v>
      </c>
    </row>
    <row r="1131" spans="1:5" ht="15" customHeight="1" x14ac:dyDescent="0.25">
      <c r="A1131" s="7" t="s">
        <v>1546</v>
      </c>
      <c r="B1131" s="3">
        <v>412.73</v>
      </c>
      <c r="C1131" s="5"/>
      <c r="D1131" s="3">
        <v>405.85</v>
      </c>
      <c r="E1131" s="8">
        <v>818.58</v>
      </c>
    </row>
    <row r="1132" spans="1:5" ht="15" customHeight="1" x14ac:dyDescent="0.25">
      <c r="A1132" s="7" t="s">
        <v>1547</v>
      </c>
      <c r="B1132" s="3">
        <v>78.52</v>
      </c>
      <c r="C1132" s="5"/>
      <c r="D1132" s="3">
        <v>44.76</v>
      </c>
      <c r="E1132" s="8">
        <v>123.28</v>
      </c>
    </row>
    <row r="1133" spans="1:5" ht="15" customHeight="1" x14ac:dyDescent="0.25">
      <c r="A1133" s="7" t="s">
        <v>1548</v>
      </c>
      <c r="B1133" s="3">
        <v>3865.66</v>
      </c>
      <c r="C1133" s="5"/>
      <c r="D1133" s="3">
        <v>2202.9899999999998</v>
      </c>
      <c r="E1133" s="8">
        <v>6068.65</v>
      </c>
    </row>
    <row r="1134" spans="1:5" ht="15" customHeight="1" x14ac:dyDescent="0.25">
      <c r="A1134" s="7" t="s">
        <v>1549</v>
      </c>
      <c r="B1134" s="4" t="s">
        <v>1550</v>
      </c>
      <c r="C1134" s="4" t="s">
        <v>1551</v>
      </c>
      <c r="D1134" s="4" t="s">
        <v>1552</v>
      </c>
      <c r="E1134" s="11" t="s">
        <v>1553</v>
      </c>
    </row>
    <row r="1135" spans="1:5" ht="15" customHeight="1" x14ac:dyDescent="0.25">
      <c r="A1135" s="7" t="s">
        <v>1554</v>
      </c>
      <c r="B1135" s="3">
        <v>87322.84</v>
      </c>
      <c r="C1135" s="3">
        <v>49969.32</v>
      </c>
      <c r="D1135" s="3">
        <v>56551.45</v>
      </c>
      <c r="E1135" s="8">
        <v>193843.61</v>
      </c>
    </row>
    <row r="1136" spans="1:5" ht="15" customHeight="1" x14ac:dyDescent="0.25">
      <c r="A1136" s="7" t="s">
        <v>1555</v>
      </c>
      <c r="B1136" s="3">
        <v>12480.33</v>
      </c>
      <c r="C1136" s="5"/>
      <c r="D1136" s="3">
        <v>7112.42</v>
      </c>
      <c r="E1136" s="8">
        <v>19592.75</v>
      </c>
    </row>
    <row r="1137" spans="1:5" ht="15" customHeight="1" x14ac:dyDescent="0.25">
      <c r="A1137" s="7" t="s">
        <v>1556</v>
      </c>
      <c r="B1137" s="3">
        <v>10543.35</v>
      </c>
      <c r="C1137" s="3">
        <v>14016.81</v>
      </c>
      <c r="D1137" s="3">
        <v>7144.2</v>
      </c>
      <c r="E1137" s="8">
        <v>31704.36</v>
      </c>
    </row>
    <row r="1138" spans="1:5" ht="15" customHeight="1" x14ac:dyDescent="0.25">
      <c r="A1138" s="7" t="s">
        <v>1557</v>
      </c>
      <c r="B1138" s="3">
        <v>10980.98</v>
      </c>
      <c r="C1138" s="5"/>
      <c r="D1138" s="3">
        <v>6257.88</v>
      </c>
      <c r="E1138" s="8">
        <v>17238.86</v>
      </c>
    </row>
    <row r="1139" spans="1:5" ht="15" customHeight="1" x14ac:dyDescent="0.25">
      <c r="A1139" s="7" t="s">
        <v>1558</v>
      </c>
      <c r="B1139" s="3">
        <v>50424.77</v>
      </c>
      <c r="C1139" s="5"/>
      <c r="D1139" s="3">
        <v>28736.5</v>
      </c>
      <c r="E1139" s="8">
        <v>79161.27</v>
      </c>
    </row>
    <row r="1140" spans="1:5" ht="15" customHeight="1" x14ac:dyDescent="0.25">
      <c r="A1140" s="7" t="s">
        <v>1559</v>
      </c>
      <c r="B1140" s="3">
        <v>112914.72</v>
      </c>
      <c r="C1140" s="3">
        <v>87758.48</v>
      </c>
      <c r="D1140" s="3">
        <v>192887.88</v>
      </c>
      <c r="E1140" s="8">
        <v>393561.08</v>
      </c>
    </row>
    <row r="1141" spans="1:5" ht="15" customHeight="1" x14ac:dyDescent="0.25">
      <c r="A1141" s="7" t="s">
        <v>1560</v>
      </c>
      <c r="B1141" s="4" t="s">
        <v>1561</v>
      </c>
      <c r="C1141" s="3">
        <v>14701.48</v>
      </c>
      <c r="D1141" s="4" t="s">
        <v>1562</v>
      </c>
      <c r="E1141" s="8">
        <v>9737.77</v>
      </c>
    </row>
    <row r="1142" spans="1:5" ht="15" customHeight="1" x14ac:dyDescent="0.25">
      <c r="A1142" s="7" t="s">
        <v>1563</v>
      </c>
      <c r="B1142" s="3">
        <v>3669.35</v>
      </c>
      <c r="C1142" s="5"/>
      <c r="D1142" s="3">
        <v>3647.16</v>
      </c>
      <c r="E1142" s="8">
        <v>7316.51</v>
      </c>
    </row>
    <row r="1143" spans="1:5" ht="15" customHeight="1" x14ac:dyDescent="0.25">
      <c r="A1143" s="7" t="s">
        <v>1564</v>
      </c>
      <c r="B1143" s="3">
        <v>2617.27</v>
      </c>
      <c r="C1143" s="5"/>
      <c r="D1143" s="3">
        <v>2601.5100000000002</v>
      </c>
      <c r="E1143" s="8">
        <v>5218.78</v>
      </c>
    </row>
    <row r="1144" spans="1:5" ht="15" customHeight="1" x14ac:dyDescent="0.25">
      <c r="A1144" s="7" t="s">
        <v>1565</v>
      </c>
      <c r="B1144" s="3">
        <v>408.01</v>
      </c>
      <c r="C1144" s="5"/>
      <c r="D1144" s="3">
        <v>405.58</v>
      </c>
      <c r="E1144" s="8">
        <v>813.59</v>
      </c>
    </row>
    <row r="1145" spans="1:5" ht="15" customHeight="1" x14ac:dyDescent="0.25">
      <c r="A1145" s="7" t="s">
        <v>1566</v>
      </c>
      <c r="B1145" s="4" t="s">
        <v>1567</v>
      </c>
      <c r="C1145" s="3">
        <v>46853.65</v>
      </c>
      <c r="D1145" s="3">
        <v>31072.44</v>
      </c>
      <c r="E1145" s="8">
        <v>64494.03</v>
      </c>
    </row>
    <row r="1146" spans="1:5" ht="15" customHeight="1" x14ac:dyDescent="0.25">
      <c r="A1146" s="7" t="s">
        <v>1568</v>
      </c>
      <c r="B1146" s="3">
        <v>10505.72</v>
      </c>
      <c r="C1146" s="5"/>
      <c r="D1146" s="3">
        <v>16347.71</v>
      </c>
      <c r="E1146" s="8">
        <v>26853.43</v>
      </c>
    </row>
    <row r="1147" spans="1:5" ht="15" customHeight="1" x14ac:dyDescent="0.25">
      <c r="A1147" s="7" t="s">
        <v>1569</v>
      </c>
      <c r="B1147" s="3">
        <v>11769.1</v>
      </c>
      <c r="C1147" s="5"/>
      <c r="D1147" s="3">
        <v>18302.400000000001</v>
      </c>
      <c r="E1147" s="8">
        <v>30071.5</v>
      </c>
    </row>
    <row r="1148" spans="1:5" ht="15" customHeight="1" x14ac:dyDescent="0.25">
      <c r="A1148" s="7" t="s">
        <v>1570</v>
      </c>
      <c r="B1148" s="3">
        <v>31586.16</v>
      </c>
      <c r="C1148" s="5"/>
      <c r="D1148" s="3">
        <v>49214.31</v>
      </c>
      <c r="E1148" s="8">
        <v>80800.47</v>
      </c>
    </row>
    <row r="1149" spans="1:5" ht="15" customHeight="1" x14ac:dyDescent="0.25">
      <c r="A1149" s="7" t="s">
        <v>1571</v>
      </c>
      <c r="B1149" s="3">
        <v>22355.81</v>
      </c>
      <c r="C1149" s="5"/>
      <c r="D1149" s="3">
        <v>34804.080000000002</v>
      </c>
      <c r="E1149" s="8">
        <v>57159.89</v>
      </c>
    </row>
    <row r="1150" spans="1:5" ht="15" customHeight="1" x14ac:dyDescent="0.25">
      <c r="A1150" s="7" t="s">
        <v>1572</v>
      </c>
      <c r="B1150" s="3">
        <v>16936.849999999999</v>
      </c>
      <c r="C1150" s="5"/>
      <c r="D1150" s="3">
        <v>26279.87</v>
      </c>
      <c r="E1150" s="8">
        <v>43216.72</v>
      </c>
    </row>
    <row r="1151" spans="1:5" ht="15" customHeight="1" x14ac:dyDescent="0.25">
      <c r="A1151" s="7" t="s">
        <v>1573</v>
      </c>
      <c r="B1151" s="4" t="s">
        <v>1574</v>
      </c>
      <c r="C1151" s="4" t="s">
        <v>1575</v>
      </c>
      <c r="D1151" s="4" t="s">
        <v>1576</v>
      </c>
      <c r="E1151" s="11" t="s">
        <v>1577</v>
      </c>
    </row>
    <row r="1152" spans="1:5" ht="15" customHeight="1" x14ac:dyDescent="0.25">
      <c r="A1152" s="7" t="s">
        <v>1578</v>
      </c>
      <c r="B1152" s="3">
        <v>31685.67</v>
      </c>
      <c r="C1152" s="3">
        <v>24703.59</v>
      </c>
      <c r="D1152" s="3">
        <v>10426.56</v>
      </c>
      <c r="E1152" s="8">
        <v>66815.820000000007</v>
      </c>
    </row>
    <row r="1153" spans="1:5" ht="15" customHeight="1" x14ac:dyDescent="0.25">
      <c r="A1153" s="7" t="s">
        <v>1579</v>
      </c>
      <c r="B1153" s="3">
        <v>24423.81</v>
      </c>
      <c r="C1153" s="3">
        <v>1015.68</v>
      </c>
      <c r="D1153" s="3">
        <v>8036.99</v>
      </c>
      <c r="E1153" s="8">
        <v>33476.480000000003</v>
      </c>
    </row>
    <row r="1154" spans="1:5" ht="15" customHeight="1" x14ac:dyDescent="0.25">
      <c r="A1154" s="7" t="s">
        <v>1580</v>
      </c>
      <c r="B1154" s="3">
        <v>312058.58</v>
      </c>
      <c r="C1154" s="3">
        <v>3879.53</v>
      </c>
      <c r="D1154" s="3">
        <v>102499.19</v>
      </c>
      <c r="E1154" s="8">
        <v>418437.3</v>
      </c>
    </row>
    <row r="1155" spans="1:5" ht="15" customHeight="1" x14ac:dyDescent="0.25">
      <c r="A1155" s="7" t="s">
        <v>1581</v>
      </c>
      <c r="B1155" s="3">
        <v>3632.35</v>
      </c>
      <c r="C1155" s="3">
        <v>2824.5</v>
      </c>
      <c r="D1155" s="3">
        <v>11741.28</v>
      </c>
      <c r="E1155" s="8">
        <v>18198.13</v>
      </c>
    </row>
    <row r="1156" spans="1:5" ht="15" customHeight="1" x14ac:dyDescent="0.25">
      <c r="A1156" s="7" t="s">
        <v>1582</v>
      </c>
      <c r="B1156" s="3">
        <v>2867.35</v>
      </c>
      <c r="C1156" s="3">
        <v>19013.330000000002</v>
      </c>
      <c r="D1156" s="3">
        <v>943.56</v>
      </c>
      <c r="E1156" s="8">
        <v>22824.240000000002</v>
      </c>
    </row>
    <row r="1157" spans="1:5" ht="15" customHeight="1" x14ac:dyDescent="0.25">
      <c r="A1157" s="7" t="s">
        <v>1583</v>
      </c>
      <c r="B1157" s="3">
        <v>17149.3</v>
      </c>
      <c r="C1157" s="3">
        <v>162799.53</v>
      </c>
      <c r="D1157" s="3">
        <v>5643.19</v>
      </c>
      <c r="E1157" s="8">
        <v>185592.02</v>
      </c>
    </row>
    <row r="1158" spans="1:5" ht="15" customHeight="1" x14ac:dyDescent="0.25">
      <c r="A1158" s="7" t="s">
        <v>1584</v>
      </c>
      <c r="B1158" s="3">
        <v>8266.08</v>
      </c>
      <c r="C1158" s="4" t="s">
        <v>1585</v>
      </c>
      <c r="D1158" s="3">
        <v>991.2</v>
      </c>
      <c r="E1158" s="11" t="s">
        <v>1586</v>
      </c>
    </row>
    <row r="1159" spans="1:5" ht="15" customHeight="1" x14ac:dyDescent="0.25">
      <c r="A1159" s="7" t="s">
        <v>1587</v>
      </c>
      <c r="B1159" s="3">
        <v>22275.9</v>
      </c>
      <c r="C1159" s="5"/>
      <c r="D1159" s="3">
        <v>7330.15</v>
      </c>
      <c r="E1159" s="8">
        <v>29606.05</v>
      </c>
    </row>
    <row r="1160" spans="1:5" ht="15" customHeight="1" x14ac:dyDescent="0.25">
      <c r="A1160" s="7" t="s">
        <v>1588</v>
      </c>
      <c r="B1160" s="3">
        <v>34926.839999999997</v>
      </c>
      <c r="C1160" s="5"/>
      <c r="D1160" s="3">
        <v>11493.14</v>
      </c>
      <c r="E1160" s="8">
        <v>46419.98</v>
      </c>
    </row>
    <row r="1161" spans="1:5" ht="15" customHeight="1" x14ac:dyDescent="0.25">
      <c r="A1161" s="7" t="s">
        <v>1589</v>
      </c>
      <c r="B1161" s="3">
        <v>12017.19</v>
      </c>
      <c r="C1161" s="3">
        <v>18875.18</v>
      </c>
      <c r="D1161" s="3">
        <v>3954.4</v>
      </c>
      <c r="E1161" s="8">
        <v>34846.769999999997</v>
      </c>
    </row>
    <row r="1162" spans="1:5" ht="15" customHeight="1" x14ac:dyDescent="0.25">
      <c r="A1162" s="7" t="s">
        <v>1590</v>
      </c>
      <c r="B1162" s="3">
        <v>12704.2</v>
      </c>
      <c r="C1162" s="5"/>
      <c r="D1162" s="3">
        <v>4180.5</v>
      </c>
      <c r="E1162" s="8">
        <v>16884.7</v>
      </c>
    </row>
    <row r="1163" spans="1:5" ht="15" customHeight="1" x14ac:dyDescent="0.25">
      <c r="A1163" s="7" t="s">
        <v>1591</v>
      </c>
      <c r="B1163" s="3">
        <v>9494.44</v>
      </c>
      <c r="C1163" s="5"/>
      <c r="D1163" s="3">
        <v>3124.31</v>
      </c>
      <c r="E1163" s="8">
        <v>12618.75</v>
      </c>
    </row>
    <row r="1164" spans="1:5" ht="15" customHeight="1" x14ac:dyDescent="0.25">
      <c r="A1164" s="7" t="s">
        <v>1592</v>
      </c>
      <c r="B1164" s="3">
        <v>32815.24</v>
      </c>
      <c r="C1164" s="3">
        <v>17572.650000000001</v>
      </c>
      <c r="D1164" s="3">
        <v>31229.1</v>
      </c>
      <c r="E1164" s="8">
        <v>81616.990000000005</v>
      </c>
    </row>
    <row r="1165" spans="1:5" ht="15" customHeight="1" x14ac:dyDescent="0.25">
      <c r="A1165" s="7" t="s">
        <v>1593</v>
      </c>
      <c r="B1165" s="3">
        <v>60.13</v>
      </c>
      <c r="C1165" s="5"/>
      <c r="D1165" s="3">
        <v>19.760000000000002</v>
      </c>
      <c r="E1165" s="8">
        <v>79.89</v>
      </c>
    </row>
    <row r="1166" spans="1:5" ht="15" customHeight="1" x14ac:dyDescent="0.25">
      <c r="A1166" s="7" t="s">
        <v>1594</v>
      </c>
      <c r="B1166" s="4" t="s">
        <v>1595</v>
      </c>
      <c r="C1166" s="4" t="s">
        <v>1596</v>
      </c>
      <c r="D1166" s="4" t="s">
        <v>1597</v>
      </c>
      <c r="E1166" s="11" t="s">
        <v>1598</v>
      </c>
    </row>
    <row r="1167" spans="1:5" ht="15" customHeight="1" x14ac:dyDescent="0.25">
      <c r="A1167" s="7" t="s">
        <v>1602</v>
      </c>
      <c r="B1167" s="3">
        <v>261517.43</v>
      </c>
      <c r="C1167" s="3">
        <v>222252.4</v>
      </c>
      <c r="D1167" s="3">
        <v>257474.9</v>
      </c>
      <c r="E1167" s="8">
        <v>741244.73</v>
      </c>
    </row>
    <row r="1168" spans="1:5" ht="15" customHeight="1" x14ac:dyDescent="0.25">
      <c r="A1168" s="7" t="s">
        <v>1603</v>
      </c>
      <c r="B1168" s="3">
        <v>42015.040000000001</v>
      </c>
      <c r="C1168" s="3">
        <v>45307.49</v>
      </c>
      <c r="D1168" s="3">
        <v>42090.2</v>
      </c>
      <c r="E1168" s="8">
        <v>129412.73</v>
      </c>
    </row>
    <row r="1169" spans="1:5" ht="15" customHeight="1" x14ac:dyDescent="0.25">
      <c r="A1169" s="7" t="s">
        <v>1604</v>
      </c>
      <c r="B1169" s="3">
        <v>42021.98</v>
      </c>
      <c r="C1169" s="3">
        <v>44341.59</v>
      </c>
      <c r="D1169" s="3">
        <v>41832.910000000003</v>
      </c>
      <c r="E1169" s="8">
        <v>128196.48</v>
      </c>
    </row>
    <row r="1170" spans="1:5" ht="15" customHeight="1" x14ac:dyDescent="0.25">
      <c r="A1170" s="7" t="s">
        <v>1605</v>
      </c>
      <c r="B1170" s="3">
        <v>91782.34</v>
      </c>
      <c r="C1170" s="3">
        <v>79302.23</v>
      </c>
      <c r="D1170" s="3">
        <v>71595.88</v>
      </c>
      <c r="E1170" s="8">
        <v>242680.45</v>
      </c>
    </row>
    <row r="1171" spans="1:5" ht="15" customHeight="1" x14ac:dyDescent="0.25">
      <c r="A1171" s="7" t="s">
        <v>1606</v>
      </c>
      <c r="B1171" s="3">
        <v>103774.37</v>
      </c>
      <c r="C1171" s="3">
        <v>111017.14</v>
      </c>
      <c r="D1171" s="3">
        <v>105996.25</v>
      </c>
      <c r="E1171" s="8">
        <v>320787.76</v>
      </c>
    </row>
    <row r="1172" spans="1:5" ht="15" customHeight="1" x14ac:dyDescent="0.25">
      <c r="A1172" s="7" t="s">
        <v>1608</v>
      </c>
      <c r="B1172" s="3">
        <v>111476.25</v>
      </c>
      <c r="C1172" s="3">
        <v>114331.28</v>
      </c>
      <c r="D1172" s="3">
        <v>129065.48</v>
      </c>
      <c r="E1172" s="8">
        <v>354873.01</v>
      </c>
    </row>
    <row r="1173" spans="1:5" ht="15" customHeight="1" x14ac:dyDescent="0.25">
      <c r="A1173" s="7" t="s">
        <v>1609</v>
      </c>
      <c r="B1173" s="3">
        <v>3345.26</v>
      </c>
      <c r="C1173" s="3">
        <v>3572.89</v>
      </c>
      <c r="D1173" s="3">
        <v>3366.55</v>
      </c>
      <c r="E1173" s="8">
        <v>10284.700000000001</v>
      </c>
    </row>
    <row r="1174" spans="1:5" ht="15" customHeight="1" x14ac:dyDescent="0.25">
      <c r="A1174" s="7" t="s">
        <v>1610</v>
      </c>
      <c r="B1174" s="3">
        <v>11853.25</v>
      </c>
      <c r="C1174" s="4" t="s">
        <v>1611</v>
      </c>
      <c r="D1174" s="3">
        <v>32549.040000000001</v>
      </c>
      <c r="E1174" s="8">
        <v>37888.639999999999</v>
      </c>
    </row>
    <row r="1175" spans="1:5" ht="15" customHeight="1" x14ac:dyDescent="0.25">
      <c r="A1175" s="7" t="s">
        <v>1612</v>
      </c>
      <c r="B1175" s="3">
        <v>2842.53</v>
      </c>
      <c r="C1175" s="5"/>
      <c r="D1175" s="3">
        <v>1532.23</v>
      </c>
      <c r="E1175" s="8">
        <v>4374.76</v>
      </c>
    </row>
    <row r="1176" spans="1:5" ht="15" customHeight="1" x14ac:dyDescent="0.25">
      <c r="A1176" s="7" t="s">
        <v>1613</v>
      </c>
      <c r="B1176" s="3">
        <v>5833.29</v>
      </c>
      <c r="C1176" s="3">
        <v>6187.74</v>
      </c>
      <c r="D1176" s="3">
        <v>5889.67</v>
      </c>
      <c r="E1176" s="8">
        <v>17910.7</v>
      </c>
    </row>
    <row r="1177" spans="1:5" ht="15" customHeight="1" x14ac:dyDescent="0.25">
      <c r="A1177" s="7" t="s">
        <v>1614</v>
      </c>
      <c r="B1177" s="3">
        <v>1394.95</v>
      </c>
      <c r="C1177" s="3">
        <v>6187.78</v>
      </c>
      <c r="D1177" s="3">
        <v>5889.71</v>
      </c>
      <c r="E1177" s="8">
        <v>13472.44</v>
      </c>
    </row>
    <row r="1178" spans="1:5" ht="15" customHeight="1" x14ac:dyDescent="0.25">
      <c r="A1178" s="7" t="s">
        <v>1615</v>
      </c>
      <c r="B1178" s="3">
        <v>5833.31</v>
      </c>
      <c r="C1178" s="3">
        <v>6187.8</v>
      </c>
      <c r="D1178" s="3">
        <v>5889.69</v>
      </c>
      <c r="E1178" s="8">
        <v>17910.8</v>
      </c>
    </row>
    <row r="1179" spans="1:5" ht="15" customHeight="1" x14ac:dyDescent="0.25">
      <c r="A1179" s="7" t="s">
        <v>1616</v>
      </c>
      <c r="B1179" s="3">
        <v>15068.89</v>
      </c>
      <c r="C1179" s="3">
        <v>75976.89</v>
      </c>
      <c r="D1179" s="3">
        <v>13324.09</v>
      </c>
      <c r="E1179" s="8">
        <v>104369.87</v>
      </c>
    </row>
    <row r="1180" spans="1:5" ht="15" customHeight="1" x14ac:dyDescent="0.25">
      <c r="A1180" s="7" t="s">
        <v>1617</v>
      </c>
      <c r="B1180" s="3">
        <v>14882.38</v>
      </c>
      <c r="C1180" s="3">
        <v>390.91</v>
      </c>
      <c r="D1180" s="3">
        <v>12830.75</v>
      </c>
      <c r="E1180" s="8">
        <v>28104.04</v>
      </c>
    </row>
    <row r="1181" spans="1:5" ht="15" customHeight="1" x14ac:dyDescent="0.25">
      <c r="A1181" s="7" t="s">
        <v>1618</v>
      </c>
      <c r="B1181" s="3">
        <v>20308.919999999998</v>
      </c>
      <c r="C1181" s="3">
        <v>6593.6</v>
      </c>
      <c r="D1181" s="3">
        <v>17509.22</v>
      </c>
      <c r="E1181" s="8">
        <v>44411.74</v>
      </c>
    </row>
    <row r="1182" spans="1:5" ht="15" customHeight="1" x14ac:dyDescent="0.25">
      <c r="A1182" s="7" t="s">
        <v>1619</v>
      </c>
      <c r="B1182" s="3">
        <v>7366.47</v>
      </c>
      <c r="C1182" s="3">
        <v>272.33999999999997</v>
      </c>
      <c r="D1182" s="3">
        <v>3071.48</v>
      </c>
      <c r="E1182" s="8">
        <v>10710.29</v>
      </c>
    </row>
    <row r="1183" spans="1:5" ht="15" customHeight="1" x14ac:dyDescent="0.25">
      <c r="A1183" s="7" t="s">
        <v>1620</v>
      </c>
      <c r="B1183" s="3">
        <v>17129.97</v>
      </c>
      <c r="C1183" s="5"/>
      <c r="D1183" s="3">
        <v>12124.5</v>
      </c>
      <c r="E1183" s="8">
        <v>29254.47</v>
      </c>
    </row>
    <row r="1184" spans="1:5" ht="15" customHeight="1" x14ac:dyDescent="0.25">
      <c r="A1184" s="7" t="s">
        <v>1621</v>
      </c>
      <c r="B1184" s="3">
        <v>9355.74</v>
      </c>
      <c r="C1184" s="5"/>
      <c r="D1184" s="3">
        <v>6622.01</v>
      </c>
      <c r="E1184" s="8">
        <v>15977.75</v>
      </c>
    </row>
    <row r="1185" spans="1:5" ht="15" customHeight="1" x14ac:dyDescent="0.25">
      <c r="A1185" s="7" t="s">
        <v>1622</v>
      </c>
      <c r="B1185" s="3">
        <v>19339.25</v>
      </c>
      <c r="C1185" s="5"/>
      <c r="D1185" s="3">
        <v>13688.3</v>
      </c>
      <c r="E1185" s="8">
        <v>33027.550000000003</v>
      </c>
    </row>
    <row r="1186" spans="1:5" ht="15" customHeight="1" x14ac:dyDescent="0.25">
      <c r="A1186" s="7" t="s">
        <v>1623</v>
      </c>
      <c r="B1186" s="3">
        <v>674.1</v>
      </c>
      <c r="C1186" s="5"/>
      <c r="D1186" s="3">
        <v>477.12</v>
      </c>
      <c r="E1186" s="8">
        <v>1151.22</v>
      </c>
    </row>
    <row r="1187" spans="1:5" ht="15" customHeight="1" x14ac:dyDescent="0.25">
      <c r="A1187" s="7" t="s">
        <v>1624</v>
      </c>
      <c r="B1187" s="3">
        <v>20651.72</v>
      </c>
      <c r="C1187" s="5"/>
      <c r="D1187" s="3">
        <v>14617.21</v>
      </c>
      <c r="E1187" s="8">
        <v>35268.93</v>
      </c>
    </row>
    <row r="1188" spans="1:5" ht="15" customHeight="1" x14ac:dyDescent="0.25">
      <c r="A1188" s="7" t="s">
        <v>1625</v>
      </c>
      <c r="B1188" s="3">
        <v>4853.22</v>
      </c>
      <c r="C1188" s="5"/>
      <c r="D1188" s="3">
        <v>3435.13</v>
      </c>
      <c r="E1188" s="8">
        <v>8288.35</v>
      </c>
    </row>
    <row r="1189" spans="1:5" ht="15" customHeight="1" x14ac:dyDescent="0.25">
      <c r="A1189" s="7" t="s">
        <v>1626</v>
      </c>
      <c r="B1189" s="3">
        <v>4985.3999999999996</v>
      </c>
      <c r="C1189" s="3">
        <v>879.25</v>
      </c>
      <c r="D1189" s="3">
        <v>4860.7</v>
      </c>
      <c r="E1189" s="8">
        <v>10725.35</v>
      </c>
    </row>
    <row r="1190" spans="1:5" ht="15" customHeight="1" x14ac:dyDescent="0.25">
      <c r="A1190" s="7" t="s">
        <v>1627</v>
      </c>
      <c r="B1190" s="4" t="s">
        <v>1628</v>
      </c>
      <c r="C1190" s="4" t="s">
        <v>1629</v>
      </c>
      <c r="D1190" s="4" t="s">
        <v>1630</v>
      </c>
      <c r="E1190" s="11" t="s">
        <v>1631</v>
      </c>
    </row>
    <row r="1191" spans="1:5" ht="15" customHeight="1" x14ac:dyDescent="0.25">
      <c r="A1191" s="7" t="s">
        <v>1632</v>
      </c>
      <c r="B1191" s="3">
        <v>101734.86</v>
      </c>
      <c r="C1191" s="3">
        <v>28149.919999999998</v>
      </c>
      <c r="D1191" s="3">
        <v>59017.24</v>
      </c>
      <c r="E1191" s="8">
        <v>188902.02</v>
      </c>
    </row>
    <row r="1192" spans="1:5" ht="15" customHeight="1" x14ac:dyDescent="0.25">
      <c r="A1192" s="7" t="s">
        <v>1633</v>
      </c>
      <c r="B1192" s="3">
        <v>37570.68</v>
      </c>
      <c r="C1192" s="3">
        <v>11816.05</v>
      </c>
      <c r="D1192" s="3">
        <v>24377.919999999998</v>
      </c>
      <c r="E1192" s="8">
        <v>73764.649999999994</v>
      </c>
    </row>
    <row r="1193" spans="1:5" ht="15" customHeight="1" x14ac:dyDescent="0.25">
      <c r="A1193" s="7" t="s">
        <v>1634</v>
      </c>
      <c r="B1193" s="3">
        <v>27947.53</v>
      </c>
      <c r="C1193" s="3">
        <v>26243.11</v>
      </c>
      <c r="D1193" s="3">
        <v>16244.18</v>
      </c>
      <c r="E1193" s="8">
        <v>70434.820000000007</v>
      </c>
    </row>
    <row r="1194" spans="1:5" ht="15" customHeight="1" x14ac:dyDescent="0.25">
      <c r="A1194" s="7" t="s">
        <v>1635</v>
      </c>
      <c r="B1194" s="4" t="s">
        <v>1636</v>
      </c>
      <c r="C1194" s="4" t="s">
        <v>1637</v>
      </c>
      <c r="D1194" s="3">
        <v>2929.98</v>
      </c>
      <c r="E1194" s="8">
        <v>2706.07</v>
      </c>
    </row>
    <row r="1195" spans="1:5" ht="15" customHeight="1" x14ac:dyDescent="0.25">
      <c r="A1195" s="7" t="s">
        <v>1638</v>
      </c>
      <c r="B1195" s="4" t="s">
        <v>1639</v>
      </c>
      <c r="C1195" s="4" t="s">
        <v>1640</v>
      </c>
      <c r="D1195" s="4" t="s">
        <v>1641</v>
      </c>
      <c r="E1195" s="11" t="s">
        <v>1642</v>
      </c>
    </row>
    <row r="1196" spans="1:5" ht="15" customHeight="1" x14ac:dyDescent="0.25">
      <c r="A1196" s="7" t="s">
        <v>1643</v>
      </c>
      <c r="B1196" s="3">
        <v>42386.78</v>
      </c>
      <c r="C1196" s="3">
        <v>2668.66</v>
      </c>
      <c r="D1196" s="3">
        <v>30094.48</v>
      </c>
      <c r="E1196" s="8">
        <v>75149.919999999998</v>
      </c>
    </row>
    <row r="1197" spans="1:5" ht="15" customHeight="1" x14ac:dyDescent="0.25">
      <c r="A1197" s="7" t="s">
        <v>1644</v>
      </c>
      <c r="B1197" s="3">
        <v>311948.59000000003</v>
      </c>
      <c r="C1197" s="3">
        <v>19640.22</v>
      </c>
      <c r="D1197" s="3">
        <v>221482.7</v>
      </c>
      <c r="E1197" s="8">
        <v>553071.51</v>
      </c>
    </row>
    <row r="1198" spans="1:5" ht="15" customHeight="1" x14ac:dyDescent="0.25">
      <c r="A1198" s="7" t="s">
        <v>1645</v>
      </c>
      <c r="B1198" s="3">
        <v>34985.629999999997</v>
      </c>
      <c r="C1198" s="3">
        <v>2202.69</v>
      </c>
      <c r="D1198" s="3">
        <v>25639.73</v>
      </c>
      <c r="E1198" s="8">
        <v>62828.05</v>
      </c>
    </row>
    <row r="1199" spans="1:5" ht="15" customHeight="1" x14ac:dyDescent="0.25">
      <c r="A1199" s="7" t="s">
        <v>1647</v>
      </c>
      <c r="B1199" s="3">
        <v>100457.57</v>
      </c>
      <c r="C1199" s="3">
        <v>6324.8</v>
      </c>
      <c r="D1199" s="3">
        <v>71324.679999999993</v>
      </c>
      <c r="E1199" s="8">
        <v>178107.05</v>
      </c>
    </row>
    <row r="1200" spans="1:5" ht="15" customHeight="1" x14ac:dyDescent="0.25">
      <c r="A1200" s="7" t="s">
        <v>1648</v>
      </c>
      <c r="B1200" s="3">
        <v>43271.05</v>
      </c>
      <c r="C1200" s="3">
        <v>2724.36</v>
      </c>
      <c r="D1200" s="3">
        <v>30722.32</v>
      </c>
      <c r="E1200" s="8">
        <v>76717.73</v>
      </c>
    </row>
    <row r="1201" spans="1:5" ht="15" customHeight="1" x14ac:dyDescent="0.25">
      <c r="A1201" s="7" t="s">
        <v>1649</v>
      </c>
      <c r="B1201" s="3">
        <v>6160.9</v>
      </c>
      <c r="C1201" s="3">
        <v>16114.54</v>
      </c>
      <c r="D1201" s="3">
        <v>4374.22</v>
      </c>
      <c r="E1201" s="8">
        <v>26649.66</v>
      </c>
    </row>
    <row r="1202" spans="1:5" ht="15" customHeight="1" x14ac:dyDescent="0.25">
      <c r="A1202" s="7" t="s">
        <v>1650</v>
      </c>
      <c r="B1202" s="3">
        <v>46593.63</v>
      </c>
      <c r="C1202" s="3">
        <v>56109.74</v>
      </c>
      <c r="D1202" s="3">
        <v>33081.33</v>
      </c>
      <c r="E1202" s="8">
        <v>135784.70000000001</v>
      </c>
    </row>
    <row r="1203" spans="1:5" ht="15" customHeight="1" x14ac:dyDescent="0.25">
      <c r="A1203" s="7" t="s">
        <v>1651</v>
      </c>
      <c r="B1203" s="3">
        <v>20544.150000000001</v>
      </c>
      <c r="C1203" s="5"/>
      <c r="D1203" s="3">
        <v>14998.56</v>
      </c>
      <c r="E1203" s="8">
        <v>35542.71</v>
      </c>
    </row>
    <row r="1204" spans="1:5" ht="15" customHeight="1" x14ac:dyDescent="0.25">
      <c r="A1204" s="7" t="s">
        <v>1652</v>
      </c>
      <c r="B1204" s="3">
        <v>264904.67</v>
      </c>
      <c r="C1204" s="3">
        <v>220026.29</v>
      </c>
      <c r="D1204" s="3">
        <v>196779.33</v>
      </c>
      <c r="E1204" s="8">
        <v>681710.29</v>
      </c>
    </row>
    <row r="1205" spans="1:5" ht="15" customHeight="1" x14ac:dyDescent="0.25">
      <c r="A1205" s="7" t="s">
        <v>1653</v>
      </c>
      <c r="B1205" s="3">
        <v>20744.84</v>
      </c>
      <c r="C1205" s="5"/>
      <c r="D1205" s="3">
        <v>14683.12</v>
      </c>
      <c r="E1205" s="8">
        <v>35427.96</v>
      </c>
    </row>
    <row r="1206" spans="1:5" ht="15" customHeight="1" x14ac:dyDescent="0.25">
      <c r="A1206" s="7" t="s">
        <v>1654</v>
      </c>
      <c r="B1206" s="3">
        <v>50034.03</v>
      </c>
      <c r="C1206" s="5"/>
      <c r="D1206" s="3">
        <v>37370.080000000002</v>
      </c>
      <c r="E1206" s="8">
        <v>87404.11</v>
      </c>
    </row>
    <row r="1207" spans="1:5" ht="15" customHeight="1" x14ac:dyDescent="0.25">
      <c r="A1207" s="7" t="s">
        <v>1655</v>
      </c>
      <c r="B1207" s="3">
        <v>7683.4</v>
      </c>
      <c r="C1207" s="5"/>
      <c r="D1207" s="3">
        <v>5438.28</v>
      </c>
      <c r="E1207" s="8">
        <v>13121.68</v>
      </c>
    </row>
    <row r="1208" spans="1:5" ht="15" customHeight="1" x14ac:dyDescent="0.25">
      <c r="A1208" s="7" t="s">
        <v>1656</v>
      </c>
      <c r="B1208" s="3">
        <v>2640.54</v>
      </c>
      <c r="C1208" s="5"/>
      <c r="D1208" s="3">
        <v>1868.98</v>
      </c>
      <c r="E1208" s="8">
        <v>4509.5200000000004</v>
      </c>
    </row>
    <row r="1209" spans="1:5" ht="15" customHeight="1" x14ac:dyDescent="0.25">
      <c r="A1209" s="7" t="s">
        <v>1657</v>
      </c>
      <c r="B1209" s="3">
        <v>157104.68</v>
      </c>
      <c r="C1209" s="3">
        <v>65945.27</v>
      </c>
      <c r="D1209" s="3">
        <v>111198.39999999999</v>
      </c>
      <c r="E1209" s="8">
        <v>334248.34999999998</v>
      </c>
    </row>
    <row r="1210" spans="1:5" ht="15" customHeight="1" x14ac:dyDescent="0.25">
      <c r="A1210" s="7" t="s">
        <v>1658</v>
      </c>
      <c r="B1210" s="4" t="s">
        <v>1659</v>
      </c>
      <c r="C1210" s="4" t="s">
        <v>1660</v>
      </c>
      <c r="D1210" s="4" t="s">
        <v>1661</v>
      </c>
      <c r="E1210" s="11" t="s">
        <v>1662</v>
      </c>
    </row>
    <row r="1211" spans="1:5" ht="15" customHeight="1" x14ac:dyDescent="0.25">
      <c r="A1211" s="7" t="s">
        <v>1663</v>
      </c>
      <c r="B1211" s="3">
        <v>40379.129999999997</v>
      </c>
      <c r="C1211" s="3">
        <v>15461.99</v>
      </c>
      <c r="D1211" s="3">
        <v>28580.25</v>
      </c>
      <c r="E1211" s="8">
        <v>84421.37</v>
      </c>
    </row>
    <row r="1212" spans="1:5" ht="15" customHeight="1" x14ac:dyDescent="0.25">
      <c r="A1212" s="7" t="s">
        <v>1664</v>
      </c>
      <c r="B1212" s="3">
        <v>3416.71</v>
      </c>
      <c r="C1212" s="5"/>
      <c r="D1212" s="3">
        <v>2418.35</v>
      </c>
      <c r="E1212" s="8">
        <v>5835.06</v>
      </c>
    </row>
    <row r="1213" spans="1:5" ht="15" customHeight="1" x14ac:dyDescent="0.25">
      <c r="A1213" s="7" t="s">
        <v>1665</v>
      </c>
      <c r="B1213" s="3">
        <v>14092.4</v>
      </c>
      <c r="C1213" s="5"/>
      <c r="D1213" s="3">
        <v>9974.5400000000009</v>
      </c>
      <c r="E1213" s="8">
        <v>24066.94</v>
      </c>
    </row>
    <row r="1214" spans="1:5" ht="15" customHeight="1" x14ac:dyDescent="0.25">
      <c r="A1214" s="7" t="s">
        <v>1666</v>
      </c>
      <c r="B1214" s="3">
        <v>6678.86</v>
      </c>
      <c r="C1214" s="5"/>
      <c r="D1214" s="3">
        <v>4727.28</v>
      </c>
      <c r="E1214" s="8">
        <v>11406.14</v>
      </c>
    </row>
    <row r="1215" spans="1:5" ht="15" customHeight="1" x14ac:dyDescent="0.25">
      <c r="A1215" s="7" t="s">
        <v>1667</v>
      </c>
      <c r="B1215" s="3">
        <v>36186.519999999997</v>
      </c>
      <c r="C1215" s="5"/>
      <c r="D1215" s="3">
        <v>25612.799999999999</v>
      </c>
      <c r="E1215" s="8">
        <v>61799.32</v>
      </c>
    </row>
    <row r="1216" spans="1:5" ht="15" customHeight="1" x14ac:dyDescent="0.25">
      <c r="A1216" s="7" t="s">
        <v>1668</v>
      </c>
      <c r="B1216" s="3">
        <v>11148.32</v>
      </c>
      <c r="C1216" s="5"/>
      <c r="D1216" s="3">
        <v>7890.78</v>
      </c>
      <c r="E1216" s="8">
        <v>19039.099999999999</v>
      </c>
    </row>
    <row r="1217" spans="1:5" ht="15" customHeight="1" x14ac:dyDescent="0.25">
      <c r="A1217" s="7" t="s">
        <v>1669</v>
      </c>
      <c r="B1217" s="3">
        <v>43315.96</v>
      </c>
      <c r="C1217" s="3">
        <v>6348.99</v>
      </c>
      <c r="D1217" s="3">
        <v>25176.880000000001</v>
      </c>
      <c r="E1217" s="8">
        <v>74841.83</v>
      </c>
    </row>
    <row r="1218" spans="1:5" ht="15" customHeight="1" x14ac:dyDescent="0.25">
      <c r="A1218" s="7" t="s">
        <v>1670</v>
      </c>
      <c r="B1218" s="3">
        <v>60278.14</v>
      </c>
      <c r="C1218" s="3">
        <v>8835.25</v>
      </c>
      <c r="D1218" s="3">
        <v>35035.99</v>
      </c>
      <c r="E1218" s="8">
        <v>104149.38</v>
      </c>
    </row>
    <row r="1219" spans="1:5" ht="15" customHeight="1" x14ac:dyDescent="0.25">
      <c r="A1219" s="7" t="s">
        <v>1672</v>
      </c>
      <c r="B1219" s="3">
        <v>5146.28</v>
      </c>
      <c r="C1219" s="3">
        <v>5515.07</v>
      </c>
      <c r="D1219" s="3">
        <v>30287.37</v>
      </c>
      <c r="E1219" s="8">
        <v>40948.720000000001</v>
      </c>
    </row>
    <row r="1220" spans="1:5" ht="15" customHeight="1" x14ac:dyDescent="0.25">
      <c r="A1220" s="7" t="s">
        <v>1673</v>
      </c>
      <c r="B1220" s="3">
        <v>342104.08</v>
      </c>
      <c r="C1220" s="4" t="s">
        <v>1674</v>
      </c>
      <c r="D1220" s="3">
        <v>317703.86</v>
      </c>
      <c r="E1220" s="8">
        <v>615594.17000000004</v>
      </c>
    </row>
    <row r="1221" spans="1:5" ht="15" customHeight="1" x14ac:dyDescent="0.25">
      <c r="A1221" s="7" t="s">
        <v>1675</v>
      </c>
      <c r="B1221" s="3">
        <v>116005.47</v>
      </c>
      <c r="C1221" s="4" t="s">
        <v>1676</v>
      </c>
      <c r="D1221" s="3">
        <v>115834.02</v>
      </c>
      <c r="E1221" s="8">
        <v>182104.73</v>
      </c>
    </row>
    <row r="1222" spans="1:5" ht="15" customHeight="1" x14ac:dyDescent="0.25">
      <c r="A1222" s="7" t="s">
        <v>1679</v>
      </c>
      <c r="B1222" s="3">
        <v>2006.65</v>
      </c>
      <c r="C1222" s="5"/>
      <c r="D1222" s="5"/>
      <c r="E1222" s="8">
        <v>2006.65</v>
      </c>
    </row>
    <row r="1223" spans="1:5" ht="15" customHeight="1" x14ac:dyDescent="0.25">
      <c r="A1223" s="7" t="s">
        <v>1682</v>
      </c>
      <c r="B1223" s="3">
        <v>2006.65</v>
      </c>
      <c r="C1223" s="5"/>
      <c r="D1223" s="5"/>
      <c r="E1223" s="8">
        <v>2006.65</v>
      </c>
    </row>
    <row r="1224" spans="1:5" ht="15" customHeight="1" x14ac:dyDescent="0.25">
      <c r="A1224" s="7" t="s">
        <v>1684</v>
      </c>
      <c r="B1224" s="3">
        <v>82615.73</v>
      </c>
      <c r="C1224" s="3">
        <v>52285.7</v>
      </c>
      <c r="D1224" s="3">
        <v>69076.3</v>
      </c>
      <c r="E1224" s="8">
        <v>203977.73</v>
      </c>
    </row>
    <row r="1225" spans="1:5" ht="15" customHeight="1" x14ac:dyDescent="0.25">
      <c r="A1225" s="7" t="s">
        <v>1685</v>
      </c>
      <c r="B1225" s="3">
        <v>30851.69</v>
      </c>
      <c r="C1225" s="3">
        <v>27337.94</v>
      </c>
      <c r="D1225" s="3">
        <v>71592.399999999994</v>
      </c>
      <c r="E1225" s="8">
        <v>129782.03</v>
      </c>
    </row>
    <row r="1226" spans="1:5" ht="15" customHeight="1" x14ac:dyDescent="0.25">
      <c r="A1226" s="7" t="s">
        <v>1686</v>
      </c>
      <c r="B1226" s="3">
        <v>202632.71</v>
      </c>
      <c r="C1226" s="3">
        <v>158567.04000000001</v>
      </c>
      <c r="D1226" s="3">
        <v>451554.97</v>
      </c>
      <c r="E1226" s="8">
        <v>812754.72</v>
      </c>
    </row>
    <row r="1227" spans="1:5" ht="15" customHeight="1" x14ac:dyDescent="0.25">
      <c r="A1227" s="7" t="s">
        <v>1687</v>
      </c>
      <c r="B1227" s="3">
        <v>524692.47</v>
      </c>
      <c r="C1227" s="3">
        <v>838217.02</v>
      </c>
      <c r="D1227" s="3">
        <v>638490.96</v>
      </c>
      <c r="E1227" s="8">
        <v>2001400.45</v>
      </c>
    </row>
    <row r="1228" spans="1:5" ht="15" customHeight="1" x14ac:dyDescent="0.25">
      <c r="A1228" s="7" t="s">
        <v>1688</v>
      </c>
      <c r="B1228" s="3">
        <v>398235.27</v>
      </c>
      <c r="C1228" s="3">
        <v>261556.76</v>
      </c>
      <c r="D1228" s="3">
        <v>523635.08</v>
      </c>
      <c r="E1228" s="8">
        <v>1183427.1100000001</v>
      </c>
    </row>
    <row r="1229" spans="1:5" ht="15" customHeight="1" x14ac:dyDescent="0.25">
      <c r="A1229" s="7" t="s">
        <v>1689</v>
      </c>
      <c r="B1229" s="3">
        <v>228747.34</v>
      </c>
      <c r="C1229" s="3">
        <v>170535.94</v>
      </c>
      <c r="D1229" s="3">
        <v>280912.83</v>
      </c>
      <c r="E1229" s="8">
        <v>680196.11</v>
      </c>
    </row>
    <row r="1230" spans="1:5" ht="15" customHeight="1" x14ac:dyDescent="0.25">
      <c r="A1230" s="7" t="s">
        <v>1691</v>
      </c>
      <c r="B1230" s="3">
        <v>2999.31</v>
      </c>
      <c r="C1230" s="3">
        <v>4534.97</v>
      </c>
      <c r="D1230" s="5"/>
      <c r="E1230" s="8">
        <v>7534.28</v>
      </c>
    </row>
    <row r="1231" spans="1:5" ht="15" customHeight="1" x14ac:dyDescent="0.25">
      <c r="A1231" s="7" t="s">
        <v>1692</v>
      </c>
      <c r="B1231" s="3">
        <v>14601.08</v>
      </c>
      <c r="C1231" s="3">
        <v>10657.01</v>
      </c>
      <c r="D1231" s="3">
        <v>18000.54</v>
      </c>
      <c r="E1231" s="8">
        <v>43258.63</v>
      </c>
    </row>
    <row r="1232" spans="1:5" ht="15" customHeight="1" x14ac:dyDescent="0.25">
      <c r="A1232" s="7" t="s">
        <v>1693</v>
      </c>
      <c r="B1232" s="3">
        <v>30918.93</v>
      </c>
      <c r="C1232" s="3">
        <v>17256.810000000001</v>
      </c>
      <c r="D1232" s="3">
        <v>52249.07</v>
      </c>
      <c r="E1232" s="8">
        <v>100424.81</v>
      </c>
    </row>
    <row r="1233" spans="1:5" ht="15" customHeight="1" x14ac:dyDescent="0.25">
      <c r="A1233" s="7" t="s">
        <v>1694</v>
      </c>
      <c r="B1233" s="3">
        <v>68388</v>
      </c>
      <c r="C1233" s="3">
        <v>40669.56</v>
      </c>
      <c r="D1233" s="3">
        <v>64491.08</v>
      </c>
      <c r="E1233" s="8">
        <v>173548.64</v>
      </c>
    </row>
    <row r="1234" spans="1:5" ht="15" customHeight="1" x14ac:dyDescent="0.25">
      <c r="A1234" s="7" t="s">
        <v>1695</v>
      </c>
      <c r="B1234" s="3">
        <v>185828.84</v>
      </c>
      <c r="C1234" s="3">
        <v>49560.480000000003</v>
      </c>
      <c r="D1234" s="3">
        <v>267924.07</v>
      </c>
      <c r="E1234" s="8">
        <v>503313.39</v>
      </c>
    </row>
    <row r="1235" spans="1:5" ht="15" customHeight="1" x14ac:dyDescent="0.25">
      <c r="A1235" s="7" t="s">
        <v>1696</v>
      </c>
      <c r="B1235" s="3">
        <v>52844.31</v>
      </c>
      <c r="C1235" s="3">
        <v>19214.7</v>
      </c>
      <c r="D1235" s="3">
        <v>36141.42</v>
      </c>
      <c r="E1235" s="8">
        <v>108200.43</v>
      </c>
    </row>
    <row r="1236" spans="1:5" ht="15" customHeight="1" x14ac:dyDescent="0.25">
      <c r="A1236" s="7" t="s">
        <v>1697</v>
      </c>
      <c r="B1236" s="3">
        <v>78261.149999999994</v>
      </c>
      <c r="C1236" s="3">
        <v>50536.84</v>
      </c>
      <c r="D1236" s="3">
        <v>29171.46</v>
      </c>
      <c r="E1236" s="8">
        <v>157969.45000000001</v>
      </c>
    </row>
    <row r="1237" spans="1:5" ht="15" customHeight="1" x14ac:dyDescent="0.25">
      <c r="A1237" s="7" t="s">
        <v>1698</v>
      </c>
      <c r="B1237" s="3">
        <v>324687.52</v>
      </c>
      <c r="C1237" s="3">
        <v>219654.89</v>
      </c>
      <c r="D1237" s="3">
        <v>232573.97</v>
      </c>
      <c r="E1237" s="8">
        <v>776916.38</v>
      </c>
    </row>
    <row r="1238" spans="1:5" ht="15" customHeight="1" x14ac:dyDescent="0.25">
      <c r="A1238" s="7" t="s">
        <v>1699</v>
      </c>
      <c r="B1238" s="3">
        <v>128543.25</v>
      </c>
      <c r="C1238" s="3">
        <v>79356.59</v>
      </c>
      <c r="D1238" s="3">
        <v>112848.14</v>
      </c>
      <c r="E1238" s="8">
        <v>320747.98</v>
      </c>
    </row>
    <row r="1239" spans="1:5" ht="15" customHeight="1" x14ac:dyDescent="0.25">
      <c r="A1239" s="7" t="s">
        <v>1700</v>
      </c>
      <c r="B1239" s="3">
        <v>175041.11</v>
      </c>
      <c r="C1239" s="3">
        <v>174266.76</v>
      </c>
      <c r="D1239" s="3">
        <v>195707.42</v>
      </c>
      <c r="E1239" s="8">
        <v>545015.29</v>
      </c>
    </row>
    <row r="1240" spans="1:5" ht="15" customHeight="1" x14ac:dyDescent="0.25">
      <c r="A1240" s="7" t="s">
        <v>1702</v>
      </c>
      <c r="B1240" s="3">
        <v>260017.35</v>
      </c>
      <c r="C1240" s="3">
        <v>232667.06</v>
      </c>
      <c r="D1240" s="3">
        <v>143496.87</v>
      </c>
      <c r="E1240" s="8">
        <v>636181.28</v>
      </c>
    </row>
    <row r="1241" spans="1:5" ht="15" customHeight="1" x14ac:dyDescent="0.25">
      <c r="A1241" s="7" t="s">
        <v>1703</v>
      </c>
      <c r="B1241" s="3">
        <v>521426.03</v>
      </c>
      <c r="C1241" s="3">
        <v>333212.28000000003</v>
      </c>
      <c r="D1241" s="3">
        <v>353022.85</v>
      </c>
      <c r="E1241" s="8">
        <v>1207661.1599999999</v>
      </c>
    </row>
    <row r="1242" spans="1:5" ht="15" customHeight="1" x14ac:dyDescent="0.25">
      <c r="A1242" s="7" t="s">
        <v>1704</v>
      </c>
      <c r="B1242" s="3">
        <v>408947.46</v>
      </c>
      <c r="C1242" s="3">
        <v>403776.47</v>
      </c>
      <c r="D1242" s="3">
        <v>420137.98</v>
      </c>
      <c r="E1242" s="8">
        <v>1232861.9099999999</v>
      </c>
    </row>
    <row r="1243" spans="1:5" ht="15" customHeight="1" x14ac:dyDescent="0.25">
      <c r="A1243" s="7" t="s">
        <v>1705</v>
      </c>
      <c r="B1243" s="3">
        <v>6035.02</v>
      </c>
      <c r="C1243" s="5"/>
      <c r="D1243" s="3">
        <v>81.28</v>
      </c>
      <c r="E1243" s="8">
        <v>6116.3</v>
      </c>
    </row>
    <row r="1244" spans="1:5" ht="15" customHeight="1" x14ac:dyDescent="0.25">
      <c r="A1244" s="7" t="s">
        <v>1706</v>
      </c>
      <c r="B1244" s="3">
        <v>785963.98</v>
      </c>
      <c r="C1244" s="3">
        <v>9686.31</v>
      </c>
      <c r="D1244" s="3">
        <v>39195.1</v>
      </c>
      <c r="E1244" s="8">
        <v>834845.39</v>
      </c>
    </row>
    <row r="1245" spans="1:5" ht="15" customHeight="1" x14ac:dyDescent="0.25">
      <c r="A1245" s="7" t="s">
        <v>1707</v>
      </c>
      <c r="B1245" s="3">
        <v>898264.74</v>
      </c>
      <c r="C1245" s="3">
        <v>551027.06999999995</v>
      </c>
      <c r="D1245" s="3">
        <v>1372993.84</v>
      </c>
      <c r="E1245" s="8">
        <v>2822285.65</v>
      </c>
    </row>
    <row r="1246" spans="1:5" ht="15" customHeight="1" x14ac:dyDescent="0.25">
      <c r="A1246" s="7" t="s">
        <v>1711</v>
      </c>
      <c r="B1246" s="3">
        <v>859.41</v>
      </c>
      <c r="C1246" s="3">
        <v>3126.54</v>
      </c>
      <c r="D1246" s="3">
        <v>9626.91</v>
      </c>
      <c r="E1246" s="8">
        <v>13612.86</v>
      </c>
    </row>
    <row r="1247" spans="1:5" ht="15" customHeight="1" x14ac:dyDescent="0.25">
      <c r="A1247" s="7" t="s">
        <v>1712</v>
      </c>
      <c r="B1247" s="3">
        <v>12246.51</v>
      </c>
      <c r="C1247" s="5"/>
      <c r="D1247" s="3">
        <v>5884.44</v>
      </c>
      <c r="E1247" s="8">
        <v>18130.95</v>
      </c>
    </row>
    <row r="1248" spans="1:5" ht="15" customHeight="1" x14ac:dyDescent="0.25">
      <c r="A1248" s="7" t="s">
        <v>1713</v>
      </c>
      <c r="B1248" s="3">
        <v>895046.64</v>
      </c>
      <c r="C1248" s="3">
        <v>521166.07</v>
      </c>
      <c r="D1248" s="3">
        <v>593702.52</v>
      </c>
      <c r="E1248" s="8">
        <v>2009915.23</v>
      </c>
    </row>
    <row r="1249" spans="1:5" ht="15" customHeight="1" x14ac:dyDescent="0.25">
      <c r="A1249" s="7" t="s">
        <v>1714</v>
      </c>
      <c r="B1249" s="3">
        <v>247411.41</v>
      </c>
      <c r="C1249" s="4" t="s">
        <v>1715</v>
      </c>
      <c r="D1249" s="3">
        <v>437618.36</v>
      </c>
      <c r="E1249" s="8">
        <v>560306.82999999996</v>
      </c>
    </row>
    <row r="1250" spans="1:5" ht="15" customHeight="1" x14ac:dyDescent="0.25">
      <c r="A1250" s="7" t="s">
        <v>1716</v>
      </c>
      <c r="B1250" s="3">
        <v>25201.59</v>
      </c>
      <c r="C1250" s="3">
        <v>4430.18</v>
      </c>
      <c r="D1250" s="3">
        <v>40028.629999999997</v>
      </c>
      <c r="E1250" s="8">
        <v>69660.399999999994</v>
      </c>
    </row>
    <row r="1251" spans="1:5" ht="15" customHeight="1" x14ac:dyDescent="0.25">
      <c r="A1251" s="7" t="s">
        <v>1719</v>
      </c>
      <c r="B1251" s="3">
        <v>859.41</v>
      </c>
      <c r="C1251" s="3">
        <v>1049.9000000000001</v>
      </c>
      <c r="D1251" s="3">
        <v>17692.36</v>
      </c>
      <c r="E1251" s="8">
        <v>19601.669999999998</v>
      </c>
    </row>
    <row r="1252" spans="1:5" ht="15" customHeight="1" x14ac:dyDescent="0.25">
      <c r="A1252" s="7" t="s">
        <v>1722</v>
      </c>
      <c r="B1252" s="3">
        <v>651438.53</v>
      </c>
      <c r="C1252" s="3">
        <v>327057.91999999998</v>
      </c>
      <c r="D1252" s="3">
        <v>363470.7</v>
      </c>
      <c r="E1252" s="8">
        <v>1341967.1499999999</v>
      </c>
    </row>
    <row r="1253" spans="1:5" ht="15" customHeight="1" x14ac:dyDescent="0.25">
      <c r="A1253" s="7" t="s">
        <v>1723</v>
      </c>
      <c r="B1253" s="3">
        <v>13042.08</v>
      </c>
      <c r="C1253" s="3">
        <v>3911.38</v>
      </c>
      <c r="D1253" s="3">
        <v>1486.78</v>
      </c>
      <c r="E1253" s="8">
        <v>18440.240000000002</v>
      </c>
    </row>
    <row r="1254" spans="1:5" ht="15" customHeight="1" x14ac:dyDescent="0.25">
      <c r="A1254" s="7" t="s">
        <v>1724</v>
      </c>
      <c r="B1254" s="3">
        <v>119847.44</v>
      </c>
      <c r="C1254" s="3">
        <v>66196.37</v>
      </c>
      <c r="D1254" s="3">
        <v>36477.64</v>
      </c>
      <c r="E1254" s="8">
        <v>222521.45</v>
      </c>
    </row>
    <row r="1255" spans="1:5" ht="15" customHeight="1" x14ac:dyDescent="0.25">
      <c r="A1255" s="7" t="s">
        <v>1725</v>
      </c>
      <c r="B1255" s="3">
        <v>291783.09999999998</v>
      </c>
      <c r="C1255" s="3">
        <v>218253</v>
      </c>
      <c r="D1255" s="3">
        <v>262660.8</v>
      </c>
      <c r="E1255" s="8">
        <v>772696.9</v>
      </c>
    </row>
    <row r="1256" spans="1:5" ht="15" customHeight="1" x14ac:dyDescent="0.25">
      <c r="A1256" s="7" t="s">
        <v>1726</v>
      </c>
      <c r="B1256" s="3">
        <v>364874.46</v>
      </c>
      <c r="C1256" s="3">
        <v>463475.25</v>
      </c>
      <c r="D1256" s="3">
        <v>428879.22</v>
      </c>
      <c r="E1256" s="8">
        <v>1257228.93</v>
      </c>
    </row>
    <row r="1257" spans="1:5" ht="15" customHeight="1" x14ac:dyDescent="0.25">
      <c r="A1257" s="7" t="s">
        <v>1727</v>
      </c>
      <c r="B1257" s="3">
        <v>354090.48</v>
      </c>
      <c r="C1257" s="3">
        <v>180187.11</v>
      </c>
      <c r="D1257" s="3">
        <v>550497.31999999995</v>
      </c>
      <c r="E1257" s="8">
        <v>1084774.9099999999</v>
      </c>
    </row>
    <row r="1258" spans="1:5" ht="15" customHeight="1" x14ac:dyDescent="0.25">
      <c r="A1258" s="7" t="s">
        <v>1728</v>
      </c>
      <c r="B1258" s="4" t="s">
        <v>1729</v>
      </c>
      <c r="C1258" s="4" t="s">
        <v>1730</v>
      </c>
      <c r="D1258" s="3">
        <v>5441.56</v>
      </c>
      <c r="E1258" s="11" t="s">
        <v>1731</v>
      </c>
    </row>
    <row r="1259" spans="1:5" ht="15" customHeight="1" x14ac:dyDescent="0.25">
      <c r="A1259" s="7" t="s">
        <v>1732</v>
      </c>
      <c r="B1259" s="4" t="s">
        <v>1733</v>
      </c>
      <c r="C1259" s="4" t="s">
        <v>1734</v>
      </c>
      <c r="D1259" s="3">
        <v>1854.36</v>
      </c>
      <c r="E1259" s="11" t="s">
        <v>1735</v>
      </c>
    </row>
    <row r="1260" spans="1:5" ht="15" customHeight="1" x14ac:dyDescent="0.25">
      <c r="A1260" s="7" t="s">
        <v>1736</v>
      </c>
      <c r="B1260" s="4" t="s">
        <v>1737</v>
      </c>
      <c r="C1260" s="3">
        <v>891.98</v>
      </c>
      <c r="D1260" s="4" t="s">
        <v>1738</v>
      </c>
      <c r="E1260" s="11" t="s">
        <v>1739</v>
      </c>
    </row>
    <row r="1261" spans="1:5" ht="15" customHeight="1" x14ac:dyDescent="0.25">
      <c r="A1261" s="7" t="s">
        <v>1740</v>
      </c>
      <c r="B1261" s="4" t="s">
        <v>1741</v>
      </c>
      <c r="C1261" s="4" t="s">
        <v>1742</v>
      </c>
      <c r="D1261" s="4" t="s">
        <v>1743</v>
      </c>
      <c r="E1261" s="11" t="s">
        <v>1744</v>
      </c>
    </row>
    <row r="1262" spans="1:5" ht="15" customHeight="1" x14ac:dyDescent="0.25">
      <c r="A1262" s="7" t="s">
        <v>1745</v>
      </c>
      <c r="B1262" s="3">
        <v>117697.82</v>
      </c>
      <c r="C1262" s="3">
        <v>102817.92</v>
      </c>
      <c r="D1262" s="3">
        <v>185565.07</v>
      </c>
      <c r="E1262" s="8">
        <v>406080.81</v>
      </c>
    </row>
    <row r="1263" spans="1:5" ht="15" customHeight="1" x14ac:dyDescent="0.25">
      <c r="A1263" s="7" t="s">
        <v>1747</v>
      </c>
      <c r="B1263" s="3">
        <v>341758.36</v>
      </c>
      <c r="C1263" s="3">
        <v>195018.17</v>
      </c>
      <c r="D1263" s="3">
        <v>256629.73</v>
      </c>
      <c r="E1263" s="8">
        <v>793406.26</v>
      </c>
    </row>
    <row r="1264" spans="1:5" ht="15" customHeight="1" x14ac:dyDescent="0.25">
      <c r="A1264" s="7" t="s">
        <v>1748</v>
      </c>
      <c r="B1264" s="3">
        <v>95990.7</v>
      </c>
      <c r="C1264" s="3">
        <v>153117.70000000001</v>
      </c>
      <c r="D1264" s="3">
        <v>108857.76</v>
      </c>
      <c r="E1264" s="8">
        <v>357966.16</v>
      </c>
    </row>
    <row r="1265" spans="1:5" ht="15" customHeight="1" x14ac:dyDescent="0.25">
      <c r="A1265" s="7" t="s">
        <v>1749</v>
      </c>
      <c r="B1265" s="3">
        <v>35640.769999999997</v>
      </c>
      <c r="C1265" s="3">
        <v>26677.9</v>
      </c>
      <c r="D1265" s="3">
        <v>37109.74</v>
      </c>
      <c r="E1265" s="8">
        <v>99428.41</v>
      </c>
    </row>
    <row r="1266" spans="1:5" ht="15" customHeight="1" x14ac:dyDescent="0.25">
      <c r="A1266" s="7" t="s">
        <v>1750</v>
      </c>
      <c r="B1266" s="3">
        <v>69127.460000000006</v>
      </c>
      <c r="C1266" s="3">
        <v>9482.69</v>
      </c>
      <c r="D1266" s="3">
        <v>49410.02</v>
      </c>
      <c r="E1266" s="8">
        <v>128020.17</v>
      </c>
    </row>
    <row r="1267" spans="1:5" ht="15" customHeight="1" x14ac:dyDescent="0.25">
      <c r="A1267" s="7" t="s">
        <v>1751</v>
      </c>
      <c r="B1267" s="3">
        <v>9157.9599999999991</v>
      </c>
      <c r="C1267" s="3">
        <v>20424.32</v>
      </c>
      <c r="D1267" s="3">
        <v>15614.41</v>
      </c>
      <c r="E1267" s="8">
        <v>45196.69</v>
      </c>
    </row>
    <row r="1268" spans="1:5" ht="15" customHeight="1" x14ac:dyDescent="0.25">
      <c r="A1268" s="7" t="s">
        <v>1752</v>
      </c>
      <c r="B1268" s="3">
        <v>25453.94</v>
      </c>
      <c r="C1268" s="3">
        <v>21996.04</v>
      </c>
      <c r="D1268" s="3">
        <v>31445.64</v>
      </c>
      <c r="E1268" s="8">
        <v>78895.62</v>
      </c>
    </row>
    <row r="1269" spans="1:5" ht="15" customHeight="1" x14ac:dyDescent="0.25">
      <c r="A1269" s="7" t="s">
        <v>1753</v>
      </c>
      <c r="B1269" s="3">
        <v>7284.5700000000097</v>
      </c>
      <c r="C1269" s="3">
        <v>33221.93</v>
      </c>
      <c r="D1269" s="3">
        <v>34163.9</v>
      </c>
      <c r="E1269" s="8">
        <v>74670.399999999994</v>
      </c>
    </row>
    <row r="1270" spans="1:5" ht="15" customHeight="1" x14ac:dyDescent="0.25">
      <c r="A1270" s="7" t="s">
        <v>1758</v>
      </c>
      <c r="B1270" s="3">
        <v>4681.5200000000004</v>
      </c>
      <c r="C1270" s="3">
        <v>3468.42</v>
      </c>
      <c r="D1270" s="3">
        <v>28828.41</v>
      </c>
      <c r="E1270" s="8">
        <v>36978.35</v>
      </c>
    </row>
    <row r="1271" spans="1:5" ht="15" customHeight="1" x14ac:dyDescent="0.25">
      <c r="A1271" s="7" t="s">
        <v>1760</v>
      </c>
      <c r="B1271" s="4" t="s">
        <v>1761</v>
      </c>
      <c r="C1271" s="4" t="s">
        <v>1762</v>
      </c>
      <c r="D1271" s="3">
        <v>1848.81</v>
      </c>
      <c r="E1271" s="11" t="s">
        <v>1763</v>
      </c>
    </row>
    <row r="1272" spans="1:5" ht="15" customHeight="1" x14ac:dyDescent="0.25">
      <c r="A1272" s="7" t="s">
        <v>1764</v>
      </c>
      <c r="B1272" s="3">
        <v>52667.040000000001</v>
      </c>
      <c r="C1272" s="3">
        <v>9168.15</v>
      </c>
      <c r="D1272" s="3">
        <v>49104.89</v>
      </c>
      <c r="E1272" s="8">
        <v>110940.08</v>
      </c>
    </row>
    <row r="1273" spans="1:5" ht="15" customHeight="1" x14ac:dyDescent="0.25">
      <c r="A1273" s="7" t="s">
        <v>1767</v>
      </c>
      <c r="B1273" s="4" t="s">
        <v>1768</v>
      </c>
      <c r="C1273" s="4" t="s">
        <v>1769</v>
      </c>
      <c r="D1273" s="4" t="s">
        <v>1770</v>
      </c>
      <c r="E1273" s="11" t="s">
        <v>1771</v>
      </c>
    </row>
    <row r="1274" spans="1:5" ht="15" customHeight="1" x14ac:dyDescent="0.25">
      <c r="A1274" s="7" t="s">
        <v>1772</v>
      </c>
      <c r="B1274" s="4" t="s">
        <v>1773</v>
      </c>
      <c r="C1274" s="4" t="s">
        <v>1774</v>
      </c>
      <c r="D1274" s="4" t="s">
        <v>1775</v>
      </c>
      <c r="E1274" s="11" t="s">
        <v>1776</v>
      </c>
    </row>
    <row r="1275" spans="1:5" ht="15" customHeight="1" x14ac:dyDescent="0.25">
      <c r="A1275" s="7" t="s">
        <v>1777</v>
      </c>
      <c r="B1275" s="4" t="s">
        <v>1778</v>
      </c>
      <c r="C1275" s="4" t="s">
        <v>1779</v>
      </c>
      <c r="D1275" s="4" t="s">
        <v>1780</v>
      </c>
      <c r="E1275" s="11" t="s">
        <v>1781</v>
      </c>
    </row>
    <row r="1276" spans="1:5" ht="15" customHeight="1" x14ac:dyDescent="0.25">
      <c r="A1276" s="7" t="s">
        <v>1782</v>
      </c>
      <c r="B1276" s="3">
        <v>15254.02</v>
      </c>
      <c r="C1276" s="4" t="s">
        <v>1023</v>
      </c>
      <c r="D1276" s="3">
        <v>4608.58</v>
      </c>
      <c r="E1276" s="8">
        <v>13086.2</v>
      </c>
    </row>
    <row r="1277" spans="1:5" ht="15" customHeight="1" x14ac:dyDescent="0.25">
      <c r="A1277" s="7" t="s">
        <v>1785</v>
      </c>
      <c r="B1277" s="3">
        <v>62136.800000000003</v>
      </c>
      <c r="C1277" s="3">
        <v>25961.02</v>
      </c>
      <c r="D1277" s="3">
        <v>39981.96</v>
      </c>
      <c r="E1277" s="8">
        <v>128079.78</v>
      </c>
    </row>
    <row r="1278" spans="1:5" ht="15" customHeight="1" x14ac:dyDescent="0.25">
      <c r="A1278" s="7" t="s">
        <v>1786</v>
      </c>
      <c r="B1278" s="3">
        <v>462867.82</v>
      </c>
      <c r="C1278" s="3">
        <v>206629.28</v>
      </c>
      <c r="D1278" s="3">
        <v>357275.82</v>
      </c>
      <c r="E1278" s="8">
        <v>1026772.92</v>
      </c>
    </row>
    <row r="1279" spans="1:5" ht="15" customHeight="1" x14ac:dyDescent="0.25">
      <c r="A1279" s="7" t="s">
        <v>1787</v>
      </c>
      <c r="B1279" s="3">
        <v>487922.31</v>
      </c>
      <c r="C1279" s="3">
        <v>234143</v>
      </c>
      <c r="D1279" s="3">
        <v>309269.56</v>
      </c>
      <c r="E1279" s="8">
        <v>1031334.87</v>
      </c>
    </row>
    <row r="1280" spans="1:5" ht="15" customHeight="1" x14ac:dyDescent="0.25">
      <c r="A1280" s="7" t="s">
        <v>1788</v>
      </c>
      <c r="B1280" s="3">
        <v>195024.77</v>
      </c>
      <c r="C1280" s="3">
        <v>62925.01</v>
      </c>
      <c r="D1280" s="3">
        <v>112257.47</v>
      </c>
      <c r="E1280" s="8">
        <v>370207.25</v>
      </c>
    </row>
    <row r="1281" spans="1:5" ht="15" customHeight="1" x14ac:dyDescent="0.25">
      <c r="A1281" s="7" t="s">
        <v>1789</v>
      </c>
      <c r="B1281" s="3">
        <v>117429.56</v>
      </c>
      <c r="C1281" s="3">
        <v>48479.32</v>
      </c>
      <c r="D1281" s="3">
        <v>79093.149999999994</v>
      </c>
      <c r="E1281" s="8">
        <v>245002.03</v>
      </c>
    </row>
    <row r="1282" spans="1:5" ht="15" customHeight="1" x14ac:dyDescent="0.25">
      <c r="A1282" s="7" t="s">
        <v>1790</v>
      </c>
      <c r="B1282" s="3">
        <v>145802.29</v>
      </c>
      <c r="C1282" s="3">
        <v>100706.5</v>
      </c>
      <c r="D1282" s="3">
        <v>236405.96</v>
      </c>
      <c r="E1282" s="8">
        <v>482914.75</v>
      </c>
    </row>
    <row r="1283" spans="1:5" ht="15" customHeight="1" x14ac:dyDescent="0.25">
      <c r="A1283" s="7" t="s">
        <v>1791</v>
      </c>
      <c r="B1283" s="3">
        <v>796294.97</v>
      </c>
      <c r="C1283" s="3">
        <v>248783.09</v>
      </c>
      <c r="D1283" s="3">
        <v>370383.14</v>
      </c>
      <c r="E1283" s="8">
        <v>1415461.2</v>
      </c>
    </row>
    <row r="1284" spans="1:5" ht="15" customHeight="1" x14ac:dyDescent="0.25">
      <c r="A1284" s="7" t="s">
        <v>1792</v>
      </c>
      <c r="B1284" s="3">
        <v>453006.74</v>
      </c>
      <c r="C1284" s="3">
        <v>193411.14</v>
      </c>
      <c r="D1284" s="3">
        <v>251575.89</v>
      </c>
      <c r="E1284" s="8">
        <v>897993.77</v>
      </c>
    </row>
    <row r="1285" spans="1:5" ht="15" customHeight="1" x14ac:dyDescent="0.25">
      <c r="A1285" s="7" t="s">
        <v>1793</v>
      </c>
      <c r="B1285" s="3">
        <v>44922.27</v>
      </c>
      <c r="C1285" s="4" t="s">
        <v>1794</v>
      </c>
      <c r="D1285" s="3">
        <v>29454.17</v>
      </c>
      <c r="E1285" s="8">
        <v>33166.28</v>
      </c>
    </row>
    <row r="1286" spans="1:5" ht="15" customHeight="1" x14ac:dyDescent="0.25">
      <c r="A1286" s="7" t="s">
        <v>1795</v>
      </c>
      <c r="B1286" s="3">
        <v>12350.28</v>
      </c>
      <c r="C1286" s="3">
        <v>14080.21</v>
      </c>
      <c r="D1286" s="3">
        <v>15471.93</v>
      </c>
      <c r="E1286" s="8">
        <v>41902.42</v>
      </c>
    </row>
    <row r="1287" spans="1:5" ht="15" customHeight="1" x14ac:dyDescent="0.25">
      <c r="A1287" s="7" t="s">
        <v>1796</v>
      </c>
      <c r="B1287" s="3">
        <v>195962.87</v>
      </c>
      <c r="C1287" s="3">
        <v>38470.33</v>
      </c>
      <c r="D1287" s="3">
        <v>132300.35999999999</v>
      </c>
      <c r="E1287" s="8">
        <v>366733.56</v>
      </c>
    </row>
    <row r="1288" spans="1:5" ht="15" customHeight="1" x14ac:dyDescent="0.25">
      <c r="A1288" s="7" t="s">
        <v>1797</v>
      </c>
      <c r="B1288" s="3">
        <v>66218.28</v>
      </c>
      <c r="C1288" s="3">
        <v>17926.240000000002</v>
      </c>
      <c r="D1288" s="3">
        <v>6492.34</v>
      </c>
      <c r="E1288" s="8">
        <v>90636.86</v>
      </c>
    </row>
    <row r="1289" spans="1:5" ht="15" customHeight="1" x14ac:dyDescent="0.25">
      <c r="A1289" s="7" t="s">
        <v>1798</v>
      </c>
      <c r="B1289" s="3">
        <v>53481.15</v>
      </c>
      <c r="C1289" s="3">
        <v>21223.57</v>
      </c>
      <c r="D1289" s="3">
        <v>53986.57</v>
      </c>
      <c r="E1289" s="8">
        <v>128691.29</v>
      </c>
    </row>
    <row r="1290" spans="1:5" ht="15" customHeight="1" x14ac:dyDescent="0.25">
      <c r="A1290" s="7" t="s">
        <v>1799</v>
      </c>
      <c r="B1290" s="3">
        <v>1380172.71</v>
      </c>
      <c r="C1290" s="3">
        <v>1007130.31</v>
      </c>
      <c r="D1290" s="3">
        <v>1114182.29</v>
      </c>
      <c r="E1290" s="8">
        <v>3501485.31</v>
      </c>
    </row>
    <row r="1291" spans="1:5" ht="15" customHeight="1" x14ac:dyDescent="0.25">
      <c r="A1291" s="7" t="s">
        <v>1800</v>
      </c>
      <c r="B1291" s="3">
        <v>991147.8</v>
      </c>
      <c r="C1291" s="3">
        <v>617936.73</v>
      </c>
      <c r="D1291" s="3">
        <v>751799.75</v>
      </c>
      <c r="E1291" s="8">
        <v>2360884.2799999998</v>
      </c>
    </row>
    <row r="1292" spans="1:5" ht="15" customHeight="1" x14ac:dyDescent="0.25">
      <c r="A1292" s="7" t="s">
        <v>1802</v>
      </c>
      <c r="B1292" s="3">
        <v>182758.57</v>
      </c>
      <c r="C1292" s="3">
        <v>240779.53</v>
      </c>
      <c r="D1292" s="3">
        <v>103230.56</v>
      </c>
      <c r="E1292" s="8">
        <v>526768.66</v>
      </c>
    </row>
    <row r="1293" spans="1:5" ht="15" customHeight="1" x14ac:dyDescent="0.25">
      <c r="A1293" s="7" t="s">
        <v>1803</v>
      </c>
      <c r="B1293" s="3">
        <v>10354.84</v>
      </c>
      <c r="C1293" s="4" t="s">
        <v>1804</v>
      </c>
      <c r="D1293" s="3">
        <v>2998.52</v>
      </c>
      <c r="E1293" s="8">
        <v>7838.21000000001</v>
      </c>
    </row>
    <row r="1294" spans="1:5" ht="15" customHeight="1" x14ac:dyDescent="0.25">
      <c r="A1294" s="7" t="s">
        <v>1805</v>
      </c>
      <c r="B1294" s="3">
        <v>292540.28999999998</v>
      </c>
      <c r="C1294" s="3">
        <v>282539.09000000003</v>
      </c>
      <c r="D1294" s="3">
        <v>162910.63</v>
      </c>
      <c r="E1294" s="8">
        <v>737990.01</v>
      </c>
    </row>
    <row r="1295" spans="1:5" ht="15" customHeight="1" x14ac:dyDescent="0.25">
      <c r="A1295" s="7" t="s">
        <v>1806</v>
      </c>
      <c r="B1295" s="3">
        <v>46014.53</v>
      </c>
      <c r="C1295" s="3">
        <v>12394.15</v>
      </c>
      <c r="D1295" s="3">
        <v>1617.36</v>
      </c>
      <c r="E1295" s="8">
        <v>60026.04</v>
      </c>
    </row>
    <row r="1296" spans="1:5" ht="15" customHeight="1" x14ac:dyDescent="0.25">
      <c r="A1296" s="7" t="s">
        <v>1807</v>
      </c>
      <c r="B1296" s="3">
        <v>126074.85</v>
      </c>
      <c r="C1296" s="3">
        <v>16954.740000000002</v>
      </c>
      <c r="D1296" s="3">
        <v>16905.419999999998</v>
      </c>
      <c r="E1296" s="8">
        <v>159935.01</v>
      </c>
    </row>
    <row r="1297" spans="1:5" ht="15" customHeight="1" x14ac:dyDescent="0.25">
      <c r="A1297" s="7" t="s">
        <v>1808</v>
      </c>
      <c r="B1297" s="4" t="s">
        <v>1809</v>
      </c>
      <c r="C1297" s="3">
        <v>13040.08</v>
      </c>
      <c r="D1297" s="4" t="s">
        <v>1810</v>
      </c>
      <c r="E1297" s="11" t="s">
        <v>1811</v>
      </c>
    </row>
    <row r="1298" spans="1:5" ht="15" customHeight="1" x14ac:dyDescent="0.25">
      <c r="A1298" s="7" t="s">
        <v>1812</v>
      </c>
      <c r="B1298" s="3">
        <v>142482.23000000001</v>
      </c>
      <c r="C1298" s="4" t="s">
        <v>1813</v>
      </c>
      <c r="D1298" s="4" t="s">
        <v>1814</v>
      </c>
      <c r="E1298" s="8">
        <v>33993.21</v>
      </c>
    </row>
    <row r="1299" spans="1:5" ht="15" customHeight="1" x14ac:dyDescent="0.25">
      <c r="A1299" s="7" t="s">
        <v>1816</v>
      </c>
      <c r="B1299" s="3">
        <v>5875.32</v>
      </c>
      <c r="C1299" s="3">
        <v>4912.5</v>
      </c>
      <c r="D1299" s="3">
        <v>9552.39</v>
      </c>
      <c r="E1299" s="8">
        <v>20340.21</v>
      </c>
    </row>
    <row r="1300" spans="1:5" ht="15" customHeight="1" x14ac:dyDescent="0.25">
      <c r="A1300" s="7" t="s">
        <v>1817</v>
      </c>
      <c r="B1300" s="4" t="s">
        <v>1818</v>
      </c>
      <c r="C1300" s="4" t="s">
        <v>1819</v>
      </c>
      <c r="D1300" s="4" t="s">
        <v>1820</v>
      </c>
      <c r="E1300" s="11" t="s">
        <v>1821</v>
      </c>
    </row>
    <row r="1301" spans="1:5" ht="15" customHeight="1" x14ac:dyDescent="0.25">
      <c r="A1301" s="7" t="s">
        <v>1822</v>
      </c>
      <c r="B1301" s="3">
        <v>13645.26</v>
      </c>
      <c r="C1301" s="3">
        <v>65489.23</v>
      </c>
      <c r="D1301" s="3">
        <v>70113.759999999995</v>
      </c>
      <c r="E1301" s="8">
        <v>149248.25</v>
      </c>
    </row>
    <row r="1302" spans="1:5" ht="15" customHeight="1" x14ac:dyDescent="0.25">
      <c r="A1302" s="7" t="s">
        <v>1823</v>
      </c>
      <c r="B1302" s="3">
        <v>14615.8</v>
      </c>
      <c r="C1302" s="4" t="s">
        <v>1824</v>
      </c>
      <c r="D1302" s="4" t="s">
        <v>1825</v>
      </c>
      <c r="E1302" s="8">
        <v>1052.1600000000101</v>
      </c>
    </row>
    <row r="1303" spans="1:5" ht="15" customHeight="1" x14ac:dyDescent="0.25">
      <c r="A1303" s="7" t="s">
        <v>1826</v>
      </c>
      <c r="B1303" s="3">
        <v>7529.13</v>
      </c>
      <c r="C1303" s="4" t="s">
        <v>1827</v>
      </c>
      <c r="D1303" s="4" t="s">
        <v>1828</v>
      </c>
      <c r="E1303" s="11" t="s">
        <v>1829</v>
      </c>
    </row>
    <row r="1304" spans="1:5" ht="15" customHeight="1" x14ac:dyDescent="0.25">
      <c r="A1304" s="7" t="s">
        <v>1830</v>
      </c>
      <c r="B1304" s="3">
        <v>53991.61</v>
      </c>
      <c r="C1304" s="3">
        <v>6264.07</v>
      </c>
      <c r="D1304" s="3">
        <v>27539.89</v>
      </c>
      <c r="E1304" s="8">
        <v>87795.57</v>
      </c>
    </row>
    <row r="1305" spans="1:5" ht="15" customHeight="1" x14ac:dyDescent="0.25">
      <c r="A1305" s="7" t="s">
        <v>1831</v>
      </c>
      <c r="B1305" s="3">
        <v>32450.99</v>
      </c>
      <c r="C1305" s="3">
        <v>7881.62</v>
      </c>
      <c r="D1305" s="3">
        <v>11643.48</v>
      </c>
      <c r="E1305" s="8">
        <v>51976.09</v>
      </c>
    </row>
    <row r="1306" spans="1:5" ht="15" customHeight="1" x14ac:dyDescent="0.25">
      <c r="A1306" s="7" t="s">
        <v>1832</v>
      </c>
      <c r="B1306" s="4" t="s">
        <v>1833</v>
      </c>
      <c r="C1306" s="3">
        <v>7175.77</v>
      </c>
      <c r="D1306" s="3">
        <v>62557.57</v>
      </c>
      <c r="E1306" s="8">
        <v>55353.87</v>
      </c>
    </row>
    <row r="1307" spans="1:5" ht="15" customHeight="1" x14ac:dyDescent="0.25">
      <c r="A1307" s="7" t="s">
        <v>1834</v>
      </c>
      <c r="B1307" s="4" t="s">
        <v>1835</v>
      </c>
      <c r="C1307" s="3">
        <v>384.55999999999801</v>
      </c>
      <c r="D1307" s="4" t="s">
        <v>1836</v>
      </c>
      <c r="E1307" s="11" t="s">
        <v>1837</v>
      </c>
    </row>
    <row r="1308" spans="1:5" ht="15" customHeight="1" x14ac:dyDescent="0.25">
      <c r="A1308" s="7" t="s">
        <v>1838</v>
      </c>
      <c r="B1308" s="3">
        <v>268324.11</v>
      </c>
      <c r="C1308" s="3">
        <v>103683.09</v>
      </c>
      <c r="D1308" s="3">
        <v>103533.78</v>
      </c>
      <c r="E1308" s="8">
        <v>475540.98</v>
      </c>
    </row>
    <row r="1309" spans="1:5" ht="15" customHeight="1" x14ac:dyDescent="0.25">
      <c r="A1309" s="7" t="s">
        <v>1841</v>
      </c>
      <c r="B1309" s="3">
        <v>7282.51</v>
      </c>
      <c r="C1309" s="3">
        <v>20151.419999999998</v>
      </c>
      <c r="D1309" s="3">
        <v>6211.35</v>
      </c>
      <c r="E1309" s="8">
        <v>33645.279999999999</v>
      </c>
    </row>
    <row r="1310" spans="1:5" ht="15" customHeight="1" x14ac:dyDescent="0.25">
      <c r="A1310" s="7" t="s">
        <v>1842</v>
      </c>
      <c r="B1310" s="3">
        <v>12916.48</v>
      </c>
      <c r="C1310" s="3">
        <v>44374.5</v>
      </c>
      <c r="D1310" s="3">
        <v>47737.08</v>
      </c>
      <c r="E1310" s="8">
        <v>105028.06</v>
      </c>
    </row>
    <row r="1311" spans="1:5" ht="15" customHeight="1" x14ac:dyDescent="0.25">
      <c r="A1311" s="7" t="s">
        <v>1843</v>
      </c>
      <c r="B1311" s="3">
        <v>6062.75</v>
      </c>
      <c r="C1311" s="3">
        <v>61762.559999999998</v>
      </c>
      <c r="D1311" s="3">
        <v>46522.96</v>
      </c>
      <c r="E1311" s="8">
        <v>114348.27</v>
      </c>
    </row>
    <row r="1312" spans="1:5" ht="15" customHeight="1" x14ac:dyDescent="0.25">
      <c r="A1312" s="7" t="s">
        <v>1844</v>
      </c>
      <c r="B1312" s="3">
        <v>2932.17</v>
      </c>
      <c r="C1312" s="3">
        <v>28742.59</v>
      </c>
      <c r="D1312" s="3">
        <v>31436.79</v>
      </c>
      <c r="E1312" s="8">
        <v>63111.55</v>
      </c>
    </row>
    <row r="1313" spans="1:5" ht="15" customHeight="1" x14ac:dyDescent="0.25">
      <c r="A1313" s="7" t="s">
        <v>1845</v>
      </c>
      <c r="B1313" s="3">
        <v>22037.11</v>
      </c>
      <c r="C1313" s="3">
        <v>146901.79</v>
      </c>
      <c r="D1313" s="3">
        <v>76512.850000000006</v>
      </c>
      <c r="E1313" s="8">
        <v>245451.75</v>
      </c>
    </row>
    <row r="1314" spans="1:5" ht="15" customHeight="1" x14ac:dyDescent="0.25">
      <c r="A1314" s="7" t="s">
        <v>1846</v>
      </c>
      <c r="B1314" s="3">
        <v>74699.509999999995</v>
      </c>
      <c r="C1314" s="3">
        <v>152602.07</v>
      </c>
      <c r="D1314" s="3">
        <v>72014.880000000005</v>
      </c>
      <c r="E1314" s="8">
        <v>299316.46000000002</v>
      </c>
    </row>
    <row r="1315" spans="1:5" ht="15" customHeight="1" x14ac:dyDescent="0.25">
      <c r="A1315" s="7" t="s">
        <v>1847</v>
      </c>
      <c r="B1315" s="3">
        <v>404832.99</v>
      </c>
      <c r="C1315" s="3">
        <v>7831.38</v>
      </c>
      <c r="D1315" s="3">
        <v>211451.46</v>
      </c>
      <c r="E1315" s="8">
        <v>624115.82999999996</v>
      </c>
    </row>
    <row r="1316" spans="1:5" ht="15" customHeight="1" x14ac:dyDescent="0.25">
      <c r="A1316" s="7" t="s">
        <v>1848</v>
      </c>
      <c r="B1316" s="3">
        <v>5202.92</v>
      </c>
      <c r="C1316" s="3">
        <v>35218.49</v>
      </c>
      <c r="D1316" s="3">
        <v>55212.57</v>
      </c>
      <c r="E1316" s="8">
        <v>95633.98</v>
      </c>
    </row>
    <row r="1317" spans="1:5" ht="15" customHeight="1" x14ac:dyDescent="0.25">
      <c r="A1317" s="7" t="s">
        <v>1849</v>
      </c>
      <c r="B1317" s="3">
        <v>12634.13</v>
      </c>
      <c r="C1317" s="3">
        <v>26456.3</v>
      </c>
      <c r="D1317" s="3">
        <v>39614.980000000003</v>
      </c>
      <c r="E1317" s="8">
        <v>78705.41</v>
      </c>
    </row>
    <row r="1318" spans="1:5" ht="15" customHeight="1" x14ac:dyDescent="0.25">
      <c r="A1318" s="7" t="s">
        <v>1850</v>
      </c>
      <c r="B1318" s="3">
        <v>1548.48</v>
      </c>
      <c r="C1318" s="3">
        <v>17406.47</v>
      </c>
      <c r="D1318" s="3">
        <v>2199.64</v>
      </c>
      <c r="E1318" s="8">
        <v>21154.59</v>
      </c>
    </row>
    <row r="1319" spans="1:5" ht="15" customHeight="1" x14ac:dyDescent="0.25">
      <c r="A1319" s="7" t="s">
        <v>1851</v>
      </c>
      <c r="B1319" s="3">
        <v>546583.88</v>
      </c>
      <c r="C1319" s="3">
        <v>579067.55000000005</v>
      </c>
      <c r="D1319" s="3">
        <v>382431.91</v>
      </c>
      <c r="E1319" s="8">
        <v>1508083.34</v>
      </c>
    </row>
    <row r="1320" spans="1:5" ht="15" customHeight="1" x14ac:dyDescent="0.25">
      <c r="A1320" s="7" t="s">
        <v>1852</v>
      </c>
      <c r="B1320" s="3">
        <v>556077.31999999995</v>
      </c>
      <c r="C1320" s="4" t="s">
        <v>1853</v>
      </c>
      <c r="D1320" s="3">
        <v>200143.78</v>
      </c>
      <c r="E1320" s="8">
        <v>746441.04</v>
      </c>
    </row>
    <row r="1321" spans="1:5" ht="15" customHeight="1" x14ac:dyDescent="0.25">
      <c r="A1321" s="7" t="s">
        <v>1855</v>
      </c>
      <c r="B1321" s="3">
        <v>69227.8</v>
      </c>
      <c r="C1321" s="3">
        <v>33627.599999999999</v>
      </c>
      <c r="D1321" s="3">
        <v>128114.8</v>
      </c>
      <c r="E1321" s="8">
        <v>230970.2</v>
      </c>
    </row>
    <row r="1322" spans="1:5" ht="15" customHeight="1" x14ac:dyDescent="0.25">
      <c r="A1322" s="7" t="s">
        <v>1856</v>
      </c>
      <c r="B1322" s="3">
        <v>1029850.52</v>
      </c>
      <c r="C1322" s="3">
        <v>539047.54</v>
      </c>
      <c r="D1322" s="3">
        <v>544922.86</v>
      </c>
      <c r="E1322" s="8">
        <v>2113820.92</v>
      </c>
    </row>
    <row r="1323" spans="1:5" ht="15" customHeight="1" x14ac:dyDescent="0.25">
      <c r="A1323" s="7" t="s">
        <v>1857</v>
      </c>
      <c r="B1323" s="3">
        <v>35034.519999999997</v>
      </c>
      <c r="C1323" s="3">
        <v>17284.98</v>
      </c>
      <c r="D1323" s="3">
        <v>8554.5300000000007</v>
      </c>
      <c r="E1323" s="8">
        <v>60874.03</v>
      </c>
    </row>
    <row r="1324" spans="1:5" ht="15" customHeight="1" x14ac:dyDescent="0.25">
      <c r="A1324" s="7" t="s">
        <v>1858</v>
      </c>
      <c r="B1324" s="3">
        <v>25557</v>
      </c>
      <c r="C1324" s="3">
        <v>9608.59</v>
      </c>
      <c r="D1324" s="3">
        <v>11894.71</v>
      </c>
      <c r="E1324" s="8">
        <v>47060.3</v>
      </c>
    </row>
    <row r="1325" spans="1:5" ht="15" customHeight="1" x14ac:dyDescent="0.25">
      <c r="A1325" s="7" t="s">
        <v>1859</v>
      </c>
      <c r="B1325" s="3">
        <v>161363.37</v>
      </c>
      <c r="C1325" s="3">
        <v>100313.56</v>
      </c>
      <c r="D1325" s="3">
        <v>123070.33</v>
      </c>
      <c r="E1325" s="8">
        <v>384747.26</v>
      </c>
    </row>
    <row r="1326" spans="1:5" ht="15" customHeight="1" x14ac:dyDescent="0.25">
      <c r="A1326" s="7" t="s">
        <v>1860</v>
      </c>
      <c r="B1326" s="3">
        <v>77209.460000000006</v>
      </c>
      <c r="C1326" s="3">
        <v>49149.51</v>
      </c>
      <c r="D1326" s="3">
        <v>39880.120000000003</v>
      </c>
      <c r="E1326" s="8">
        <v>166239.09</v>
      </c>
    </row>
    <row r="1327" spans="1:5" ht="15" customHeight="1" x14ac:dyDescent="0.25">
      <c r="A1327" s="7" t="s">
        <v>1861</v>
      </c>
      <c r="B1327" s="3">
        <v>62163.93</v>
      </c>
      <c r="C1327" s="3">
        <v>29511.89</v>
      </c>
      <c r="D1327" s="3">
        <v>28948.31</v>
      </c>
      <c r="E1327" s="8">
        <v>120624.13</v>
      </c>
    </row>
    <row r="1328" spans="1:5" ht="15" customHeight="1" x14ac:dyDescent="0.25">
      <c r="A1328" s="7" t="s">
        <v>1862</v>
      </c>
      <c r="B1328" s="3">
        <v>109494.72</v>
      </c>
      <c r="C1328" s="3">
        <v>2849.87</v>
      </c>
      <c r="D1328" s="3">
        <v>158992.81</v>
      </c>
      <c r="E1328" s="8">
        <v>271337.40000000002</v>
      </c>
    </row>
    <row r="1329" spans="1:5" ht="15" customHeight="1" x14ac:dyDescent="0.25">
      <c r="A1329" s="7" t="s">
        <v>1863</v>
      </c>
      <c r="B1329" s="3">
        <v>191777.87</v>
      </c>
      <c r="C1329" s="3">
        <v>153815.95000000001</v>
      </c>
      <c r="D1329" s="3">
        <v>223872.18</v>
      </c>
      <c r="E1329" s="8">
        <v>569466</v>
      </c>
    </row>
    <row r="1330" spans="1:5" ht="15" customHeight="1" x14ac:dyDescent="0.25">
      <c r="A1330" s="7" t="s">
        <v>1864</v>
      </c>
      <c r="B1330" s="3">
        <v>113662.42</v>
      </c>
      <c r="C1330" s="3">
        <v>65958.7</v>
      </c>
      <c r="D1330" s="3">
        <v>93323.96</v>
      </c>
      <c r="E1330" s="8">
        <v>272945.08</v>
      </c>
    </row>
    <row r="1331" spans="1:5" ht="15" customHeight="1" x14ac:dyDescent="0.25">
      <c r="A1331" s="7" t="s">
        <v>1865</v>
      </c>
      <c r="B1331" s="3">
        <v>77482.429999999993</v>
      </c>
      <c r="C1331" s="3">
        <v>48738.62</v>
      </c>
      <c r="D1331" s="3">
        <v>110959.5</v>
      </c>
      <c r="E1331" s="8">
        <v>237180.55</v>
      </c>
    </row>
    <row r="1332" spans="1:5" ht="15" customHeight="1" x14ac:dyDescent="0.25">
      <c r="A1332" s="7" t="s">
        <v>1866</v>
      </c>
      <c r="B1332" s="3">
        <v>92639.8</v>
      </c>
      <c r="C1332" s="3">
        <v>71202.149999999994</v>
      </c>
      <c r="D1332" s="3">
        <v>98886.91</v>
      </c>
      <c r="E1332" s="8">
        <v>262728.86</v>
      </c>
    </row>
    <row r="1333" spans="1:5" ht="15" customHeight="1" x14ac:dyDescent="0.25">
      <c r="A1333" s="7" t="s">
        <v>1867</v>
      </c>
      <c r="B1333" s="3">
        <v>188041.4</v>
      </c>
      <c r="C1333" s="3">
        <v>239243.79</v>
      </c>
      <c r="D1333" s="3">
        <v>240539.79</v>
      </c>
      <c r="E1333" s="8">
        <v>667824.98</v>
      </c>
    </row>
    <row r="1334" spans="1:5" ht="15" customHeight="1" x14ac:dyDescent="0.25">
      <c r="A1334" s="7" t="s">
        <v>1868</v>
      </c>
      <c r="B1334" s="3">
        <v>70648.59</v>
      </c>
      <c r="C1334" s="3">
        <v>12281.48</v>
      </c>
      <c r="D1334" s="3">
        <v>7530.06</v>
      </c>
      <c r="E1334" s="8">
        <v>90460.13</v>
      </c>
    </row>
    <row r="1335" spans="1:5" ht="15" customHeight="1" x14ac:dyDescent="0.25">
      <c r="A1335" s="7" t="s">
        <v>1869</v>
      </c>
      <c r="B1335" s="3">
        <v>711973.63</v>
      </c>
      <c r="C1335" s="3">
        <v>408464.98</v>
      </c>
      <c r="D1335" s="3">
        <v>520025.11</v>
      </c>
      <c r="E1335" s="8">
        <v>1640463.72</v>
      </c>
    </row>
    <row r="1336" spans="1:5" ht="15" customHeight="1" x14ac:dyDescent="0.25">
      <c r="A1336" s="7" t="s">
        <v>1870</v>
      </c>
      <c r="B1336" s="3">
        <v>249938.34</v>
      </c>
      <c r="C1336" s="3">
        <v>274153.26</v>
      </c>
      <c r="D1336" s="3">
        <v>273090.98</v>
      </c>
      <c r="E1336" s="8">
        <v>797182.58</v>
      </c>
    </row>
    <row r="1337" spans="1:5" ht="15" customHeight="1" x14ac:dyDescent="0.25">
      <c r="A1337" s="7" t="s">
        <v>1871</v>
      </c>
      <c r="B1337" s="3">
        <v>19740.2</v>
      </c>
      <c r="C1337" s="3">
        <v>16660.75</v>
      </c>
      <c r="D1337" s="3">
        <v>21084.13</v>
      </c>
      <c r="E1337" s="8">
        <v>57485.08</v>
      </c>
    </row>
    <row r="1338" spans="1:5" ht="15" customHeight="1" x14ac:dyDescent="0.25">
      <c r="A1338" s="7" t="s">
        <v>1872</v>
      </c>
      <c r="B1338" s="3">
        <v>90895.039999999994</v>
      </c>
      <c r="C1338" s="3">
        <v>134395.53</v>
      </c>
      <c r="D1338" s="3">
        <v>125963.65</v>
      </c>
      <c r="E1338" s="8">
        <v>351254.22</v>
      </c>
    </row>
    <row r="1339" spans="1:5" ht="15" customHeight="1" x14ac:dyDescent="0.25">
      <c r="A1339" s="7" t="s">
        <v>1873</v>
      </c>
      <c r="B1339" s="3">
        <v>334330.67</v>
      </c>
      <c r="C1339" s="3">
        <v>229669.24</v>
      </c>
      <c r="D1339" s="3">
        <v>289126.15999999997</v>
      </c>
      <c r="E1339" s="8">
        <v>853126.07</v>
      </c>
    </row>
    <row r="1340" spans="1:5" ht="15" customHeight="1" x14ac:dyDescent="0.25">
      <c r="A1340" s="7" t="s">
        <v>1874</v>
      </c>
      <c r="B1340" s="3">
        <v>116717.78</v>
      </c>
      <c r="C1340" s="3">
        <v>76070.559999999998</v>
      </c>
      <c r="D1340" s="3">
        <v>82433.119999999995</v>
      </c>
      <c r="E1340" s="8">
        <v>275221.46000000002</v>
      </c>
    </row>
    <row r="1341" spans="1:5" ht="15" customHeight="1" x14ac:dyDescent="0.25">
      <c r="A1341" s="7" t="s">
        <v>1875</v>
      </c>
      <c r="B1341" s="3">
        <v>104758.84</v>
      </c>
      <c r="C1341" s="3">
        <v>46054.9</v>
      </c>
      <c r="D1341" s="3">
        <v>66830.55</v>
      </c>
      <c r="E1341" s="8">
        <v>217644.29</v>
      </c>
    </row>
    <row r="1342" spans="1:5" ht="15" customHeight="1" x14ac:dyDescent="0.25">
      <c r="A1342" s="7" t="s">
        <v>1876</v>
      </c>
      <c r="B1342" s="3">
        <v>71876.69</v>
      </c>
      <c r="C1342" s="3">
        <v>46385.73</v>
      </c>
      <c r="D1342" s="3">
        <v>64422.400000000001</v>
      </c>
      <c r="E1342" s="8">
        <v>182684.82</v>
      </c>
    </row>
    <row r="1343" spans="1:5" ht="15" customHeight="1" x14ac:dyDescent="0.25">
      <c r="A1343" s="7" t="s">
        <v>1877</v>
      </c>
      <c r="B1343" s="3">
        <v>305099.24</v>
      </c>
      <c r="C1343" s="3">
        <v>291561.78999999998</v>
      </c>
      <c r="D1343" s="3">
        <v>264095.49</v>
      </c>
      <c r="E1343" s="8">
        <v>860756.52</v>
      </c>
    </row>
    <row r="1344" spans="1:5" ht="15" customHeight="1" x14ac:dyDescent="0.25">
      <c r="A1344" s="7" t="s">
        <v>1878</v>
      </c>
      <c r="B1344" s="3">
        <v>256892.92</v>
      </c>
      <c r="C1344" s="3">
        <v>105835.45</v>
      </c>
      <c r="D1344" s="3">
        <v>205327.68</v>
      </c>
      <c r="E1344" s="8">
        <v>568056.05000000005</v>
      </c>
    </row>
    <row r="1345" spans="1:5" x14ac:dyDescent="0.25">
      <c r="A1345" s="9" t="s">
        <v>6</v>
      </c>
      <c r="B1345" s="10">
        <v>305299264.27999997</v>
      </c>
      <c r="C1345" s="10">
        <v>196564525.549999</v>
      </c>
      <c r="D1345" s="10">
        <v>350890749.96000099</v>
      </c>
      <c r="E1345" s="10">
        <v>852754539.78999698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93"/>
  <sheetViews>
    <sheetView tabSelected="1" workbookViewId="0">
      <selection activeCell="J4" sqref="J4"/>
    </sheetView>
  </sheetViews>
  <sheetFormatPr defaultRowHeight="15" x14ac:dyDescent="0.25"/>
  <cols>
    <col min="1" max="1" width="21.5703125" customWidth="1"/>
    <col min="2" max="2" width="15.5703125" customWidth="1"/>
    <col min="3" max="3" width="15" customWidth="1"/>
    <col min="4" max="4" width="20.7109375" customWidth="1"/>
    <col min="5" max="5" width="10.7109375" customWidth="1"/>
    <col min="8" max="8" width="22.5703125" bestFit="1" customWidth="1"/>
  </cols>
  <sheetData>
    <row r="1" spans="1:8" ht="23.25" thickBot="1" x14ac:dyDescent="0.3">
      <c r="A1" s="40" t="s">
        <v>2</v>
      </c>
      <c r="B1" s="37" t="s">
        <v>3</v>
      </c>
      <c r="C1" s="37" t="s">
        <v>4</v>
      </c>
      <c r="D1" s="37" t="s">
        <v>5</v>
      </c>
      <c r="E1" s="38" t="s">
        <v>6</v>
      </c>
      <c r="F1" s="43" t="s">
        <v>1888</v>
      </c>
      <c r="G1" s="43" t="s">
        <v>1889</v>
      </c>
      <c r="H1" s="43" t="s">
        <v>1890</v>
      </c>
    </row>
    <row r="2" spans="1:8" ht="23.25" thickTop="1" x14ac:dyDescent="0.25">
      <c r="A2" s="39" t="s">
        <v>7</v>
      </c>
      <c r="B2" s="29">
        <v>264456.68</v>
      </c>
      <c r="C2" s="29">
        <v>130570.38</v>
      </c>
      <c r="D2" s="29">
        <v>157768.79</v>
      </c>
      <c r="E2" s="30">
        <v>552795.85</v>
      </c>
      <c r="F2" t="str">
        <f>LEFT(Table2[[#This Row],[Building]],2)</f>
        <v>AK</v>
      </c>
      <c r="G2" t="str">
        <f>LEFT(Table2[[#This Row],[Building]],8)</f>
        <v>AK0001ZZ</v>
      </c>
      <c r="H2" t="str">
        <f>RIGHT(Table2[[#This Row],[Building]],LEN(Table2[[#This Row],[Building]])-9)</f>
        <v>Anchorage Fed Build</v>
      </c>
    </row>
    <row r="3" spans="1:8" x14ac:dyDescent="0.25">
      <c r="A3" s="39" t="s">
        <v>8</v>
      </c>
      <c r="B3" s="31">
        <v>96703.28</v>
      </c>
      <c r="C3" s="31">
        <v>76128.25</v>
      </c>
      <c r="D3" s="31">
        <v>131215.32999999999</v>
      </c>
      <c r="E3" s="30">
        <v>304046.86</v>
      </c>
      <c r="F3" t="str">
        <f>LEFT(Table2[[#This Row],[Building]],2)</f>
        <v>AK</v>
      </c>
      <c r="G3" t="str">
        <f>LEFT(Table2[[#This Row],[Building]],8)</f>
        <v>AK0005AK</v>
      </c>
      <c r="H3" t="str">
        <f>RIGHT(Table2[[#This Row],[Building]],LEN(Table2[[#This Row],[Building]])-9)</f>
        <v>Federal</v>
      </c>
    </row>
    <row r="4" spans="1:8" ht="22.5" x14ac:dyDescent="0.25">
      <c r="A4" s="39" t="s">
        <v>9</v>
      </c>
      <c r="B4" s="29">
        <v>562040.54</v>
      </c>
      <c r="C4" s="29">
        <v>473583.56</v>
      </c>
      <c r="D4" s="29">
        <v>475997.31</v>
      </c>
      <c r="E4" s="30">
        <v>1511621.41</v>
      </c>
      <c r="F4" t="str">
        <f>LEFT(Table2[[#This Row],[Building]],2)</f>
        <v>AK</v>
      </c>
      <c r="G4" t="str">
        <f>LEFT(Table2[[#This Row],[Building]],8)</f>
        <v>AK0013ZZ</v>
      </c>
      <c r="H4" t="str">
        <f>RIGHT(Table2[[#This Row],[Building]],LEN(Table2[[#This Row],[Building]])-9)</f>
        <v>Hurff A. Saunders Fb</v>
      </c>
    </row>
    <row r="5" spans="1:8" x14ac:dyDescent="0.25">
      <c r="A5" s="39" t="s">
        <v>10</v>
      </c>
      <c r="B5" s="31">
        <v>257226.63</v>
      </c>
      <c r="C5" s="31">
        <v>408334.61</v>
      </c>
      <c r="D5" s="31">
        <v>295269.33</v>
      </c>
      <c r="E5" s="30">
        <v>960830.57</v>
      </c>
      <c r="F5" t="str">
        <f>LEFT(Table2[[#This Row],[Building]],2)</f>
        <v>AK</v>
      </c>
      <c r="G5" t="str">
        <f>LEFT(Table2[[#This Row],[Building]],8)</f>
        <v>AK0029ZZ</v>
      </c>
      <c r="H5" t="str">
        <f>RIGHT(Table2[[#This Row],[Building]],LEN(Table2[[#This Row],[Building]])-9)</f>
        <v>Federal Building</v>
      </c>
    </row>
    <row r="6" spans="1:8" x14ac:dyDescent="0.25">
      <c r="A6" s="39" t="s">
        <v>11</v>
      </c>
      <c r="B6" s="29">
        <v>1127267.2</v>
      </c>
      <c r="C6" s="29">
        <v>1124849.18</v>
      </c>
      <c r="D6" s="29">
        <v>1140798.95</v>
      </c>
      <c r="E6" s="30">
        <v>3392915.33</v>
      </c>
      <c r="F6" t="str">
        <f>LEFT(Table2[[#This Row],[Building]],2)</f>
        <v>AK</v>
      </c>
      <c r="G6" t="str">
        <f>LEFT(Table2[[#This Row],[Building]],8)</f>
        <v>AK0031AA</v>
      </c>
      <c r="H6" t="str">
        <f>RIGHT(Table2[[#This Row],[Building]],LEN(Table2[[#This Row],[Building]])-9)</f>
        <v>Us Federal Building</v>
      </c>
    </row>
    <row r="7" spans="1:8" ht="22.5" x14ac:dyDescent="0.25">
      <c r="A7" s="39" t="s">
        <v>12</v>
      </c>
      <c r="B7" s="31">
        <v>32249.93</v>
      </c>
      <c r="C7" s="31">
        <v>6191</v>
      </c>
      <c r="D7" s="31">
        <v>2705.75</v>
      </c>
      <c r="E7" s="30">
        <v>41146.68</v>
      </c>
      <c r="F7" t="str">
        <f>LEFT(Table2[[#This Row],[Building]],2)</f>
        <v>AK</v>
      </c>
      <c r="G7" t="str">
        <f>LEFT(Table2[[#This Row],[Building]],8)</f>
        <v>AK0032AA</v>
      </c>
      <c r="H7" t="str">
        <f>RIGHT(Table2[[#This Row],[Building]],LEN(Table2[[#This Row],[Building]])-9)</f>
        <v>Fed Bld-Usch-Annex</v>
      </c>
    </row>
    <row r="8" spans="1:8" ht="22.5" x14ac:dyDescent="0.25">
      <c r="A8" s="39" t="s">
        <v>13</v>
      </c>
      <c r="B8" s="32" t="s">
        <v>14</v>
      </c>
      <c r="C8" s="32" t="s">
        <v>15</v>
      </c>
      <c r="D8" s="32" t="s">
        <v>16</v>
      </c>
      <c r="E8" s="33" t="s">
        <v>17</v>
      </c>
      <c r="F8" t="str">
        <f>LEFT(Table2[[#This Row],[Building]],2)</f>
        <v>AK</v>
      </c>
      <c r="G8" t="str">
        <f>LEFT(Table2[[#This Row],[Building]],8)</f>
        <v>AK0506AH</v>
      </c>
      <c r="H8" t="str">
        <f>RIGHT(Table2[[#This Row],[Building]],LEN(Table2[[#This Row],[Building]])-9)</f>
        <v>Alcan Land Port Of E</v>
      </c>
    </row>
    <row r="9" spans="1:8" x14ac:dyDescent="0.25">
      <c r="A9" s="39" t="s">
        <v>18</v>
      </c>
      <c r="B9" s="31">
        <v>25829.599999999999</v>
      </c>
      <c r="C9" s="31">
        <v>17434.689999999999</v>
      </c>
      <c r="D9" s="31">
        <v>66742.8</v>
      </c>
      <c r="E9" s="30">
        <v>110007.09</v>
      </c>
      <c r="F9" t="str">
        <f>LEFT(Table2[[#This Row],[Building]],2)</f>
        <v>AK</v>
      </c>
      <c r="G9" t="str">
        <f>LEFT(Table2[[#This Row],[Building]],8)</f>
        <v>AK0514ZZ</v>
      </c>
      <c r="H9" t="str">
        <f>RIGHT(Table2[[#This Row],[Building]],LEN(Table2[[#This Row],[Building]])-9)</f>
        <v>Fed Bldg Us Po</v>
      </c>
    </row>
    <row r="10" spans="1:8" ht="22.5" x14ac:dyDescent="0.25">
      <c r="A10" s="39" t="s">
        <v>19</v>
      </c>
      <c r="B10" s="32" t="s">
        <v>20</v>
      </c>
      <c r="C10" s="29">
        <v>20544.14</v>
      </c>
      <c r="D10" s="29">
        <v>22630.17</v>
      </c>
      <c r="E10" s="30">
        <v>36828.239999999998</v>
      </c>
      <c r="F10" t="str">
        <f>LEFT(Table2[[#This Row],[Building]],2)</f>
        <v>AK</v>
      </c>
      <c r="G10" t="str">
        <f>LEFT(Table2[[#This Row],[Building]],8)</f>
        <v>AK0521AB</v>
      </c>
      <c r="H10" t="str">
        <f>RIGHT(Table2[[#This Row],[Building]],LEN(Table2[[#This Row],[Building]])-9)</f>
        <v>Dalton Cache Land Po</v>
      </c>
    </row>
    <row r="11" spans="1:8" ht="22.5" x14ac:dyDescent="0.25">
      <c r="A11" s="39" t="s">
        <v>21</v>
      </c>
      <c r="B11" s="34" t="s">
        <v>22</v>
      </c>
      <c r="C11" s="34" t="s">
        <v>23</v>
      </c>
      <c r="D11" s="34" t="s">
        <v>24</v>
      </c>
      <c r="E11" s="33" t="s">
        <v>25</v>
      </c>
      <c r="F11" t="str">
        <f>LEFT(Table2[[#This Row],[Building]],2)</f>
        <v>AK</v>
      </c>
      <c r="G11" t="str">
        <f>LEFT(Table2[[#This Row],[Building]],8)</f>
        <v>AK0526ZZ</v>
      </c>
      <c r="H11" t="str">
        <f>RIGHT(Table2[[#This Row],[Building]],LEN(Table2[[#This Row],[Building]])-9)</f>
        <v>Skagway Land Port Of</v>
      </c>
    </row>
    <row r="12" spans="1:8" ht="22.5" x14ac:dyDescent="0.25">
      <c r="A12" s="39" t="s">
        <v>26</v>
      </c>
      <c r="B12" s="29">
        <v>437721.3</v>
      </c>
      <c r="C12" s="29">
        <v>593334.19999999995</v>
      </c>
      <c r="D12" s="29">
        <v>414622.87</v>
      </c>
      <c r="E12" s="30">
        <v>1445678.37</v>
      </c>
      <c r="F12" t="str">
        <f>LEFT(Table2[[#This Row],[Building]],2)</f>
        <v>AL</v>
      </c>
      <c r="G12" t="str">
        <f>LEFT(Table2[[#This Row],[Building]],8)</f>
        <v>AL0003AC</v>
      </c>
      <c r="H12" t="str">
        <f>RIGHT(Table2[[#This Row],[Building]],LEN(Table2[[#This Row],[Building]])-9)</f>
        <v>Frank Johnson Annex</v>
      </c>
    </row>
    <row r="13" spans="1:8" x14ac:dyDescent="0.25">
      <c r="A13" s="39" t="s">
        <v>27</v>
      </c>
      <c r="B13" s="31">
        <v>42897.67</v>
      </c>
      <c r="C13" s="31">
        <v>35333.980000000003</v>
      </c>
      <c r="D13" s="31">
        <v>82229.67</v>
      </c>
      <c r="E13" s="30">
        <v>160461.32</v>
      </c>
      <c r="F13" t="str">
        <f>LEFT(Table2[[#This Row],[Building]],2)</f>
        <v>AL</v>
      </c>
      <c r="G13" t="str">
        <f>LEFT(Table2[[#This Row],[Building]],8)</f>
        <v>AL0004ZZ</v>
      </c>
      <c r="H13" t="str">
        <f>RIGHT(Table2[[#This Row],[Building]],LEN(Table2[[#This Row],[Building]])-9)</f>
        <v>Fb-Ct</v>
      </c>
    </row>
    <row r="14" spans="1:8" ht="22.5" x14ac:dyDescent="0.25">
      <c r="A14" s="39" t="s">
        <v>30</v>
      </c>
      <c r="B14" s="31">
        <v>251663.64</v>
      </c>
      <c r="C14" s="31">
        <v>209980.92</v>
      </c>
      <c r="D14" s="31">
        <v>204174.37</v>
      </c>
      <c r="E14" s="30">
        <v>665818.93000000005</v>
      </c>
      <c r="F14" t="str">
        <f>LEFT(Table2[[#This Row],[Building]],2)</f>
        <v>AL</v>
      </c>
      <c r="G14" t="str">
        <f>LEFT(Table2[[#This Row],[Building]],8)</f>
        <v>AL0010ZZ</v>
      </c>
      <c r="H14" t="str">
        <f>RIGHT(Table2[[#This Row],[Building]],LEN(Table2[[#This Row],[Building]])-9)</f>
        <v>Federal Building-Cou</v>
      </c>
    </row>
    <row r="15" spans="1:8" ht="22.5" x14ac:dyDescent="0.25">
      <c r="A15" s="39" t="s">
        <v>31</v>
      </c>
      <c r="B15" s="29">
        <v>332597.44</v>
      </c>
      <c r="C15" s="29">
        <v>94407.06</v>
      </c>
      <c r="D15" s="29">
        <v>437057.57</v>
      </c>
      <c r="E15" s="30">
        <v>864062.07</v>
      </c>
      <c r="F15" t="str">
        <f>LEFT(Table2[[#This Row],[Building]],2)</f>
        <v>AL</v>
      </c>
      <c r="G15" t="str">
        <f>LEFT(Table2[[#This Row],[Building]],8)</f>
        <v>AL0011ZZ</v>
      </c>
      <c r="H15" t="str">
        <f>RIGHT(Table2[[#This Row],[Building]],LEN(Table2[[#This Row],[Building]])-9)</f>
        <v>Robert S. Vance Fb-C</v>
      </c>
    </row>
    <row r="16" spans="1:8" x14ac:dyDescent="0.25">
      <c r="A16" s="39" t="s">
        <v>33</v>
      </c>
      <c r="B16" s="29">
        <v>27691.55</v>
      </c>
      <c r="C16" s="29">
        <v>26220.63</v>
      </c>
      <c r="D16" s="29">
        <v>110228.03</v>
      </c>
      <c r="E16" s="30">
        <v>164140.21</v>
      </c>
      <c r="F16" t="str">
        <f>LEFT(Table2[[#This Row],[Building]],2)</f>
        <v>AL</v>
      </c>
      <c r="G16" t="str">
        <f>LEFT(Table2[[#This Row],[Building]],8)</f>
        <v>AL0019ZZ</v>
      </c>
      <c r="H16" t="str">
        <f>RIGHT(Table2[[#This Row],[Building]],LEN(Table2[[#This Row],[Building]])-9)</f>
        <v>Fb-Ct</v>
      </c>
    </row>
    <row r="17" spans="1:8" x14ac:dyDescent="0.25">
      <c r="A17" s="39" t="s">
        <v>34</v>
      </c>
      <c r="B17" s="31">
        <v>50021.16</v>
      </c>
      <c r="C17" s="31">
        <v>33936.68</v>
      </c>
      <c r="D17" s="31">
        <v>65472.480000000003</v>
      </c>
      <c r="E17" s="30">
        <v>149430.32</v>
      </c>
      <c r="F17" t="str">
        <f>LEFT(Table2[[#This Row],[Building]],2)</f>
        <v>AL</v>
      </c>
      <c r="G17" t="str">
        <f>LEFT(Table2[[#This Row],[Building]],8)</f>
        <v>AL0028ZZ</v>
      </c>
      <c r="H17" t="str">
        <f>RIGHT(Table2[[#This Row],[Building]],LEN(Table2[[#This Row],[Building]])-9)</f>
        <v>Fb-Ct</v>
      </c>
    </row>
    <row r="18" spans="1:8" x14ac:dyDescent="0.25">
      <c r="A18" s="39" t="s">
        <v>35</v>
      </c>
      <c r="B18" s="29">
        <v>90720.78</v>
      </c>
      <c r="C18" s="29">
        <v>71189.05</v>
      </c>
      <c r="D18" s="29">
        <v>111702.31</v>
      </c>
      <c r="E18" s="30">
        <v>273612.14</v>
      </c>
      <c r="F18" t="str">
        <f>LEFT(Table2[[#This Row],[Building]],2)</f>
        <v>AL</v>
      </c>
      <c r="G18" t="str">
        <f>LEFT(Table2[[#This Row],[Building]],8)</f>
        <v>AL0034ZZ</v>
      </c>
      <c r="H18" t="str">
        <f>RIGHT(Table2[[#This Row],[Building]],LEN(Table2[[#This Row],[Building]])-9)</f>
        <v>Po-Ct</v>
      </c>
    </row>
    <row r="19" spans="1:8" ht="22.5" x14ac:dyDescent="0.25">
      <c r="A19" s="39" t="s">
        <v>36</v>
      </c>
      <c r="B19" s="31">
        <v>231608.23</v>
      </c>
      <c r="C19" s="31">
        <v>168723.53</v>
      </c>
      <c r="D19" s="31">
        <v>229271.87</v>
      </c>
      <c r="E19" s="30">
        <v>629603.63</v>
      </c>
      <c r="F19" t="str">
        <f>LEFT(Table2[[#This Row],[Building]],2)</f>
        <v>AL</v>
      </c>
      <c r="G19" t="str">
        <f>LEFT(Table2[[#This Row],[Building]],8)</f>
        <v>AL0039AB</v>
      </c>
      <c r="H19" t="str">
        <f>RIGHT(Table2[[#This Row],[Building]],LEN(Table2[[#This Row],[Building]])-9)</f>
        <v>John A Campbell Usct</v>
      </c>
    </row>
    <row r="20" spans="1:8" ht="22.5" x14ac:dyDescent="0.25">
      <c r="A20" s="39" t="s">
        <v>38</v>
      </c>
      <c r="B20" s="31">
        <v>27144.57</v>
      </c>
      <c r="C20" s="31">
        <v>29164.26</v>
      </c>
      <c r="D20" s="31">
        <v>152750.78</v>
      </c>
      <c r="E20" s="30">
        <v>209059.61</v>
      </c>
      <c r="F20" t="str">
        <f>LEFT(Table2[[#This Row],[Building]],2)</f>
        <v>AL</v>
      </c>
      <c r="G20" t="str">
        <f>LEFT(Table2[[#This Row],[Building]],8)</f>
        <v>AL0046ZZ</v>
      </c>
      <c r="H20" t="str">
        <f>RIGHT(Table2[[#This Row],[Building]],LEN(Table2[[#This Row],[Building]])-9)</f>
        <v>G. W. Andrews Fb-Ct</v>
      </c>
    </row>
    <row r="21" spans="1:8" x14ac:dyDescent="0.25">
      <c r="A21" s="39" t="s">
        <v>39</v>
      </c>
      <c r="B21" s="29">
        <v>29182.75</v>
      </c>
      <c r="C21" s="29">
        <v>29228.22</v>
      </c>
      <c r="D21" s="29">
        <v>82057.17</v>
      </c>
      <c r="E21" s="30">
        <v>140468.14000000001</v>
      </c>
      <c r="F21" t="str">
        <f>LEFT(Table2[[#This Row],[Building]],2)</f>
        <v>AL</v>
      </c>
      <c r="G21" t="str">
        <f>LEFT(Table2[[#This Row],[Building]],8)</f>
        <v>AL0055ZZ</v>
      </c>
      <c r="H21" t="str">
        <f>RIGHT(Table2[[#This Row],[Building]],LEN(Table2[[#This Row],[Building]])-9)</f>
        <v>Fb Ct</v>
      </c>
    </row>
    <row r="22" spans="1:8" x14ac:dyDescent="0.25">
      <c r="A22" s="39" t="s">
        <v>40</v>
      </c>
      <c r="B22" s="31">
        <v>373074.52</v>
      </c>
      <c r="C22" s="31">
        <v>119975.27</v>
      </c>
      <c r="D22" s="31">
        <v>233898.42</v>
      </c>
      <c r="E22" s="30">
        <v>726948.21</v>
      </c>
      <c r="F22" t="str">
        <f>LEFT(Table2[[#This Row],[Building]],2)</f>
        <v>AL</v>
      </c>
      <c r="G22" t="str">
        <f>LEFT(Table2[[#This Row],[Building]],8)</f>
        <v>AL0076AB</v>
      </c>
      <c r="H22" t="str">
        <f>RIGHT(Table2[[#This Row],[Building]],LEN(Table2[[#This Row],[Building]])-9)</f>
        <v>Federal Building</v>
      </c>
    </row>
    <row r="23" spans="1:8" ht="22.5" x14ac:dyDescent="0.25">
      <c r="A23" s="39" t="s">
        <v>41</v>
      </c>
      <c r="B23" s="29">
        <v>23817.13</v>
      </c>
      <c r="C23" s="29">
        <v>18881.48</v>
      </c>
      <c r="D23" s="29">
        <v>27146.1</v>
      </c>
      <c r="E23" s="30">
        <v>69844.710000000006</v>
      </c>
      <c r="F23" t="str">
        <f>LEFT(Table2[[#This Row],[Building]],2)</f>
        <v>AL</v>
      </c>
      <c r="G23" t="str">
        <f>LEFT(Table2[[#This Row],[Building]],8)</f>
        <v>AL0077AB</v>
      </c>
      <c r="H23" t="str">
        <f>RIGHT(Table2[[#This Row],[Building]],LEN(Table2[[#This Row],[Building]])-9)</f>
        <v>Combined Parking Fac</v>
      </c>
    </row>
    <row r="24" spans="1:8" x14ac:dyDescent="0.25">
      <c r="A24" s="39" t="s">
        <v>42</v>
      </c>
      <c r="B24" s="31">
        <v>858</v>
      </c>
      <c r="C24" s="31">
        <v>9440.7099999999991</v>
      </c>
      <c r="D24" s="31">
        <v>53721.440000000002</v>
      </c>
      <c r="E24" s="30">
        <v>64020.15</v>
      </c>
      <c r="F24" t="str">
        <f>LEFT(Table2[[#This Row],[Building]],2)</f>
        <v>AL</v>
      </c>
      <c r="G24" t="str">
        <f>LEFT(Table2[[#This Row],[Building]],8)</f>
        <v>AL0079ZZ</v>
      </c>
      <c r="H24" t="str">
        <f>RIGHT(Table2[[#This Row],[Building]],LEN(Table2[[#This Row],[Building]])-9)</f>
        <v>Ssa Building</v>
      </c>
    </row>
    <row r="25" spans="1:8" ht="22.5" x14ac:dyDescent="0.25">
      <c r="A25" s="39" t="s">
        <v>45</v>
      </c>
      <c r="B25" s="29">
        <v>130730.19</v>
      </c>
      <c r="C25" s="29">
        <v>72990.5</v>
      </c>
      <c r="D25" s="29">
        <v>186471.49</v>
      </c>
      <c r="E25" s="30">
        <v>390192.18</v>
      </c>
      <c r="F25" t="str">
        <f>LEFT(Table2[[#This Row],[Building]],2)</f>
        <v>AR</v>
      </c>
      <c r="G25" t="str">
        <f>LEFT(Table2[[#This Row],[Building]],8)</f>
        <v>AR0021ZZ</v>
      </c>
      <c r="H25" t="str">
        <f>RIGHT(Table2[[#This Row],[Building]],LEN(Table2[[#This Row],[Building]])-9)</f>
        <v>Ic Parker Courthouse</v>
      </c>
    </row>
    <row r="26" spans="1:8" ht="22.5" x14ac:dyDescent="0.25">
      <c r="A26" s="39" t="s">
        <v>46</v>
      </c>
      <c r="B26" s="31">
        <v>301595</v>
      </c>
      <c r="C26" s="31">
        <v>19184.96</v>
      </c>
      <c r="D26" s="31">
        <v>525581.93000000005</v>
      </c>
      <c r="E26" s="30">
        <v>846361.89</v>
      </c>
      <c r="F26" t="str">
        <f>LEFT(Table2[[#This Row],[Building]],2)</f>
        <v>AR</v>
      </c>
      <c r="G26" t="str">
        <f>LEFT(Table2[[#This Row],[Building]],8)</f>
        <v>AR0030RK</v>
      </c>
      <c r="H26" t="str">
        <f>RIGHT(Table2[[#This Row],[Building]],LEN(Table2[[#This Row],[Building]])-9)</f>
        <v>Little Rock Uspo/Cou</v>
      </c>
    </row>
    <row r="27" spans="1:8" ht="22.5" x14ac:dyDescent="0.25">
      <c r="A27" s="39" t="s">
        <v>47</v>
      </c>
      <c r="B27" s="29">
        <v>125835.28</v>
      </c>
      <c r="C27" s="29">
        <v>105320.59</v>
      </c>
      <c r="D27" s="29">
        <v>185175</v>
      </c>
      <c r="E27" s="30">
        <v>416330.87</v>
      </c>
      <c r="F27" t="str">
        <f>LEFT(Table2[[#This Row],[Building]],2)</f>
        <v>AR</v>
      </c>
      <c r="G27" t="str">
        <f>LEFT(Table2[[#This Row],[Building]],8)</f>
        <v>AR0031ZZ</v>
      </c>
      <c r="H27" t="str">
        <f>RIGHT(Table2[[#This Row],[Building]],LEN(Table2[[#This Row],[Building]])-9)</f>
        <v>Little Rock Old Uspo</v>
      </c>
    </row>
    <row r="28" spans="1:8" ht="22.5" x14ac:dyDescent="0.25">
      <c r="A28" s="39" t="s">
        <v>48</v>
      </c>
      <c r="B28" s="31">
        <v>102404.58</v>
      </c>
      <c r="C28" s="31">
        <v>71407.12</v>
      </c>
      <c r="D28" s="31">
        <v>139126.32999999999</v>
      </c>
      <c r="E28" s="30">
        <v>312938.03000000003</v>
      </c>
      <c r="F28" t="str">
        <f>LEFT(Table2[[#This Row],[Building]],2)</f>
        <v>AR</v>
      </c>
      <c r="G28" t="str">
        <f>LEFT(Table2[[#This Row],[Building]],8)</f>
        <v>AR0057ZZ</v>
      </c>
      <c r="H28" t="str">
        <f>RIGHT(Table2[[#This Row],[Building]],LEN(Table2[[#This Row],[Building]])-9)</f>
        <v>Texarkana Uspo/Court</v>
      </c>
    </row>
    <row r="29" spans="1:8" x14ac:dyDescent="0.25">
      <c r="A29" s="39" t="s">
        <v>49</v>
      </c>
      <c r="B29" s="29">
        <v>104026.96</v>
      </c>
      <c r="C29" s="29">
        <v>57188.36</v>
      </c>
      <c r="D29" s="29">
        <v>160740.69</v>
      </c>
      <c r="E29" s="30">
        <v>321956.01</v>
      </c>
      <c r="F29" t="str">
        <f>LEFT(Table2[[#This Row],[Building]],2)</f>
        <v>AR</v>
      </c>
      <c r="G29" t="str">
        <f>LEFT(Table2[[#This Row],[Building]],8)</f>
        <v>AR0062ZZ</v>
      </c>
      <c r="H29" t="str">
        <f>RIGHT(Table2[[#This Row],[Building]],LEN(Table2[[#This Row],[Building]])-9)</f>
        <v>Hot Springs Post Off</v>
      </c>
    </row>
    <row r="30" spans="1:8" x14ac:dyDescent="0.25">
      <c r="A30" s="39" t="s">
        <v>50</v>
      </c>
      <c r="B30" s="31">
        <v>499020.88</v>
      </c>
      <c r="C30" s="31">
        <v>544680.13</v>
      </c>
      <c r="D30" s="31">
        <v>767580.87</v>
      </c>
      <c r="E30" s="30">
        <v>1811281.88</v>
      </c>
      <c r="F30" t="str">
        <f>LEFT(Table2[[#This Row],[Building]],2)</f>
        <v>AR</v>
      </c>
      <c r="G30" t="str">
        <f>LEFT(Table2[[#This Row],[Building]],8)</f>
        <v>AR0063RK</v>
      </c>
      <c r="H30" t="str">
        <f>RIGHT(Table2[[#This Row],[Building]],LEN(Table2[[#This Row],[Building]])-9)</f>
        <v>Little Rock Federal</v>
      </c>
    </row>
    <row r="31" spans="1:8" ht="22.5" x14ac:dyDescent="0.25">
      <c r="A31" s="39" t="s">
        <v>51</v>
      </c>
      <c r="B31" s="29">
        <v>57557.64</v>
      </c>
      <c r="C31" s="29">
        <v>48983.32</v>
      </c>
      <c r="D31" s="29">
        <v>184876.45</v>
      </c>
      <c r="E31" s="30">
        <v>291417.40999999997</v>
      </c>
      <c r="F31" t="str">
        <f>LEFT(Table2[[#This Row],[Building]],2)</f>
        <v>AR</v>
      </c>
      <c r="G31" t="str">
        <f>LEFT(Table2[[#This Row],[Building]],8)</f>
        <v>AR0066ZZ</v>
      </c>
      <c r="H31" t="str">
        <f>RIGHT(Table2[[#This Row],[Building]],LEN(Table2[[#This Row],[Building]])-9)</f>
        <v>Helena Post Office/C</v>
      </c>
    </row>
    <row r="32" spans="1:8" ht="22.5" x14ac:dyDescent="0.25">
      <c r="A32" s="39" t="s">
        <v>52</v>
      </c>
      <c r="B32" s="31">
        <v>158817.53</v>
      </c>
      <c r="C32" s="31">
        <v>117829</v>
      </c>
      <c r="D32" s="31">
        <v>261034.79</v>
      </c>
      <c r="E32" s="30">
        <v>537681.31999999995</v>
      </c>
      <c r="F32" t="str">
        <f>LEFT(Table2[[#This Row],[Building]],2)</f>
        <v>AR</v>
      </c>
      <c r="G32" t="str">
        <f>LEFT(Table2[[#This Row],[Building]],8)</f>
        <v>AR0078ZZ</v>
      </c>
      <c r="H32" t="str">
        <f>RIGHT(Table2[[#This Row],[Building]],LEN(Table2[[#This Row],[Building]])-9)</f>
        <v>Pine Bluff Fob/Uspo/</v>
      </c>
    </row>
    <row r="33" spans="1:8" ht="22.5" x14ac:dyDescent="0.25">
      <c r="A33" s="39" t="s">
        <v>53</v>
      </c>
      <c r="B33" s="29">
        <v>76080</v>
      </c>
      <c r="C33" s="29">
        <v>66447.820000000007</v>
      </c>
      <c r="D33" s="29">
        <v>156218.62</v>
      </c>
      <c r="E33" s="30">
        <v>298746.44</v>
      </c>
      <c r="F33" t="str">
        <f>LEFT(Table2[[#This Row],[Building]],2)</f>
        <v>AR</v>
      </c>
      <c r="G33" t="str">
        <f>LEFT(Table2[[#This Row],[Building]],8)</f>
        <v>AR0079ZZ</v>
      </c>
      <c r="H33" t="str">
        <f>RIGHT(Table2[[#This Row],[Building]],LEN(Table2[[#This Row],[Building]])-9)</f>
        <v>Batesville Fob/Uspo/</v>
      </c>
    </row>
    <row r="34" spans="1:8" ht="22.5" x14ac:dyDescent="0.25">
      <c r="A34" s="39" t="s">
        <v>55</v>
      </c>
      <c r="B34" s="29">
        <v>121367.62</v>
      </c>
      <c r="C34" s="29">
        <v>74262.64</v>
      </c>
      <c r="D34" s="29">
        <v>141381.60999999999</v>
      </c>
      <c r="E34" s="30">
        <v>337011.87</v>
      </c>
      <c r="F34" t="str">
        <f>LEFT(Table2[[#This Row],[Building]],2)</f>
        <v>AR</v>
      </c>
      <c r="G34" t="str">
        <f>LEFT(Table2[[#This Row],[Building]],8)</f>
        <v>AR0084ZZ</v>
      </c>
      <c r="H34" t="str">
        <f>RIGHT(Table2[[#This Row],[Building]],LEN(Table2[[#This Row],[Building]])-9)</f>
        <v>Jp Hammerschmidt Fed</v>
      </c>
    </row>
    <row r="35" spans="1:8" ht="22.5" x14ac:dyDescent="0.25">
      <c r="A35" s="39" t="s">
        <v>56</v>
      </c>
      <c r="B35" s="31">
        <v>288298.78000000003</v>
      </c>
      <c r="C35" s="31">
        <v>199611.5</v>
      </c>
      <c r="D35" s="31">
        <v>372290.47</v>
      </c>
      <c r="E35" s="30">
        <v>860200.75</v>
      </c>
      <c r="F35" t="str">
        <f>LEFT(Table2[[#This Row],[Building]],2)</f>
        <v>AR</v>
      </c>
      <c r="G35" t="str">
        <f>LEFT(Table2[[#This Row],[Building]],8)</f>
        <v>AR0085RK</v>
      </c>
      <c r="H35" t="str">
        <f>RIGHT(Table2[[#This Row],[Building]],LEN(Table2[[#This Row],[Building]])-9)</f>
        <v>Little Rock Uspo/Cth</v>
      </c>
    </row>
    <row r="36" spans="1:8" ht="22.5" x14ac:dyDescent="0.25">
      <c r="A36" s="39" t="s">
        <v>64</v>
      </c>
      <c r="B36" s="29">
        <v>130399.2</v>
      </c>
      <c r="C36" s="29">
        <v>78229.929999999993</v>
      </c>
      <c r="D36" s="29">
        <v>158803.10999999999</v>
      </c>
      <c r="E36" s="30">
        <v>367432.24</v>
      </c>
      <c r="F36" t="str">
        <f>LEFT(Table2[[#This Row],[Building]],2)</f>
        <v>AZ</v>
      </c>
      <c r="G36" t="str">
        <f>LEFT(Table2[[#This Row],[Building]],8)</f>
        <v>AZ0015ZZ</v>
      </c>
      <c r="H36" t="str">
        <f>RIGHT(Table2[[#This Row],[Building]],LEN(Table2[[#This Row],[Building]])-9)</f>
        <v>James A. Walsh Court</v>
      </c>
    </row>
    <row r="37" spans="1:8" ht="22.5" x14ac:dyDescent="0.25">
      <c r="A37" s="39" t="s">
        <v>66</v>
      </c>
      <c r="B37" s="31">
        <v>365706.73</v>
      </c>
      <c r="C37" s="31">
        <v>321008.06</v>
      </c>
      <c r="D37" s="31">
        <v>470003.56</v>
      </c>
      <c r="E37" s="30">
        <v>1156718.3500000001</v>
      </c>
      <c r="F37" t="str">
        <f>LEFT(Table2[[#This Row],[Building]],2)</f>
        <v>AZ</v>
      </c>
      <c r="G37" t="str">
        <f>LEFT(Table2[[#This Row],[Building]],8)</f>
        <v>AZ0052ZZ</v>
      </c>
      <c r="H37" t="str">
        <f>RIGHT(Table2[[#This Row],[Building]],LEN(Table2[[#This Row],[Building]])-9)</f>
        <v>Federal Building &amp; C</v>
      </c>
    </row>
    <row r="38" spans="1:8" x14ac:dyDescent="0.25">
      <c r="A38" s="39" t="s">
        <v>67</v>
      </c>
      <c r="B38" s="29">
        <v>284648.49</v>
      </c>
      <c r="C38" s="29">
        <v>158366.42000000001</v>
      </c>
      <c r="D38" s="29">
        <v>265108.03999999998</v>
      </c>
      <c r="E38" s="30">
        <v>708122.95</v>
      </c>
      <c r="F38" t="str">
        <f>LEFT(Table2[[#This Row],[Building]],2)</f>
        <v>AZ</v>
      </c>
      <c r="G38" t="str">
        <f>LEFT(Table2[[#This Row],[Building]],8)</f>
        <v>AZ0058ZZ</v>
      </c>
      <c r="H38" t="str">
        <f>RIGHT(Table2[[#This Row],[Building]],LEN(Table2[[#This Row],[Building]])-9)</f>
        <v>Federal Building</v>
      </c>
    </row>
    <row r="39" spans="1:8" ht="22.5" x14ac:dyDescent="0.25">
      <c r="A39" s="39" t="s">
        <v>68</v>
      </c>
      <c r="B39" s="31">
        <v>802226.64</v>
      </c>
      <c r="C39" s="31">
        <v>759216.88</v>
      </c>
      <c r="D39" s="31">
        <v>842922.31</v>
      </c>
      <c r="E39" s="30">
        <v>2404365.83</v>
      </c>
      <c r="F39" t="str">
        <f>LEFT(Table2[[#This Row],[Building]],2)</f>
        <v>AZ</v>
      </c>
      <c r="G39" t="str">
        <f>LEFT(Table2[[#This Row],[Building]],8)</f>
        <v>AZ0303ZZ</v>
      </c>
      <c r="H39" t="str">
        <f>RIGHT(Table2[[#This Row],[Building]],LEN(Table2[[#This Row],[Building]])-9)</f>
        <v>Sandra D. O'Connor C</v>
      </c>
    </row>
    <row r="40" spans="1:8" ht="22.5" x14ac:dyDescent="0.25">
      <c r="A40" s="39" t="s">
        <v>69</v>
      </c>
      <c r="B40" s="29">
        <v>775034.81</v>
      </c>
      <c r="C40" s="29">
        <v>591995.28</v>
      </c>
      <c r="D40" s="29">
        <v>626635.42000000004</v>
      </c>
      <c r="E40" s="30">
        <v>1993665.51</v>
      </c>
      <c r="F40" t="str">
        <f>LEFT(Table2[[#This Row],[Building]],2)</f>
        <v>AZ</v>
      </c>
      <c r="G40" t="str">
        <f>LEFT(Table2[[#This Row],[Building]],8)</f>
        <v>AZ0307ZZ</v>
      </c>
      <c r="H40" t="str">
        <f>RIGHT(Table2[[#This Row],[Building]],LEN(Table2[[#This Row],[Building]])-9)</f>
        <v>Evo A. Deconcini Cou</v>
      </c>
    </row>
    <row r="41" spans="1:8" x14ac:dyDescent="0.25">
      <c r="A41" s="39" t="s">
        <v>70</v>
      </c>
      <c r="B41" s="31">
        <v>1330.35</v>
      </c>
      <c r="C41" s="31">
        <v>1291.8900000000001</v>
      </c>
      <c r="D41" s="31">
        <v>1339.76</v>
      </c>
      <c r="E41" s="30">
        <v>3962</v>
      </c>
      <c r="F41" t="str">
        <f>LEFT(Table2[[#This Row],[Building]],2)</f>
        <v>AZ</v>
      </c>
      <c r="G41" t="str">
        <f>LEFT(Table2[[#This Row],[Building]],8)</f>
        <v>AZ0325HH</v>
      </c>
      <c r="H41" t="str">
        <f>RIGHT(Table2[[#This Row],[Building]],LEN(Table2[[#This Row],[Building]])-9)</f>
        <v>Us Border Station</v>
      </c>
    </row>
    <row r="42" spans="1:8" x14ac:dyDescent="0.25">
      <c r="A42" s="39" t="s">
        <v>71</v>
      </c>
      <c r="B42" s="29">
        <v>2980.48</v>
      </c>
      <c r="C42" s="29">
        <v>4409.04</v>
      </c>
      <c r="D42" s="29">
        <v>2611.5</v>
      </c>
      <c r="E42" s="30">
        <v>10001.02</v>
      </c>
      <c r="F42" t="str">
        <f>LEFT(Table2[[#This Row],[Building]],2)</f>
        <v>AZ</v>
      </c>
      <c r="G42" t="str">
        <f>LEFT(Table2[[#This Row],[Building]],8)</f>
        <v>AZ0326DD</v>
      </c>
      <c r="H42" t="str">
        <f>RIGHT(Table2[[#This Row],[Building]],LEN(Table2[[#This Row],[Building]])-9)</f>
        <v>Us Border Station</v>
      </c>
    </row>
    <row r="43" spans="1:8" x14ac:dyDescent="0.25">
      <c r="A43" s="39" t="s">
        <v>72</v>
      </c>
      <c r="B43" s="31">
        <v>4364.2700000000004</v>
      </c>
      <c r="C43" s="31">
        <v>2487.09</v>
      </c>
      <c r="D43" s="31">
        <v>2520.2199999999998</v>
      </c>
      <c r="E43" s="30">
        <v>9371.58</v>
      </c>
      <c r="F43" t="str">
        <f>LEFT(Table2[[#This Row],[Building]],2)</f>
        <v>AZ</v>
      </c>
      <c r="G43" t="str">
        <f>LEFT(Table2[[#This Row],[Building]],8)</f>
        <v>AZ0327GG</v>
      </c>
      <c r="H43" t="str">
        <f>RIGHT(Table2[[#This Row],[Building]],LEN(Table2[[#This Row],[Building]])-9)</f>
        <v>Us Border Station</v>
      </c>
    </row>
    <row r="44" spans="1:8" ht="22.5" x14ac:dyDescent="0.25">
      <c r="A44" s="39" t="s">
        <v>73</v>
      </c>
      <c r="B44" s="29">
        <v>11193.11</v>
      </c>
      <c r="C44" s="29">
        <v>6845.71</v>
      </c>
      <c r="D44" s="29">
        <v>8017.24</v>
      </c>
      <c r="E44" s="30">
        <v>26056.06</v>
      </c>
      <c r="F44" t="str">
        <f>LEFT(Table2[[#This Row],[Building]],2)</f>
        <v>AZ</v>
      </c>
      <c r="G44" t="str">
        <f>LEFT(Table2[[#This Row],[Building]],8)</f>
        <v>AZ0328GG</v>
      </c>
      <c r="H44" t="str">
        <f>RIGHT(Table2[[#This Row],[Building]],LEN(Table2[[#This Row],[Building]])-9)</f>
        <v>Dot,Fmcsa Modular Bu</v>
      </c>
    </row>
    <row r="45" spans="1:8" ht="22.5" x14ac:dyDescent="0.25">
      <c r="A45" s="39" t="s">
        <v>74</v>
      </c>
      <c r="B45" s="31">
        <v>3840.5</v>
      </c>
      <c r="C45" s="31">
        <v>2188.62</v>
      </c>
      <c r="D45" s="31">
        <v>2217.8000000000002</v>
      </c>
      <c r="E45" s="30">
        <v>8246.92</v>
      </c>
      <c r="F45" t="str">
        <f>LEFT(Table2[[#This Row],[Building]],2)</f>
        <v>AZ</v>
      </c>
      <c r="G45" t="str">
        <f>LEFT(Table2[[#This Row],[Building]],8)</f>
        <v>AZ0329GG</v>
      </c>
      <c r="H45" t="str">
        <f>RIGHT(Table2[[#This Row],[Building]],LEN(Table2[[#This Row],[Building]])-9)</f>
        <v>Fda Modular Building</v>
      </c>
    </row>
    <row r="46" spans="1:8" ht="22.5" x14ac:dyDescent="0.25">
      <c r="A46" s="39" t="s">
        <v>75</v>
      </c>
      <c r="B46" s="29">
        <v>79818.69</v>
      </c>
      <c r="C46" s="29">
        <v>68117.710000000006</v>
      </c>
      <c r="D46" s="29">
        <v>61361.599999999999</v>
      </c>
      <c r="E46" s="30">
        <v>209298</v>
      </c>
      <c r="F46" t="str">
        <f>LEFT(Table2[[#This Row],[Building]],2)</f>
        <v>AZ</v>
      </c>
      <c r="G46" t="str">
        <f>LEFT(Table2[[#This Row],[Building]],8)</f>
        <v>AZ0334WW</v>
      </c>
      <c r="H46" t="str">
        <f>RIGHT(Table2[[#This Row],[Building]],LEN(Table2[[#This Row],[Building]])-9)</f>
        <v>Mariposa Lpoe - Main</v>
      </c>
    </row>
    <row r="47" spans="1:8" x14ac:dyDescent="0.25">
      <c r="A47" s="39" t="s">
        <v>76</v>
      </c>
      <c r="B47" s="34" t="s">
        <v>77</v>
      </c>
      <c r="C47" s="34" t="s">
        <v>78</v>
      </c>
      <c r="D47" s="34" t="s">
        <v>79</v>
      </c>
      <c r="E47" s="33" t="s">
        <v>80</v>
      </c>
      <c r="F47" t="str">
        <f>LEFT(Table2[[#This Row],[Building]],2)</f>
        <v>AZ</v>
      </c>
      <c r="G47" t="str">
        <f>LEFT(Table2[[#This Row],[Building]],8)</f>
        <v>AZ0336JJ</v>
      </c>
      <c r="H47" t="str">
        <f>RIGHT(Table2[[#This Row],[Building]],LEN(Table2[[#This Row],[Building]])-9)</f>
        <v>Main Bldg-San Luis I</v>
      </c>
    </row>
    <row r="48" spans="1:8" ht="22.5" x14ac:dyDescent="0.25">
      <c r="A48" s="39" t="s">
        <v>81</v>
      </c>
      <c r="B48" s="29">
        <v>40895.339999999997</v>
      </c>
      <c r="C48" s="29">
        <v>43269.9</v>
      </c>
      <c r="D48" s="29">
        <v>17536.78</v>
      </c>
      <c r="E48" s="30">
        <v>101702.02</v>
      </c>
      <c r="F48" t="str">
        <f>LEFT(Table2[[#This Row],[Building]],2)</f>
        <v>AZ</v>
      </c>
      <c r="G48" t="str">
        <f>LEFT(Table2[[#This Row],[Building]],8)</f>
        <v>AZ0349WW</v>
      </c>
      <c r="H48" t="str">
        <f>RIGHT(Table2[[#This Row],[Building]],LEN(Table2[[#This Row],[Building]])-9)</f>
        <v>Mariposa Lpoe - Head</v>
      </c>
    </row>
    <row r="49" spans="1:8" ht="22.5" x14ac:dyDescent="0.25">
      <c r="A49" s="39" t="s">
        <v>82</v>
      </c>
      <c r="B49" s="31">
        <v>144218.5</v>
      </c>
      <c r="C49" s="31">
        <v>152593.44</v>
      </c>
      <c r="D49" s="31">
        <v>61824.45</v>
      </c>
      <c r="E49" s="30">
        <v>358636.39</v>
      </c>
      <c r="F49" t="str">
        <f>LEFT(Table2[[#This Row],[Building]],2)</f>
        <v>AZ</v>
      </c>
      <c r="G49" t="str">
        <f>LEFT(Table2[[#This Row],[Building]],8)</f>
        <v>AZ0350WW</v>
      </c>
      <c r="H49" t="str">
        <f>RIGHT(Table2[[#This Row],[Building]],LEN(Table2[[#This Row],[Building]])-9)</f>
        <v>Mariposa Lpoe Truck</v>
      </c>
    </row>
    <row r="50" spans="1:8" ht="22.5" x14ac:dyDescent="0.25">
      <c r="A50" s="39" t="s">
        <v>83</v>
      </c>
      <c r="B50" s="29">
        <v>7794.95</v>
      </c>
      <c r="C50" s="29">
        <v>8237.1200000000008</v>
      </c>
      <c r="D50" s="29">
        <v>3344.29</v>
      </c>
      <c r="E50" s="30">
        <v>19376.36</v>
      </c>
      <c r="F50" t="str">
        <f>LEFT(Table2[[#This Row],[Building]],2)</f>
        <v>AZ</v>
      </c>
      <c r="G50" t="str">
        <f>LEFT(Table2[[#This Row],[Building]],8)</f>
        <v>AZ0351WW</v>
      </c>
      <c r="H50" t="str">
        <f>RIGHT(Table2[[#This Row],[Building]],LEN(Table2[[#This Row],[Building]])-9)</f>
        <v>Mariposa Lpoe - Kenn</v>
      </c>
    </row>
    <row r="51" spans="1:8" ht="22.5" x14ac:dyDescent="0.25">
      <c r="A51" s="39" t="s">
        <v>84</v>
      </c>
      <c r="B51" s="31">
        <v>16595.95</v>
      </c>
      <c r="C51" s="31">
        <v>17520.03</v>
      </c>
      <c r="D51" s="31">
        <v>14656.06</v>
      </c>
      <c r="E51" s="30">
        <v>48772.04</v>
      </c>
      <c r="F51" t="str">
        <f>LEFT(Table2[[#This Row],[Building]],2)</f>
        <v>AZ</v>
      </c>
      <c r="G51" t="str">
        <f>LEFT(Table2[[#This Row],[Building]],8)</f>
        <v>AZ0352WW</v>
      </c>
      <c r="H51" t="str">
        <f>RIGHT(Table2[[#This Row],[Building]],LEN(Table2[[#This Row],[Building]])-9)</f>
        <v>Mariposa Lpoe - Out</v>
      </c>
    </row>
    <row r="52" spans="1:8" ht="22.5" x14ac:dyDescent="0.25">
      <c r="A52" s="39" t="s">
        <v>85</v>
      </c>
      <c r="B52" s="29">
        <v>3912.22</v>
      </c>
      <c r="C52" s="29">
        <v>4134.05</v>
      </c>
      <c r="D52" s="29">
        <v>1678.51</v>
      </c>
      <c r="E52" s="30">
        <v>9724.7800000000007</v>
      </c>
      <c r="F52" t="str">
        <f>LEFT(Table2[[#This Row],[Building]],2)</f>
        <v>AZ</v>
      </c>
      <c r="G52" t="str">
        <f>LEFT(Table2[[#This Row],[Building]],8)</f>
        <v>AZ0353WW</v>
      </c>
      <c r="H52" t="str">
        <f>RIGHT(Table2[[#This Row],[Building]],LEN(Table2[[#This Row],[Building]])-9)</f>
        <v>Mariposa Lpoe - Nii</v>
      </c>
    </row>
    <row r="53" spans="1:8" ht="22.5" x14ac:dyDescent="0.25">
      <c r="A53" s="39" t="s">
        <v>86</v>
      </c>
      <c r="B53" s="31">
        <v>10090.9</v>
      </c>
      <c r="C53" s="31">
        <v>10671.14</v>
      </c>
      <c r="D53" s="31">
        <v>4328.1099999999997</v>
      </c>
      <c r="E53" s="30">
        <v>25090.15</v>
      </c>
      <c r="F53" t="str">
        <f>LEFT(Table2[[#This Row],[Building]],2)</f>
        <v>AZ</v>
      </c>
      <c r="G53" t="str">
        <f>LEFT(Table2[[#This Row],[Building]],8)</f>
        <v>AZ0354WW</v>
      </c>
      <c r="H53" t="str">
        <f>RIGHT(Table2[[#This Row],[Building]],LEN(Table2[[#This Row],[Building]])-9)</f>
        <v>Mariposa Lpoe - Seiz</v>
      </c>
    </row>
    <row r="54" spans="1:8" ht="22.5" x14ac:dyDescent="0.25">
      <c r="A54" s="39" t="s">
        <v>87</v>
      </c>
      <c r="B54" s="29">
        <v>6222.27</v>
      </c>
      <c r="C54" s="29">
        <v>6573.02</v>
      </c>
      <c r="D54" s="29">
        <v>2669.91</v>
      </c>
      <c r="E54" s="30">
        <v>15465.2</v>
      </c>
      <c r="F54" t="str">
        <f>LEFT(Table2[[#This Row],[Building]],2)</f>
        <v>AZ</v>
      </c>
      <c r="G54" t="str">
        <f>LEFT(Table2[[#This Row],[Building]],8)</f>
        <v>AZ0355WW</v>
      </c>
      <c r="H54" t="str">
        <f>RIGHT(Table2[[#This Row],[Building]],LEN(Table2[[#This Row],[Building]])-9)</f>
        <v>Mariposa Lpoe Mechan</v>
      </c>
    </row>
    <row r="55" spans="1:8" ht="22.5" x14ac:dyDescent="0.25">
      <c r="A55" s="39" t="s">
        <v>88</v>
      </c>
      <c r="B55" s="31">
        <v>37100.04</v>
      </c>
      <c r="C55" s="31">
        <v>62564.79</v>
      </c>
      <c r="D55" s="31">
        <v>62781.03</v>
      </c>
      <c r="E55" s="30">
        <v>162445.85999999999</v>
      </c>
      <c r="F55" t="str">
        <f>LEFT(Table2[[#This Row],[Building]],2)</f>
        <v>AZ</v>
      </c>
      <c r="G55" t="str">
        <f>LEFT(Table2[[#This Row],[Building]],8)</f>
        <v>AZ0356JJ</v>
      </c>
      <c r="H55" t="str">
        <f>RIGHT(Table2[[#This Row],[Building]],LEN(Table2[[#This Row],[Building]])-9)</f>
        <v>Commercial Inspectio</v>
      </c>
    </row>
    <row r="56" spans="1:8" ht="22.5" x14ac:dyDescent="0.25">
      <c r="A56" s="39" t="s">
        <v>89</v>
      </c>
      <c r="B56" s="29">
        <v>3694.65</v>
      </c>
      <c r="C56" s="29">
        <v>6230.56</v>
      </c>
      <c r="D56" s="29">
        <v>6252.11</v>
      </c>
      <c r="E56" s="30">
        <v>16177.32</v>
      </c>
      <c r="F56" t="str">
        <f>LEFT(Table2[[#This Row],[Building]],2)</f>
        <v>AZ</v>
      </c>
      <c r="G56" t="str">
        <f>LEFT(Table2[[#This Row],[Building]],8)</f>
        <v>AZ0357JJ</v>
      </c>
      <c r="H56" t="str">
        <f>RIGHT(Table2[[#This Row],[Building]],LEN(Table2[[#This Row],[Building]])-9)</f>
        <v>Bulk Material&amp;Storag</v>
      </c>
    </row>
    <row r="57" spans="1:8" ht="22.5" x14ac:dyDescent="0.25">
      <c r="A57" s="39" t="s">
        <v>90</v>
      </c>
      <c r="B57" s="31">
        <v>4650.34</v>
      </c>
      <c r="C57" s="31">
        <v>7842.22</v>
      </c>
      <c r="D57" s="31">
        <v>7869.33</v>
      </c>
      <c r="E57" s="30">
        <v>20361.89</v>
      </c>
      <c r="F57" t="str">
        <f>LEFT(Table2[[#This Row],[Building]],2)</f>
        <v>AZ</v>
      </c>
      <c r="G57" t="str">
        <f>LEFT(Table2[[#This Row],[Building]],8)</f>
        <v>AZ0359JJ</v>
      </c>
      <c r="H57" t="str">
        <f>RIGHT(Table2[[#This Row],[Building]],LEN(Table2[[#This Row],[Building]])-9)</f>
        <v>Commercial Exit Cont</v>
      </c>
    </row>
    <row r="58" spans="1:8" ht="22.5" x14ac:dyDescent="0.25">
      <c r="A58" s="39" t="s">
        <v>91</v>
      </c>
      <c r="B58" s="29">
        <v>13830.46</v>
      </c>
      <c r="C58" s="29">
        <v>23323.51</v>
      </c>
      <c r="D58" s="29">
        <v>23404.15</v>
      </c>
      <c r="E58" s="30">
        <v>60558.12</v>
      </c>
      <c r="F58" t="str">
        <f>LEFT(Table2[[#This Row],[Building]],2)</f>
        <v>AZ</v>
      </c>
      <c r="G58" t="str">
        <f>LEFT(Table2[[#This Row],[Building]],8)</f>
        <v>AZ0360JJ</v>
      </c>
      <c r="H58" t="str">
        <f>RIGHT(Table2[[#This Row],[Building]],LEN(Table2[[#This Row],[Building]])-9)</f>
        <v>Export Control Booth</v>
      </c>
    </row>
    <row r="59" spans="1:8" x14ac:dyDescent="0.25">
      <c r="A59" s="39" t="s">
        <v>92</v>
      </c>
      <c r="B59" s="31">
        <v>11963.27</v>
      </c>
      <c r="C59" s="31">
        <v>20174.63</v>
      </c>
      <c r="D59" s="31">
        <v>20244.400000000001</v>
      </c>
      <c r="E59" s="30">
        <v>52382.3</v>
      </c>
      <c r="F59" t="str">
        <f>LEFT(Table2[[#This Row],[Building]],2)</f>
        <v>AZ</v>
      </c>
      <c r="G59" t="str">
        <f>LEFT(Table2[[#This Row],[Building]],8)</f>
        <v>AZ0361JJ</v>
      </c>
      <c r="H59" t="str">
        <f>RIGHT(Table2[[#This Row],[Building]],LEN(Table2[[#This Row],[Building]])-9)</f>
        <v>Primary Insp-Booth</v>
      </c>
    </row>
    <row r="60" spans="1:8" x14ac:dyDescent="0.25">
      <c r="A60" s="39" t="s">
        <v>93</v>
      </c>
      <c r="B60" s="29">
        <v>11581.13</v>
      </c>
      <c r="C60" s="29">
        <v>19530.36</v>
      </c>
      <c r="D60" s="29">
        <v>19597.84</v>
      </c>
      <c r="E60" s="30">
        <v>50709.33</v>
      </c>
      <c r="F60" t="str">
        <f>LEFT(Table2[[#This Row],[Building]],2)</f>
        <v>AZ</v>
      </c>
      <c r="G60" t="str">
        <f>LEFT(Table2[[#This Row],[Building]],8)</f>
        <v>AZ0362JJ</v>
      </c>
      <c r="H60" t="str">
        <f>RIGHT(Table2[[#This Row],[Building]],LEN(Table2[[#This Row],[Building]])-9)</f>
        <v>Nii Inspection Bldg-</v>
      </c>
    </row>
    <row r="61" spans="1:8" x14ac:dyDescent="0.25">
      <c r="A61" s="39" t="s">
        <v>94</v>
      </c>
      <c r="B61" s="31">
        <v>103564.56</v>
      </c>
      <c r="C61" s="31">
        <v>108982.08</v>
      </c>
      <c r="D61" s="31">
        <v>133098.07</v>
      </c>
      <c r="E61" s="30">
        <v>345644.71</v>
      </c>
      <c r="F61" t="str">
        <f>LEFT(Table2[[#This Row],[Building]],2)</f>
        <v>AZ</v>
      </c>
      <c r="G61" t="str">
        <f>LEFT(Table2[[#This Row],[Building]],8)</f>
        <v>AZ0369ZZ</v>
      </c>
      <c r="H61" t="str">
        <f>RIGHT(Table2[[#This Row],[Building]],LEN(Table2[[#This Row],[Building]])-9)</f>
        <v>John M. Roll U.S. Co</v>
      </c>
    </row>
    <row r="62" spans="1:8" x14ac:dyDescent="0.25">
      <c r="A62" s="39" t="s">
        <v>95</v>
      </c>
      <c r="B62" s="32" t="s">
        <v>96</v>
      </c>
      <c r="C62" s="32" t="s">
        <v>97</v>
      </c>
      <c r="D62" s="32" t="s">
        <v>98</v>
      </c>
      <c r="E62" s="33" t="s">
        <v>99</v>
      </c>
      <c r="F62" t="str">
        <f>LEFT(Table2[[#This Row],[Building]],2)</f>
        <v>AZ</v>
      </c>
      <c r="G62" t="str">
        <f>LEFT(Table2[[#This Row],[Building]],8)</f>
        <v>AZ0551BB</v>
      </c>
      <c r="H62" t="str">
        <f>RIGHT(Table2[[#This Row],[Building]],LEN(Table2[[#This Row],[Building]])-9)</f>
        <v>Bs Old Cus Bldg</v>
      </c>
    </row>
    <row r="63" spans="1:8" x14ac:dyDescent="0.25">
      <c r="A63" s="39" t="s">
        <v>100</v>
      </c>
      <c r="B63" s="31">
        <v>1361.26</v>
      </c>
      <c r="C63" s="31">
        <v>4102.18</v>
      </c>
      <c r="D63" s="31">
        <v>1604.5</v>
      </c>
      <c r="E63" s="30">
        <v>7067.94</v>
      </c>
      <c r="F63" t="str">
        <f>LEFT(Table2[[#This Row],[Building]],2)</f>
        <v>AZ</v>
      </c>
      <c r="G63" t="str">
        <f>LEFT(Table2[[#This Row],[Building]],8)</f>
        <v>AZ0553BB</v>
      </c>
      <c r="H63" t="str">
        <f>RIGHT(Table2[[#This Row],[Building]],LEN(Table2[[#This Row],[Building]])-9)</f>
        <v>Bs Morley Gate</v>
      </c>
    </row>
    <row r="64" spans="1:8" x14ac:dyDescent="0.25">
      <c r="A64" s="39" t="s">
        <v>101</v>
      </c>
      <c r="B64" s="29">
        <v>91947.61</v>
      </c>
      <c r="C64" s="29">
        <v>71831.83</v>
      </c>
      <c r="D64" s="29">
        <v>108233.83</v>
      </c>
      <c r="E64" s="30">
        <v>272013.27</v>
      </c>
      <c r="F64" t="str">
        <f>LEFT(Table2[[#This Row],[Building]],2)</f>
        <v>AZ</v>
      </c>
      <c r="G64" t="str">
        <f>LEFT(Table2[[#This Row],[Building]],8)</f>
        <v>AZ0554BB</v>
      </c>
      <c r="H64" t="str">
        <f>RIGHT(Table2[[#This Row],[Building]],LEN(Table2[[#This Row],[Building]])-9)</f>
        <v>Bs Hd Hse Bldg 2</v>
      </c>
    </row>
    <row r="65" spans="1:8" x14ac:dyDescent="0.25">
      <c r="A65" s="39" t="s">
        <v>102</v>
      </c>
      <c r="B65" s="31">
        <v>71385.37</v>
      </c>
      <c r="C65" s="31">
        <v>55677.75</v>
      </c>
      <c r="D65" s="31">
        <v>83993.75</v>
      </c>
      <c r="E65" s="30">
        <v>211056.87</v>
      </c>
      <c r="F65" t="str">
        <f>LEFT(Table2[[#This Row],[Building]],2)</f>
        <v>AZ</v>
      </c>
      <c r="G65" t="str">
        <f>LEFT(Table2[[#This Row],[Building]],8)</f>
        <v>AZ0555BB</v>
      </c>
      <c r="H65" t="str">
        <f>RIGHT(Table2[[#This Row],[Building]],LEN(Table2[[#This Row],[Building]])-9)</f>
        <v>Bs Bldg 1</v>
      </c>
    </row>
    <row r="66" spans="1:8" x14ac:dyDescent="0.25">
      <c r="A66" s="39" t="s">
        <v>103</v>
      </c>
      <c r="B66" s="29">
        <v>800.73</v>
      </c>
      <c r="C66" s="29">
        <v>625.17999999999995</v>
      </c>
      <c r="D66" s="29">
        <v>942.41</v>
      </c>
      <c r="E66" s="30">
        <v>2368.3200000000002</v>
      </c>
      <c r="F66" t="str">
        <f>LEFT(Table2[[#This Row],[Building]],2)</f>
        <v>AZ</v>
      </c>
      <c r="G66" t="str">
        <f>LEFT(Table2[[#This Row],[Building]],8)</f>
        <v>AZ0556BB</v>
      </c>
      <c r="H66" t="str">
        <f>RIGHT(Table2[[#This Row],[Building]],LEN(Table2[[#This Row],[Building]])-9)</f>
        <v>Bs Bldg 4 Kennel</v>
      </c>
    </row>
    <row r="67" spans="1:8" x14ac:dyDescent="0.25">
      <c r="A67" s="39" t="s">
        <v>104</v>
      </c>
      <c r="B67" s="34" t="s">
        <v>105</v>
      </c>
      <c r="C67" s="34" t="s">
        <v>106</v>
      </c>
      <c r="D67" s="34" t="s">
        <v>107</v>
      </c>
      <c r="E67" s="33" t="s">
        <v>108</v>
      </c>
      <c r="F67" t="str">
        <f>LEFT(Table2[[#This Row],[Building]],2)</f>
        <v>AZ</v>
      </c>
      <c r="G67" t="str">
        <f>LEFT(Table2[[#This Row],[Building]],8)</f>
        <v>AZ0601CC</v>
      </c>
      <c r="H67" t="str">
        <f>RIGHT(Table2[[#This Row],[Building]],LEN(Table2[[#This Row],[Building]])-9)</f>
        <v>Bs Main Bldg</v>
      </c>
    </row>
    <row r="68" spans="1:8" x14ac:dyDescent="0.25">
      <c r="A68" s="39" t="s">
        <v>109</v>
      </c>
      <c r="B68" s="29">
        <v>657.99</v>
      </c>
      <c r="C68" s="29">
        <v>664.36</v>
      </c>
      <c r="D68" s="29">
        <v>1354.76</v>
      </c>
      <c r="E68" s="30">
        <v>2677.11</v>
      </c>
      <c r="F68" t="str">
        <f>LEFT(Table2[[#This Row],[Building]],2)</f>
        <v>AZ</v>
      </c>
      <c r="G68" t="str">
        <f>LEFT(Table2[[#This Row],[Building]],8)</f>
        <v>AZ0602CC</v>
      </c>
      <c r="H68" t="str">
        <f>RIGHT(Table2[[#This Row],[Building]],LEN(Table2[[#This Row],[Building]])-9)</f>
        <v>Bs Garage</v>
      </c>
    </row>
    <row r="69" spans="1:8" x14ac:dyDescent="0.25">
      <c r="A69" s="39" t="s">
        <v>110</v>
      </c>
      <c r="B69" s="31">
        <v>6259.46</v>
      </c>
      <c r="C69" s="31">
        <v>6319.98</v>
      </c>
      <c r="D69" s="31">
        <v>12887</v>
      </c>
      <c r="E69" s="30">
        <v>25466.44</v>
      </c>
      <c r="F69" t="str">
        <f>LEFT(Table2[[#This Row],[Building]],2)</f>
        <v>AZ</v>
      </c>
      <c r="G69" t="str">
        <f>LEFT(Table2[[#This Row],[Building]],8)</f>
        <v>AZ0603CC</v>
      </c>
      <c r="H69" t="str">
        <f>RIGHT(Table2[[#This Row],[Building]],LEN(Table2[[#This Row],[Building]])-9)</f>
        <v>Bs Hd Hse Bldg 2</v>
      </c>
    </row>
    <row r="70" spans="1:8" ht="22.5" x14ac:dyDescent="0.25">
      <c r="A70" s="39" t="s">
        <v>111</v>
      </c>
      <c r="B70" s="29">
        <v>14901.34</v>
      </c>
      <c r="C70" s="29">
        <v>15045.23</v>
      </c>
      <c r="D70" s="29">
        <v>30678.47</v>
      </c>
      <c r="E70" s="30">
        <v>60625.04</v>
      </c>
      <c r="F70" t="str">
        <f>LEFT(Table2[[#This Row],[Building]],2)</f>
        <v>AZ</v>
      </c>
      <c r="G70" t="str">
        <f>LEFT(Table2[[#This Row],[Building]],8)</f>
        <v>AZ0604CC</v>
      </c>
      <c r="H70" t="str">
        <f>RIGHT(Table2[[#This Row],[Building]],LEN(Table2[[#This Row],[Building]])-9)</f>
        <v>Truck Inspection Can</v>
      </c>
    </row>
    <row r="71" spans="1:8" x14ac:dyDescent="0.25">
      <c r="A71" s="39" t="s">
        <v>112</v>
      </c>
      <c r="B71" s="34" t="s">
        <v>113</v>
      </c>
      <c r="C71" s="34" t="s">
        <v>114</v>
      </c>
      <c r="D71" s="34" t="s">
        <v>115</v>
      </c>
      <c r="E71" s="33" t="s">
        <v>116</v>
      </c>
      <c r="F71" t="str">
        <f>LEFT(Table2[[#This Row],[Building]],2)</f>
        <v>AZ</v>
      </c>
      <c r="G71" t="str">
        <f>LEFT(Table2[[#This Row],[Building]],8)</f>
        <v>AZ0611DD</v>
      </c>
      <c r="H71" t="str">
        <f>RIGHT(Table2[[#This Row],[Building]],LEN(Table2[[#This Row],[Building]])-9)</f>
        <v>Bs Main Bldg</v>
      </c>
    </row>
    <row r="72" spans="1:8" x14ac:dyDescent="0.25">
      <c r="A72" s="39" t="s">
        <v>117</v>
      </c>
      <c r="B72" s="29">
        <v>2856.42</v>
      </c>
      <c r="C72" s="29">
        <v>1292.79</v>
      </c>
      <c r="D72" s="29">
        <v>2502.88</v>
      </c>
      <c r="E72" s="30">
        <v>6652.09</v>
      </c>
      <c r="F72" t="str">
        <f>LEFT(Table2[[#This Row],[Building]],2)</f>
        <v>AZ</v>
      </c>
      <c r="G72" t="str">
        <f>LEFT(Table2[[#This Row],[Building]],8)</f>
        <v>AZ0612DD</v>
      </c>
      <c r="H72" t="str">
        <f>RIGHT(Table2[[#This Row],[Building]],LEN(Table2[[#This Row],[Building]])-9)</f>
        <v>Bs Garage</v>
      </c>
    </row>
    <row r="73" spans="1:8" x14ac:dyDescent="0.25">
      <c r="A73" s="39" t="s">
        <v>118</v>
      </c>
      <c r="B73" s="31">
        <v>90798.59</v>
      </c>
      <c r="C73" s="31">
        <v>100023.05</v>
      </c>
      <c r="D73" s="31">
        <v>79559.06</v>
      </c>
      <c r="E73" s="30">
        <v>270380.7</v>
      </c>
      <c r="F73" t="str">
        <f>LEFT(Table2[[#This Row],[Building]],2)</f>
        <v>AZ</v>
      </c>
      <c r="G73" t="str">
        <f>LEFT(Table2[[#This Row],[Building]],8)</f>
        <v>AZ0613DD</v>
      </c>
      <c r="H73" t="str">
        <f>RIGHT(Table2[[#This Row],[Building]],LEN(Table2[[#This Row],[Building]])-9)</f>
        <v>Pan American Ave</v>
      </c>
    </row>
    <row r="74" spans="1:8" x14ac:dyDescent="0.25">
      <c r="A74" s="39" t="s">
        <v>119</v>
      </c>
      <c r="B74" s="29">
        <v>58756.12</v>
      </c>
      <c r="C74" s="29">
        <v>26592.16</v>
      </c>
      <c r="D74" s="29">
        <v>51482.98</v>
      </c>
      <c r="E74" s="30">
        <v>136831.26</v>
      </c>
      <c r="F74" t="str">
        <f>LEFT(Table2[[#This Row],[Building]],2)</f>
        <v>AZ</v>
      </c>
      <c r="G74" t="str">
        <f>LEFT(Table2[[#This Row],[Building]],8)</f>
        <v>AZ0614DD</v>
      </c>
      <c r="H74" t="str">
        <f>RIGHT(Table2[[#This Row],[Building]],LEN(Table2[[#This Row],[Building]])-9)</f>
        <v>Hd Hse Bldg 2</v>
      </c>
    </row>
    <row r="75" spans="1:8" x14ac:dyDescent="0.25">
      <c r="A75" s="39" t="s">
        <v>120</v>
      </c>
      <c r="B75" s="31">
        <v>19078.400000000001</v>
      </c>
      <c r="C75" s="34" t="s">
        <v>121</v>
      </c>
      <c r="D75" s="31">
        <v>13078.37</v>
      </c>
      <c r="E75" s="30">
        <v>31396.52</v>
      </c>
      <c r="F75" t="str">
        <f>LEFT(Table2[[#This Row],[Building]],2)</f>
        <v>AZ</v>
      </c>
      <c r="G75" t="str">
        <f>LEFT(Table2[[#This Row],[Building]],8)</f>
        <v>AZ0631FF</v>
      </c>
      <c r="H75" t="str">
        <f>RIGHT(Table2[[#This Row],[Building]],LEN(Table2[[#This Row],[Building]])-9)</f>
        <v>Bdr Patl Sector Hqrs</v>
      </c>
    </row>
    <row r="76" spans="1:8" x14ac:dyDescent="0.25">
      <c r="A76" s="39" t="s">
        <v>122</v>
      </c>
      <c r="B76" s="29">
        <v>26512.35</v>
      </c>
      <c r="C76" s="29">
        <v>15720.1</v>
      </c>
      <c r="D76" s="29">
        <v>13848.54</v>
      </c>
      <c r="E76" s="30">
        <v>56080.99</v>
      </c>
      <c r="F76" t="str">
        <f>LEFT(Table2[[#This Row],[Building]],2)</f>
        <v>AZ</v>
      </c>
      <c r="G76" t="str">
        <f>LEFT(Table2[[#This Row],[Building]],8)</f>
        <v>AZ0632FF</v>
      </c>
      <c r="H76" t="str">
        <f>RIGHT(Table2[[#This Row],[Building]],LEN(Table2[[#This Row],[Building]])-9)</f>
        <v>Brdr Patl Sect Hq Ga</v>
      </c>
    </row>
    <row r="77" spans="1:8" x14ac:dyDescent="0.25">
      <c r="A77" s="39" t="s">
        <v>123</v>
      </c>
      <c r="B77" s="31">
        <v>2584.75</v>
      </c>
      <c r="C77" s="31">
        <v>27721.25</v>
      </c>
      <c r="D77" s="31">
        <v>4369.92</v>
      </c>
      <c r="E77" s="30">
        <v>34675.919999999998</v>
      </c>
      <c r="F77" t="str">
        <f>LEFT(Table2[[#This Row],[Building]],2)</f>
        <v>AZ</v>
      </c>
      <c r="G77" t="str">
        <f>LEFT(Table2[[#This Row],[Building]],8)</f>
        <v>AZ0670AA</v>
      </c>
      <c r="H77" t="str">
        <f>RIGHT(Table2[[#This Row],[Building]],LEN(Table2[[#This Row],[Building]])-9)</f>
        <v>Us Border Station</v>
      </c>
    </row>
    <row r="78" spans="1:8" x14ac:dyDescent="0.25">
      <c r="A78" s="39" t="s">
        <v>124</v>
      </c>
      <c r="B78" s="29">
        <v>16867.490000000002</v>
      </c>
      <c r="C78" s="29">
        <v>7606.8</v>
      </c>
      <c r="D78" s="29">
        <v>18936.169999999998</v>
      </c>
      <c r="E78" s="30">
        <v>43410.46</v>
      </c>
      <c r="F78" t="str">
        <f>LEFT(Table2[[#This Row],[Building]],2)</f>
        <v>AZ</v>
      </c>
      <c r="G78" t="str">
        <f>LEFT(Table2[[#This Row],[Building]],8)</f>
        <v>AZ0671AA</v>
      </c>
      <c r="H78" t="str">
        <f>RIGHT(Table2[[#This Row],[Building]],LEN(Table2[[#This Row],[Building]])-9)</f>
        <v>B S Loading Dock</v>
      </c>
    </row>
    <row r="79" spans="1:8" x14ac:dyDescent="0.25">
      <c r="A79" s="39" t="s">
        <v>125</v>
      </c>
      <c r="B79" s="31">
        <v>2961.21</v>
      </c>
      <c r="C79" s="31">
        <v>1335.39</v>
      </c>
      <c r="D79" s="31">
        <v>3324.3</v>
      </c>
      <c r="E79" s="30">
        <v>7620.9</v>
      </c>
      <c r="F79" t="str">
        <f>LEFT(Table2[[#This Row],[Building]],2)</f>
        <v>AZ</v>
      </c>
      <c r="G79" t="str">
        <f>LEFT(Table2[[#This Row],[Building]],8)</f>
        <v>AZ0673AA</v>
      </c>
      <c r="H79" t="str">
        <f>RIGHT(Table2[[#This Row],[Building]],LEN(Table2[[#This Row],[Building]])-9)</f>
        <v>B S Resident A</v>
      </c>
    </row>
    <row r="80" spans="1:8" x14ac:dyDescent="0.25">
      <c r="A80" s="39" t="s">
        <v>126</v>
      </c>
      <c r="B80" s="29">
        <v>2961.21</v>
      </c>
      <c r="C80" s="29">
        <v>1335.39</v>
      </c>
      <c r="D80" s="29">
        <v>3324.3</v>
      </c>
      <c r="E80" s="30">
        <v>7620.9</v>
      </c>
      <c r="F80" t="str">
        <f>LEFT(Table2[[#This Row],[Building]],2)</f>
        <v>AZ</v>
      </c>
      <c r="G80" t="str">
        <f>LEFT(Table2[[#This Row],[Building]],8)</f>
        <v>AZ0674AA</v>
      </c>
      <c r="H80" t="str">
        <f>RIGHT(Table2[[#This Row],[Building]],LEN(Table2[[#This Row],[Building]])-9)</f>
        <v>B S Resident B</v>
      </c>
    </row>
    <row r="81" spans="1:8" x14ac:dyDescent="0.25">
      <c r="A81" s="39" t="s">
        <v>127</v>
      </c>
      <c r="B81" s="31">
        <v>2961.18</v>
      </c>
      <c r="C81" s="31">
        <v>1335.35</v>
      </c>
      <c r="D81" s="31">
        <v>3324.29</v>
      </c>
      <c r="E81" s="30">
        <v>7620.82</v>
      </c>
      <c r="F81" t="str">
        <f>LEFT(Table2[[#This Row],[Building]],2)</f>
        <v>AZ</v>
      </c>
      <c r="G81" t="str">
        <f>LEFT(Table2[[#This Row],[Building]],8)</f>
        <v>AZ0675AA</v>
      </c>
      <c r="H81" t="str">
        <f>RIGHT(Table2[[#This Row],[Building]],LEN(Table2[[#This Row],[Building]])-9)</f>
        <v>B S Resident C</v>
      </c>
    </row>
    <row r="82" spans="1:8" x14ac:dyDescent="0.25">
      <c r="A82" s="39" t="s">
        <v>128</v>
      </c>
      <c r="B82" s="29">
        <v>2961.21</v>
      </c>
      <c r="C82" s="29">
        <v>1335.39</v>
      </c>
      <c r="D82" s="29">
        <v>3324.3</v>
      </c>
      <c r="E82" s="30">
        <v>7620.9</v>
      </c>
      <c r="F82" t="str">
        <f>LEFT(Table2[[#This Row],[Building]],2)</f>
        <v>AZ</v>
      </c>
      <c r="G82" t="str">
        <f>LEFT(Table2[[#This Row],[Building]],8)</f>
        <v>AZ0676AA</v>
      </c>
      <c r="H82" t="str">
        <f>RIGHT(Table2[[#This Row],[Building]],LEN(Table2[[#This Row],[Building]])-9)</f>
        <v>B S Resident D</v>
      </c>
    </row>
    <row r="83" spans="1:8" x14ac:dyDescent="0.25">
      <c r="A83" s="39" t="s">
        <v>129</v>
      </c>
      <c r="B83" s="31">
        <v>2961.04</v>
      </c>
      <c r="C83" s="31">
        <v>1335.4</v>
      </c>
      <c r="D83" s="31">
        <v>3324.36</v>
      </c>
      <c r="E83" s="30">
        <v>7620.8</v>
      </c>
      <c r="F83" t="str">
        <f>LEFT(Table2[[#This Row],[Building]],2)</f>
        <v>AZ</v>
      </c>
      <c r="G83" t="str">
        <f>LEFT(Table2[[#This Row],[Building]],8)</f>
        <v>AZ0677AA</v>
      </c>
      <c r="H83" t="str">
        <f>RIGHT(Table2[[#This Row],[Building]],LEN(Table2[[#This Row],[Building]])-9)</f>
        <v>B S Resident E</v>
      </c>
    </row>
    <row r="84" spans="1:8" x14ac:dyDescent="0.25">
      <c r="A84" s="39" t="s">
        <v>130</v>
      </c>
      <c r="B84" s="29">
        <v>2961.09</v>
      </c>
      <c r="C84" s="29">
        <v>1335.42</v>
      </c>
      <c r="D84" s="29">
        <v>3324.32</v>
      </c>
      <c r="E84" s="30">
        <v>7620.83</v>
      </c>
      <c r="F84" t="str">
        <f>LEFT(Table2[[#This Row],[Building]],2)</f>
        <v>AZ</v>
      </c>
      <c r="G84" t="str">
        <f>LEFT(Table2[[#This Row],[Building]],8)</f>
        <v>AZ0678AA</v>
      </c>
      <c r="H84" t="str">
        <f>RIGHT(Table2[[#This Row],[Building]],LEN(Table2[[#This Row],[Building]])-9)</f>
        <v>B S Resident F</v>
      </c>
    </row>
    <row r="85" spans="1:8" x14ac:dyDescent="0.25">
      <c r="A85" s="39" t="s">
        <v>131</v>
      </c>
      <c r="B85" s="31">
        <v>2961.21</v>
      </c>
      <c r="C85" s="31">
        <v>1335.39</v>
      </c>
      <c r="D85" s="31">
        <v>3324.3</v>
      </c>
      <c r="E85" s="30">
        <v>7620.9</v>
      </c>
      <c r="F85" t="str">
        <f>LEFT(Table2[[#This Row],[Building]],2)</f>
        <v>AZ</v>
      </c>
      <c r="G85" t="str">
        <f>LEFT(Table2[[#This Row],[Building]],8)</f>
        <v>AZ0679AA</v>
      </c>
      <c r="H85" t="str">
        <f>RIGHT(Table2[[#This Row],[Building]],LEN(Table2[[#This Row],[Building]])-9)</f>
        <v>B S Resident G</v>
      </c>
    </row>
    <row r="86" spans="1:8" x14ac:dyDescent="0.25">
      <c r="A86" s="39" t="s">
        <v>132</v>
      </c>
      <c r="B86" s="32" t="s">
        <v>133</v>
      </c>
      <c r="C86" s="32" t="s">
        <v>134</v>
      </c>
      <c r="D86" s="32" t="s">
        <v>135</v>
      </c>
      <c r="E86" s="33" t="s">
        <v>136</v>
      </c>
      <c r="F86" t="str">
        <f>LEFT(Table2[[#This Row],[Building]],2)</f>
        <v>AZ</v>
      </c>
      <c r="G86" t="str">
        <f>LEFT(Table2[[#This Row],[Building]],8)</f>
        <v>AZ0681HH</v>
      </c>
      <c r="H86" t="str">
        <f>RIGHT(Table2[[#This Row],[Building]],LEN(Table2[[#This Row],[Building]])-9)</f>
        <v>Bs Main Bldg</v>
      </c>
    </row>
    <row r="87" spans="1:8" x14ac:dyDescent="0.25">
      <c r="A87" s="39" t="s">
        <v>137</v>
      </c>
      <c r="B87" s="31">
        <v>4546.38</v>
      </c>
      <c r="C87" s="31">
        <v>4414.88</v>
      </c>
      <c r="D87" s="31">
        <v>4578.4799999999996</v>
      </c>
      <c r="E87" s="30">
        <v>13539.74</v>
      </c>
      <c r="F87" t="str">
        <f>LEFT(Table2[[#This Row],[Building]],2)</f>
        <v>AZ</v>
      </c>
      <c r="G87" t="str">
        <f>LEFT(Table2[[#This Row],[Building]],8)</f>
        <v>AZ0682HH</v>
      </c>
      <c r="H87" t="str">
        <f>RIGHT(Table2[[#This Row],[Building]],LEN(Table2[[#This Row],[Building]])-9)</f>
        <v>Us Border Station</v>
      </c>
    </row>
    <row r="88" spans="1:8" x14ac:dyDescent="0.25">
      <c r="A88" s="39" t="s">
        <v>138</v>
      </c>
      <c r="B88" s="29">
        <v>10770.16</v>
      </c>
      <c r="C88" s="29">
        <v>10458.73</v>
      </c>
      <c r="D88" s="29">
        <v>10846.2</v>
      </c>
      <c r="E88" s="30">
        <v>32075.09</v>
      </c>
      <c r="F88" t="str">
        <f>LEFT(Table2[[#This Row],[Building]],2)</f>
        <v>AZ</v>
      </c>
      <c r="G88" t="str">
        <f>LEFT(Table2[[#This Row],[Building]],8)</f>
        <v>AZ0683HH</v>
      </c>
      <c r="H88" t="str">
        <f>RIGHT(Table2[[#This Row],[Building]],LEN(Table2[[#This Row],[Building]])-9)</f>
        <v>Us Border Station</v>
      </c>
    </row>
    <row r="89" spans="1:8" x14ac:dyDescent="0.25">
      <c r="A89" s="39" t="s">
        <v>139</v>
      </c>
      <c r="B89" s="31">
        <v>6876.56</v>
      </c>
      <c r="C89" s="31">
        <v>6677.73</v>
      </c>
      <c r="D89" s="31">
        <v>6925.2</v>
      </c>
      <c r="E89" s="30">
        <v>20479.490000000002</v>
      </c>
      <c r="F89" t="str">
        <f>LEFT(Table2[[#This Row],[Building]],2)</f>
        <v>AZ</v>
      </c>
      <c r="G89" t="str">
        <f>LEFT(Table2[[#This Row],[Building]],8)</f>
        <v>AZ0684HH</v>
      </c>
      <c r="H89" t="str">
        <f>RIGHT(Table2[[#This Row],[Building]],LEN(Table2[[#This Row],[Building]])-9)</f>
        <v>Us Border Station</v>
      </c>
    </row>
    <row r="90" spans="1:8" x14ac:dyDescent="0.25">
      <c r="A90" s="39" t="s">
        <v>140</v>
      </c>
      <c r="B90" s="29">
        <v>2961.15</v>
      </c>
      <c r="C90" s="29">
        <v>1335.44</v>
      </c>
      <c r="D90" s="29">
        <v>3324.37</v>
      </c>
      <c r="E90" s="30">
        <v>7620.96</v>
      </c>
      <c r="F90" t="str">
        <f>LEFT(Table2[[#This Row],[Building]],2)</f>
        <v>AZ</v>
      </c>
      <c r="G90" t="str">
        <f>LEFT(Table2[[#This Row],[Building]],8)</f>
        <v>AZ0690AA</v>
      </c>
      <c r="H90" t="str">
        <f>RIGHT(Table2[[#This Row],[Building]],LEN(Table2[[#This Row],[Building]])-9)</f>
        <v>B S Resident H</v>
      </c>
    </row>
    <row r="91" spans="1:8" x14ac:dyDescent="0.25">
      <c r="A91" s="39" t="s">
        <v>141</v>
      </c>
      <c r="B91" s="31">
        <v>2961.21</v>
      </c>
      <c r="C91" s="31">
        <v>1335.39</v>
      </c>
      <c r="D91" s="31">
        <v>3324.3</v>
      </c>
      <c r="E91" s="30">
        <v>7620.9</v>
      </c>
      <c r="F91" t="str">
        <f>LEFT(Table2[[#This Row],[Building]],2)</f>
        <v>AZ</v>
      </c>
      <c r="G91" t="str">
        <f>LEFT(Table2[[#This Row],[Building]],8)</f>
        <v>AZ0691AA</v>
      </c>
      <c r="H91" t="str">
        <f>RIGHT(Table2[[#This Row],[Building]],LEN(Table2[[#This Row],[Building]])-9)</f>
        <v>B S Resident I</v>
      </c>
    </row>
    <row r="92" spans="1:8" x14ac:dyDescent="0.25">
      <c r="A92" s="39" t="s">
        <v>142</v>
      </c>
      <c r="B92" s="29">
        <v>2961.15</v>
      </c>
      <c r="C92" s="29">
        <v>1335.42</v>
      </c>
      <c r="D92" s="29">
        <v>3324.26</v>
      </c>
      <c r="E92" s="30">
        <v>7620.83</v>
      </c>
      <c r="F92" t="str">
        <f>LEFT(Table2[[#This Row],[Building]],2)</f>
        <v>AZ</v>
      </c>
      <c r="G92" t="str">
        <f>LEFT(Table2[[#This Row],[Building]],8)</f>
        <v>AZ0692AA</v>
      </c>
      <c r="H92" t="str">
        <f>RIGHT(Table2[[#This Row],[Building]],LEN(Table2[[#This Row],[Building]])-9)</f>
        <v>B S Resident J</v>
      </c>
    </row>
    <row r="93" spans="1:8" x14ac:dyDescent="0.25">
      <c r="A93" s="39" t="s">
        <v>143</v>
      </c>
      <c r="B93" s="31">
        <v>930.63</v>
      </c>
      <c r="C93" s="31">
        <v>419.73</v>
      </c>
      <c r="D93" s="31">
        <v>1044.92</v>
      </c>
      <c r="E93" s="30">
        <v>2395.2800000000002</v>
      </c>
      <c r="F93" t="str">
        <f>LEFT(Table2[[#This Row],[Building]],2)</f>
        <v>AZ</v>
      </c>
      <c r="G93" t="str">
        <f>LEFT(Table2[[#This Row],[Building]],8)</f>
        <v>AZ0698AA</v>
      </c>
      <c r="H93" t="str">
        <f>RIGHT(Table2[[#This Row],[Building]],LEN(Table2[[#This Row],[Building]])-9)</f>
        <v>B S Pump House</v>
      </c>
    </row>
    <row r="94" spans="1:8" x14ac:dyDescent="0.25">
      <c r="A94" s="39" t="s">
        <v>144</v>
      </c>
      <c r="B94" s="32" t="s">
        <v>145</v>
      </c>
      <c r="C94" s="32" t="s">
        <v>146</v>
      </c>
      <c r="D94" s="32" t="s">
        <v>147</v>
      </c>
      <c r="E94" s="33" t="s">
        <v>148</v>
      </c>
      <c r="F94" t="str">
        <f>LEFT(Table2[[#This Row],[Building]],2)</f>
        <v>AZ</v>
      </c>
      <c r="G94" t="str">
        <f>LEFT(Table2[[#This Row],[Building]],8)</f>
        <v>AZ0704GG</v>
      </c>
      <c r="H94" t="str">
        <f>RIGHT(Table2[[#This Row],[Building]],LEN(Table2[[#This Row],[Building]])-9)</f>
        <v>B.S. Main Building</v>
      </c>
    </row>
    <row r="95" spans="1:8" ht="22.5" x14ac:dyDescent="0.25">
      <c r="A95" s="39" t="s">
        <v>149</v>
      </c>
      <c r="B95" s="31">
        <v>99191.67</v>
      </c>
      <c r="C95" s="31">
        <v>60665.79</v>
      </c>
      <c r="D95" s="31">
        <v>71047.64</v>
      </c>
      <c r="E95" s="30">
        <v>230905.1</v>
      </c>
      <c r="F95" t="str">
        <f>LEFT(Table2[[#This Row],[Building]],2)</f>
        <v>AZ</v>
      </c>
      <c r="G95" t="str">
        <f>LEFT(Table2[[#This Row],[Building]],8)</f>
        <v>AZ0705GG</v>
      </c>
      <c r="H95" t="str">
        <f>RIGHT(Table2[[#This Row],[Building]],LEN(Table2[[#This Row],[Building]])-9)</f>
        <v>St Hwy 95&amp; Int'L Bor</v>
      </c>
    </row>
    <row r="96" spans="1:8" ht="22.5" x14ac:dyDescent="0.25">
      <c r="A96" s="39" t="s">
        <v>150</v>
      </c>
      <c r="B96" s="29">
        <v>110971.01</v>
      </c>
      <c r="C96" s="29">
        <v>67870.03</v>
      </c>
      <c r="D96" s="29">
        <v>79485.279999999999</v>
      </c>
      <c r="E96" s="30">
        <v>258326.32</v>
      </c>
      <c r="F96" t="str">
        <f>LEFT(Table2[[#This Row],[Building]],2)</f>
        <v>AZ</v>
      </c>
      <c r="G96" t="str">
        <f>LEFT(Table2[[#This Row],[Building]],8)</f>
        <v>AZ0706GG</v>
      </c>
      <c r="H96" t="str">
        <f>RIGHT(Table2[[#This Row],[Building]],LEN(Table2[[#This Row],[Building]])-9)</f>
        <v>Truck Inspection Fac</v>
      </c>
    </row>
    <row r="97" spans="1:8" ht="22.5" x14ac:dyDescent="0.25">
      <c r="A97" s="39" t="s">
        <v>151</v>
      </c>
      <c r="B97" s="31">
        <v>1749.74</v>
      </c>
      <c r="C97" s="31">
        <v>789.2</v>
      </c>
      <c r="D97" s="31">
        <v>1964.43</v>
      </c>
      <c r="E97" s="30">
        <v>4503.37</v>
      </c>
      <c r="F97" t="str">
        <f>LEFT(Table2[[#This Row],[Building]],2)</f>
        <v>AZ</v>
      </c>
      <c r="G97" t="str">
        <f>LEFT(Table2[[#This Row],[Building]],8)</f>
        <v>AZ0710AA</v>
      </c>
      <c r="H97" t="str">
        <f>RIGHT(Table2[[#This Row],[Building]],LEN(Table2[[#This Row],[Building]])-9)</f>
        <v>Sewage Treatment Pla</v>
      </c>
    </row>
    <row r="98" spans="1:8" x14ac:dyDescent="0.25">
      <c r="A98" s="39" t="s">
        <v>152</v>
      </c>
      <c r="B98" s="29">
        <v>1464194.39</v>
      </c>
      <c r="C98" s="29">
        <v>797048.95</v>
      </c>
      <c r="D98" s="29">
        <v>1739680.63</v>
      </c>
      <c r="E98" s="30">
        <v>4000923.97</v>
      </c>
      <c r="F98" t="str">
        <f>LEFT(Table2[[#This Row],[Building]],2)</f>
        <v>CA</v>
      </c>
      <c r="G98" t="str">
        <f>LEFT(Table2[[#This Row],[Building]],8)</f>
        <v>CA0041ZZ</v>
      </c>
      <c r="H98" t="str">
        <f>RIGHT(Table2[[#This Row],[Building]],LEN(Table2[[#This Row],[Building]])-9)</f>
        <v>Us Court House</v>
      </c>
    </row>
    <row r="99" spans="1:8" x14ac:dyDescent="0.25">
      <c r="A99" s="39" t="s">
        <v>153</v>
      </c>
      <c r="B99" s="31">
        <v>257319.36</v>
      </c>
      <c r="C99" s="31">
        <v>109905.39</v>
      </c>
      <c r="D99" s="31">
        <v>728977.83</v>
      </c>
      <c r="E99" s="30">
        <v>1096202.58</v>
      </c>
      <c r="F99" t="str">
        <f>LEFT(Table2[[#This Row],[Building]],2)</f>
        <v>CA</v>
      </c>
      <c r="G99" t="str">
        <f>LEFT(Table2[[#This Row],[Building]],8)</f>
        <v>CA0083ZZ</v>
      </c>
      <c r="H99" t="str">
        <f>RIGHT(Table2[[#This Row],[Building]],LEN(Table2[[#This Row],[Building]])-9)</f>
        <v>Federal Building</v>
      </c>
    </row>
    <row r="100" spans="1:8" ht="22.5" x14ac:dyDescent="0.25">
      <c r="A100" s="39" t="s">
        <v>154</v>
      </c>
      <c r="B100" s="29">
        <v>138580.43</v>
      </c>
      <c r="C100" s="29">
        <v>156124.20000000001</v>
      </c>
      <c r="D100" s="29">
        <v>269499.81</v>
      </c>
      <c r="E100" s="30">
        <v>564204.43999999994</v>
      </c>
      <c r="F100" t="str">
        <f>LEFT(Table2[[#This Row],[Building]],2)</f>
        <v>CA</v>
      </c>
      <c r="G100" t="str">
        <f>LEFT(Table2[[#This Row],[Building]],8)</f>
        <v>CA0088ZZ</v>
      </c>
      <c r="H100" t="str">
        <f>RIGHT(Table2[[#This Row],[Building]],LEN(Table2[[#This Row],[Building]])-9)</f>
        <v>J. Weinberger Courth</v>
      </c>
    </row>
    <row r="101" spans="1:8" x14ac:dyDescent="0.25">
      <c r="A101" s="39" t="s">
        <v>155</v>
      </c>
      <c r="B101" s="31">
        <v>930448.36</v>
      </c>
      <c r="C101" s="31">
        <v>444001.45</v>
      </c>
      <c r="D101" s="31">
        <v>1020208.37</v>
      </c>
      <c r="E101" s="30">
        <v>2394658.1800000002</v>
      </c>
      <c r="F101" t="str">
        <f>LEFT(Table2[[#This Row],[Building]],2)</f>
        <v>CA</v>
      </c>
      <c r="G101" t="str">
        <f>LEFT(Table2[[#This Row],[Building]],8)</f>
        <v>CA0091AA</v>
      </c>
      <c r="H101" t="str">
        <f>RIGHT(Table2[[#This Row],[Building]],LEN(Table2[[#This Row],[Building]])-9)</f>
        <v>Appraisers Bldg</v>
      </c>
    </row>
    <row r="102" spans="1:8" x14ac:dyDescent="0.25">
      <c r="A102" s="39" t="s">
        <v>156</v>
      </c>
      <c r="B102" s="29">
        <v>270279.53000000003</v>
      </c>
      <c r="C102" s="29">
        <v>5512.94</v>
      </c>
      <c r="D102" s="29">
        <v>301503.05</v>
      </c>
      <c r="E102" s="30">
        <v>577295.52</v>
      </c>
      <c r="F102" t="str">
        <f>LEFT(Table2[[#This Row],[Building]],2)</f>
        <v>CA</v>
      </c>
      <c r="G102" t="str">
        <f>LEFT(Table2[[#This Row],[Building]],8)</f>
        <v>CA0092AA</v>
      </c>
      <c r="H102" t="str">
        <f>RIGHT(Table2[[#This Row],[Building]],LEN(Table2[[#This Row],[Building]])-9)</f>
        <v>Us Custom House</v>
      </c>
    </row>
    <row r="103" spans="1:8" x14ac:dyDescent="0.25">
      <c r="A103" s="39" t="s">
        <v>157</v>
      </c>
      <c r="B103" s="31">
        <v>830090.69</v>
      </c>
      <c r="C103" s="31">
        <v>343023.37</v>
      </c>
      <c r="D103" s="31">
        <v>643521.72</v>
      </c>
      <c r="E103" s="30">
        <v>1816635.78</v>
      </c>
      <c r="F103" t="str">
        <f>LEFT(Table2[[#This Row],[Building]],2)</f>
        <v>CA</v>
      </c>
      <c r="G103" t="str">
        <f>LEFT(Table2[[#This Row],[Building]],8)</f>
        <v>CA0093ZZ</v>
      </c>
      <c r="H103" t="str">
        <f>RIGHT(Table2[[#This Row],[Building]],LEN(Table2[[#This Row],[Building]])-9)</f>
        <v>Federal Office Bldg</v>
      </c>
    </row>
    <row r="104" spans="1:8" ht="22.5" x14ac:dyDescent="0.25">
      <c r="A104" s="39" t="s">
        <v>158</v>
      </c>
      <c r="B104" s="29">
        <v>1069375.6599999999</v>
      </c>
      <c r="C104" s="29">
        <v>425155.23</v>
      </c>
      <c r="D104" s="29">
        <v>860362.38</v>
      </c>
      <c r="E104" s="30">
        <v>2354893.27</v>
      </c>
      <c r="F104" t="str">
        <f>LEFT(Table2[[#This Row],[Building]],2)</f>
        <v>CA</v>
      </c>
      <c r="G104" t="str">
        <f>LEFT(Table2[[#This Row],[Building]],8)</f>
        <v>CA0096DD</v>
      </c>
      <c r="H104" t="str">
        <f>RIGHT(Table2[[#This Row],[Building]],LEN(Table2[[#This Row],[Building]])-9)</f>
        <v>James R. Browning U.</v>
      </c>
    </row>
    <row r="105" spans="1:8" x14ac:dyDescent="0.25">
      <c r="A105" s="39" t="s">
        <v>159</v>
      </c>
      <c r="B105" s="31">
        <v>153113.31</v>
      </c>
      <c r="C105" s="31">
        <v>49468.83</v>
      </c>
      <c r="D105" s="31">
        <v>87195.6</v>
      </c>
      <c r="E105" s="30">
        <v>289777.74</v>
      </c>
      <c r="F105" t="str">
        <f>LEFT(Table2[[#This Row],[Building]],2)</f>
        <v>CA</v>
      </c>
      <c r="G105" t="str">
        <f>LEFT(Table2[[#This Row],[Building]],8)</f>
        <v>CA0149ZZ</v>
      </c>
      <c r="H105" t="str">
        <f>RIGHT(Table2[[#This Row],[Building]],LEN(Table2[[#This Row],[Building]])-9)</f>
        <v>Federal Building</v>
      </c>
    </row>
    <row r="106" spans="1:8" x14ac:dyDescent="0.25">
      <c r="A106" s="39" t="s">
        <v>160</v>
      </c>
      <c r="B106" s="29">
        <v>1057964.67</v>
      </c>
      <c r="C106" s="29">
        <v>1394657.73</v>
      </c>
      <c r="D106" s="29">
        <v>2054145.37</v>
      </c>
      <c r="E106" s="30">
        <v>4506767.7699999996</v>
      </c>
      <c r="F106" t="str">
        <f>LEFT(Table2[[#This Row],[Building]],2)</f>
        <v>CA</v>
      </c>
      <c r="G106" t="str">
        <f>LEFT(Table2[[#This Row],[Building]],8)</f>
        <v>CA0150CC</v>
      </c>
      <c r="H106" t="str">
        <f>RIGHT(Table2[[#This Row],[Building]],LEN(Table2[[#This Row],[Building]])-9)</f>
        <v>Federal Building</v>
      </c>
    </row>
    <row r="107" spans="1:8" ht="22.5" x14ac:dyDescent="0.25">
      <c r="A107" s="39" t="s">
        <v>161</v>
      </c>
      <c r="B107" s="31">
        <v>560641.4</v>
      </c>
      <c r="C107" s="31">
        <v>286886.98</v>
      </c>
      <c r="D107" s="31">
        <v>756169.18</v>
      </c>
      <c r="E107" s="30">
        <v>1603697.56</v>
      </c>
      <c r="F107" t="str">
        <f>LEFT(Table2[[#This Row],[Building]],2)</f>
        <v>CA</v>
      </c>
      <c r="G107" t="str">
        <f>LEFT(Table2[[#This Row],[Building]],8)</f>
        <v>CA0152ZZ</v>
      </c>
      <c r="H107" t="str">
        <f>RIGHT(Table2[[#This Row],[Building]],LEN(Table2[[#This Row],[Building]])-9)</f>
        <v>John E. Moss Federal</v>
      </c>
    </row>
    <row r="108" spans="1:8" x14ac:dyDescent="0.25">
      <c r="A108" s="39" t="s">
        <v>162</v>
      </c>
      <c r="B108" s="29">
        <v>3337912.33</v>
      </c>
      <c r="C108" s="29">
        <v>1393942.23</v>
      </c>
      <c r="D108" s="29">
        <v>3777803</v>
      </c>
      <c r="E108" s="30">
        <v>8509657.5600000005</v>
      </c>
      <c r="F108" t="str">
        <f>LEFT(Table2[[#This Row],[Building]],2)</f>
        <v>CA</v>
      </c>
      <c r="G108" t="str">
        <f>LEFT(Table2[[#This Row],[Building]],8)</f>
        <v>CA0154ZZ</v>
      </c>
      <c r="H108" t="str">
        <f>RIGHT(Table2[[#This Row],[Building]],LEN(Table2[[#This Row],[Building]])-9)</f>
        <v>Phillip Burton,Fb Ct</v>
      </c>
    </row>
    <row r="109" spans="1:8" ht="22.5" x14ac:dyDescent="0.25">
      <c r="A109" s="39" t="s">
        <v>163</v>
      </c>
      <c r="B109" s="31">
        <v>1022908.13</v>
      </c>
      <c r="C109" s="31">
        <v>1753975.87</v>
      </c>
      <c r="D109" s="31">
        <v>1334558.72</v>
      </c>
      <c r="E109" s="30">
        <v>4111442.72</v>
      </c>
      <c r="F109" t="str">
        <f>LEFT(Table2[[#This Row],[Building]],2)</f>
        <v>CA</v>
      </c>
      <c r="G109" t="str">
        <f>LEFT(Table2[[#This Row],[Building]],8)</f>
        <v>CA0167ZZ</v>
      </c>
      <c r="H109" t="str">
        <f>RIGHT(Table2[[#This Row],[Building]],LEN(Table2[[#This Row],[Building]])-9)</f>
        <v>Edward J. Schwartz F</v>
      </c>
    </row>
    <row r="110" spans="1:8" x14ac:dyDescent="0.25">
      <c r="A110" s="39" t="s">
        <v>164</v>
      </c>
      <c r="B110" s="29">
        <v>960016.97</v>
      </c>
      <c r="C110" s="29">
        <v>1122814.6000000001</v>
      </c>
      <c r="D110" s="29">
        <v>857729.55</v>
      </c>
      <c r="E110" s="30">
        <v>2940561.12</v>
      </c>
      <c r="F110" t="str">
        <f>LEFT(Table2[[#This Row],[Building]],2)</f>
        <v>CA</v>
      </c>
      <c r="G110" t="str">
        <f>LEFT(Table2[[#This Row],[Building]],8)</f>
        <v>CA0168ZZ</v>
      </c>
      <c r="H110" t="str">
        <f>RIGHT(Table2[[#This Row],[Building]],LEN(Table2[[#This Row],[Building]])-9)</f>
        <v>Federal Building</v>
      </c>
    </row>
    <row r="111" spans="1:8" x14ac:dyDescent="0.25">
      <c r="A111" s="39" t="s">
        <v>165</v>
      </c>
      <c r="B111" s="31">
        <v>74385.23</v>
      </c>
      <c r="C111" s="31">
        <v>31491.49</v>
      </c>
      <c r="D111" s="31">
        <v>38726.51</v>
      </c>
      <c r="E111" s="30">
        <v>144603.23000000001</v>
      </c>
      <c r="F111" t="str">
        <f>LEFT(Table2[[#This Row],[Building]],2)</f>
        <v>CA</v>
      </c>
      <c r="G111" t="str">
        <f>LEFT(Table2[[#This Row],[Building]],8)</f>
        <v>CA0185ZZ</v>
      </c>
      <c r="H111" t="str">
        <f>RIGHT(Table2[[#This Row],[Building]],LEN(Table2[[#This Row],[Building]])-9)</f>
        <v>Social Security Bldg</v>
      </c>
    </row>
    <row r="112" spans="1:8" x14ac:dyDescent="0.25">
      <c r="A112" s="39" t="s">
        <v>166</v>
      </c>
      <c r="B112" s="29">
        <v>56701.95</v>
      </c>
      <c r="C112" s="29">
        <v>56814.09</v>
      </c>
      <c r="D112" s="29">
        <v>33369.769999999997</v>
      </c>
      <c r="E112" s="30">
        <v>146885.81</v>
      </c>
      <c r="F112" t="str">
        <f>LEFT(Table2[[#This Row],[Building]],2)</f>
        <v>CA</v>
      </c>
      <c r="G112" t="str">
        <f>LEFT(Table2[[#This Row],[Building]],8)</f>
        <v>CA0194ZZ</v>
      </c>
      <c r="H112" t="str">
        <f>RIGHT(Table2[[#This Row],[Building]],LEN(Table2[[#This Row],[Building]])-9)</f>
        <v>Social Security Buil</v>
      </c>
    </row>
    <row r="113" spans="1:8" ht="22.5" x14ac:dyDescent="0.25">
      <c r="A113" s="39" t="s">
        <v>167</v>
      </c>
      <c r="B113" s="31">
        <v>105580.08</v>
      </c>
      <c r="C113" s="31">
        <v>78111.009999999995</v>
      </c>
      <c r="D113" s="31">
        <v>564092.62</v>
      </c>
      <c r="E113" s="30">
        <v>747783.71</v>
      </c>
      <c r="F113" t="str">
        <f>LEFT(Table2[[#This Row],[Building]],2)</f>
        <v>CA</v>
      </c>
      <c r="G113" t="str">
        <f>LEFT(Table2[[#This Row],[Building]],8)</f>
        <v>CA0198ZZ</v>
      </c>
      <c r="H113" t="str">
        <f>RIGHT(Table2[[#This Row],[Building]],LEN(Table2[[#This Row],[Building]])-9)</f>
        <v>James C. Corman Fed</v>
      </c>
    </row>
    <row r="114" spans="1:8" x14ac:dyDescent="0.25">
      <c r="A114" s="39" t="s">
        <v>168</v>
      </c>
      <c r="B114" s="29">
        <v>744196.46</v>
      </c>
      <c r="C114" s="29">
        <v>359957.67</v>
      </c>
      <c r="D114" s="29">
        <v>723989.3</v>
      </c>
      <c r="E114" s="30">
        <v>1828143.43</v>
      </c>
      <c r="F114" t="str">
        <f>LEFT(Table2[[#This Row],[Building]],2)</f>
        <v>CA</v>
      </c>
      <c r="G114" t="str">
        <f>LEFT(Table2[[#This Row],[Building]],8)</f>
        <v>CA0199MM</v>
      </c>
      <c r="H114" t="str">
        <f>RIGHT(Table2[[#This Row],[Building]],LEN(Table2[[#This Row],[Building]])-9)</f>
        <v>Federal Building</v>
      </c>
    </row>
    <row r="115" spans="1:8" x14ac:dyDescent="0.25">
      <c r="A115" s="39" t="s">
        <v>169</v>
      </c>
      <c r="B115" s="31">
        <v>423275.45</v>
      </c>
      <c r="C115" s="31">
        <v>392230.46</v>
      </c>
      <c r="D115" s="31">
        <v>443628.7</v>
      </c>
      <c r="E115" s="30">
        <v>1259134.6100000001</v>
      </c>
      <c r="F115" t="str">
        <f>LEFT(Table2[[#This Row],[Building]],2)</f>
        <v>CA</v>
      </c>
      <c r="G115" t="str">
        <f>LEFT(Table2[[#This Row],[Building]],8)</f>
        <v>CA0200ZZ</v>
      </c>
      <c r="H115" t="str">
        <f>RIGHT(Table2[[#This Row],[Building]],LEN(Table2[[#This Row],[Building]])-9)</f>
        <v>Federal Building</v>
      </c>
    </row>
    <row r="116" spans="1:8" ht="22.5" x14ac:dyDescent="0.25">
      <c r="A116" s="39" t="s">
        <v>170</v>
      </c>
      <c r="B116" s="29">
        <v>183826.02</v>
      </c>
      <c r="C116" s="29">
        <v>127769.69</v>
      </c>
      <c r="D116" s="29">
        <v>336177.14</v>
      </c>
      <c r="E116" s="30">
        <v>647772.85</v>
      </c>
      <c r="F116" t="str">
        <f>LEFT(Table2[[#This Row],[Building]],2)</f>
        <v>CA</v>
      </c>
      <c r="G116" t="str">
        <f>LEFT(Table2[[#This Row],[Building]],8)</f>
        <v>CA0221ZZ</v>
      </c>
      <c r="H116" t="str">
        <f>RIGHT(Table2[[#This Row],[Building]],LEN(Table2[[#This Row],[Building]])-9)</f>
        <v>John F Shea Fed Bldg</v>
      </c>
    </row>
    <row r="117" spans="1:8" ht="22.5" x14ac:dyDescent="0.25">
      <c r="A117" s="39" t="s">
        <v>171</v>
      </c>
      <c r="B117" s="31">
        <v>377263.68</v>
      </c>
      <c r="C117" s="31">
        <v>352340.8</v>
      </c>
      <c r="D117" s="31">
        <v>490023.25</v>
      </c>
      <c r="E117" s="30">
        <v>1219627.73</v>
      </c>
      <c r="F117" t="str">
        <f>LEFT(Table2[[#This Row],[Building]],2)</f>
        <v>CA</v>
      </c>
      <c r="G117" t="str">
        <f>LEFT(Table2[[#This Row],[Building]],8)</f>
        <v>CA0224ZZ</v>
      </c>
      <c r="H117" t="str">
        <f>RIGHT(Table2[[#This Row],[Building]],LEN(Table2[[#This Row],[Building]])-9)</f>
        <v>Hawthorne Federal Bu</v>
      </c>
    </row>
    <row r="118" spans="1:8" x14ac:dyDescent="0.25">
      <c r="A118" s="39" t="s">
        <v>172</v>
      </c>
      <c r="B118" s="29">
        <v>313710.34999999998</v>
      </c>
      <c r="C118" s="29">
        <v>156906.32999999999</v>
      </c>
      <c r="D118" s="29">
        <v>542047.65</v>
      </c>
      <c r="E118" s="30">
        <v>1012664.33</v>
      </c>
      <c r="F118" t="str">
        <f>LEFT(Table2[[#This Row],[Building]],2)</f>
        <v>CA</v>
      </c>
      <c r="G118" t="str">
        <f>LEFT(Table2[[#This Row],[Building]],8)</f>
        <v>CA0235ZZ</v>
      </c>
      <c r="H118" t="str">
        <f>RIGHT(Table2[[#This Row],[Building]],LEN(Table2[[#This Row],[Building]])-9)</f>
        <v>Leo J. Ryan Federal</v>
      </c>
    </row>
    <row r="119" spans="1:8" ht="22.5" x14ac:dyDescent="0.25">
      <c r="A119" s="39" t="s">
        <v>173</v>
      </c>
      <c r="B119" s="31">
        <v>448959.65</v>
      </c>
      <c r="C119" s="31">
        <v>235775.68</v>
      </c>
      <c r="D119" s="31">
        <v>782130.12</v>
      </c>
      <c r="E119" s="30">
        <v>1466865.45</v>
      </c>
      <c r="F119" t="str">
        <f>LEFT(Table2[[#This Row],[Building]],2)</f>
        <v>CA</v>
      </c>
      <c r="G119" t="str">
        <f>LEFT(Table2[[#This Row],[Building]],8)</f>
        <v>CA0260ZZ</v>
      </c>
      <c r="H119" t="str">
        <f>RIGHT(Table2[[#This Row],[Building]],LEN(Table2[[#This Row],[Building]])-9)</f>
        <v>Robert F. Peckham Fb</v>
      </c>
    </row>
    <row r="120" spans="1:8" x14ac:dyDescent="0.25">
      <c r="A120" s="39" t="s">
        <v>174</v>
      </c>
      <c r="B120" s="29">
        <v>158691.9</v>
      </c>
      <c r="C120" s="29">
        <v>242103.84</v>
      </c>
      <c r="D120" s="29">
        <v>206460.51</v>
      </c>
      <c r="E120" s="30">
        <v>607256.25</v>
      </c>
      <c r="F120" t="str">
        <f>LEFT(Table2[[#This Row],[Building]],2)</f>
        <v>CA</v>
      </c>
      <c r="G120" t="str">
        <f>LEFT(Table2[[#This Row],[Building]],8)</f>
        <v>CA0267JJ</v>
      </c>
      <c r="H120" t="str">
        <f>RIGHT(Table2[[#This Row],[Building]],LEN(Table2[[#This Row],[Building]])-9)</f>
        <v>Main Building</v>
      </c>
    </row>
    <row r="121" spans="1:8" x14ac:dyDescent="0.25">
      <c r="A121" s="39" t="s">
        <v>175</v>
      </c>
      <c r="B121" s="31">
        <v>208603.28</v>
      </c>
      <c r="C121" s="31">
        <v>75230.83</v>
      </c>
      <c r="D121" s="31">
        <v>258413.71</v>
      </c>
      <c r="E121" s="30">
        <v>542247.81999999995</v>
      </c>
      <c r="F121" t="str">
        <f>LEFT(Table2[[#This Row],[Building]],2)</f>
        <v>CA</v>
      </c>
      <c r="G121" t="str">
        <f>LEFT(Table2[[#This Row],[Building]],8)</f>
        <v>CA0268JJ</v>
      </c>
      <c r="H121" t="str">
        <f>RIGHT(Table2[[#This Row],[Building]],LEN(Table2[[#This Row],[Building]])-9)</f>
        <v>Secondary Insp Bldg</v>
      </c>
    </row>
    <row r="122" spans="1:8" x14ac:dyDescent="0.25">
      <c r="A122" s="39" t="s">
        <v>176</v>
      </c>
      <c r="B122" s="32" t="s">
        <v>177</v>
      </c>
      <c r="C122" s="32" t="s">
        <v>178</v>
      </c>
      <c r="D122" s="32" t="s">
        <v>179</v>
      </c>
      <c r="E122" s="33" t="s">
        <v>180</v>
      </c>
      <c r="F122" t="str">
        <f>LEFT(Table2[[#This Row],[Building]],2)</f>
        <v>CA</v>
      </c>
      <c r="G122" t="str">
        <f>LEFT(Table2[[#This Row],[Building]],8)</f>
        <v>CA0269JJ</v>
      </c>
      <c r="H122" t="str">
        <f>RIGHT(Table2[[#This Row],[Building]],LEN(Table2[[#This Row],[Building]])-9)</f>
        <v>Paseo Int'L - Otay M</v>
      </c>
    </row>
    <row r="123" spans="1:8" x14ac:dyDescent="0.25">
      <c r="A123" s="39" t="s">
        <v>181</v>
      </c>
      <c r="B123" s="31">
        <v>296226.96999999997</v>
      </c>
      <c r="C123" s="31">
        <v>59021.58</v>
      </c>
      <c r="D123" s="31">
        <v>74880.399999999994</v>
      </c>
      <c r="E123" s="30">
        <v>430128.95</v>
      </c>
      <c r="F123" t="str">
        <f>LEFT(Table2[[#This Row],[Building]],2)</f>
        <v>CA</v>
      </c>
      <c r="G123" t="str">
        <f>LEFT(Table2[[#This Row],[Building]],8)</f>
        <v>CA0272ZZ</v>
      </c>
      <c r="H123" t="str">
        <f>RIGHT(Table2[[#This Row],[Building]],LEN(Table2[[#This Row],[Building]])-9)</f>
        <v>Parking Garage</v>
      </c>
    </row>
    <row r="124" spans="1:8" ht="22.5" x14ac:dyDescent="0.25">
      <c r="A124" s="39" t="s">
        <v>182</v>
      </c>
      <c r="B124" s="29">
        <v>432826.61</v>
      </c>
      <c r="C124" s="29">
        <v>426063.68</v>
      </c>
      <c r="D124" s="29">
        <v>625272.05000000005</v>
      </c>
      <c r="E124" s="30">
        <v>1484162.34</v>
      </c>
      <c r="F124" t="str">
        <f>LEFT(Table2[[#This Row],[Building]],2)</f>
        <v>CA</v>
      </c>
      <c r="G124" t="str">
        <f>LEFT(Table2[[#This Row],[Building]],8)</f>
        <v>CA0273ZZ</v>
      </c>
      <c r="H124" t="str">
        <f>RIGHT(Table2[[#This Row],[Building]],LEN(Table2[[#This Row],[Building]])-9)</f>
        <v>Glenn M Anderson Fed</v>
      </c>
    </row>
    <row r="125" spans="1:8" ht="22.5" x14ac:dyDescent="0.25">
      <c r="A125" s="39" t="s">
        <v>183</v>
      </c>
      <c r="B125" s="31">
        <v>11769.48</v>
      </c>
      <c r="C125" s="31">
        <v>4244.5200000000004</v>
      </c>
      <c r="D125" s="31">
        <v>14579.81</v>
      </c>
      <c r="E125" s="30">
        <v>30593.81</v>
      </c>
      <c r="F125" t="str">
        <f>LEFT(Table2[[#This Row],[Building]],2)</f>
        <v>CA</v>
      </c>
      <c r="G125" t="str">
        <f>LEFT(Table2[[#This Row],[Building]],8)</f>
        <v>CA0275JJ</v>
      </c>
      <c r="H125" t="str">
        <f>RIGHT(Table2[[#This Row],[Building]],LEN(Table2[[#This Row],[Building]])-9)</f>
        <v>Bird Quarantine Bldg</v>
      </c>
    </row>
    <row r="126" spans="1:8" ht="22.5" x14ac:dyDescent="0.25">
      <c r="A126" s="39" t="s">
        <v>184</v>
      </c>
      <c r="B126" s="29">
        <v>2205318.48</v>
      </c>
      <c r="C126" s="29">
        <v>1159248.2</v>
      </c>
      <c r="D126" s="29">
        <v>2276447.5299999998</v>
      </c>
      <c r="E126" s="30">
        <v>5641014.21</v>
      </c>
      <c r="F126" t="str">
        <f>LEFT(Table2[[#This Row],[Building]],2)</f>
        <v>CA</v>
      </c>
      <c r="G126" t="str">
        <f>LEFT(Table2[[#This Row],[Building]],8)</f>
        <v>CA0281ZZ</v>
      </c>
      <c r="H126" t="str">
        <f>RIGHT(Table2[[#This Row],[Building]],LEN(Table2[[#This Row],[Building]])-9)</f>
        <v>Ronald Dellums Fed B</v>
      </c>
    </row>
    <row r="127" spans="1:8" ht="22.5" x14ac:dyDescent="0.25">
      <c r="A127" s="39" t="s">
        <v>185</v>
      </c>
      <c r="B127" s="31">
        <v>1037994.44</v>
      </c>
      <c r="C127" s="31">
        <v>948217.79</v>
      </c>
      <c r="D127" s="31">
        <v>1465285.72</v>
      </c>
      <c r="E127" s="30">
        <v>3451497.95</v>
      </c>
      <c r="F127" t="str">
        <f>LEFT(Table2[[#This Row],[Building]],2)</f>
        <v>CA</v>
      </c>
      <c r="G127" t="str">
        <f>LEFT(Table2[[#This Row],[Building]],8)</f>
        <v>CA0283CC</v>
      </c>
      <c r="H127" t="str">
        <f>RIGHT(Table2[[#This Row],[Building]],LEN(Table2[[#This Row],[Building]])-9)</f>
        <v>Edward R Roybal Fb &amp;</v>
      </c>
    </row>
    <row r="128" spans="1:8" ht="22.5" x14ac:dyDescent="0.25">
      <c r="A128" s="39" t="s">
        <v>186</v>
      </c>
      <c r="B128" s="29">
        <v>10959.06</v>
      </c>
      <c r="C128" s="29">
        <v>3318.12</v>
      </c>
      <c r="D128" s="29">
        <v>13034.4</v>
      </c>
      <c r="E128" s="30">
        <v>27311.58</v>
      </c>
      <c r="F128" t="str">
        <f>LEFT(Table2[[#This Row],[Building]],2)</f>
        <v>CA</v>
      </c>
      <c r="G128" t="str">
        <f>LEFT(Table2[[#This Row],[Building]],8)</f>
        <v>CA0288JJ</v>
      </c>
      <c r="H128" t="str">
        <f>RIGHT(Table2[[#This Row],[Building]],LEN(Table2[[#This Row],[Building]])-9)</f>
        <v>Om Non-Intrusive Ins</v>
      </c>
    </row>
    <row r="129" spans="1:8" ht="22.5" x14ac:dyDescent="0.25">
      <c r="A129" s="39" t="s">
        <v>187</v>
      </c>
      <c r="B129" s="31">
        <v>572240.9</v>
      </c>
      <c r="C129" s="31">
        <v>320051.78999999998</v>
      </c>
      <c r="D129" s="31">
        <v>708160.7</v>
      </c>
      <c r="E129" s="30">
        <v>1600453.39</v>
      </c>
      <c r="F129" t="str">
        <f>LEFT(Table2[[#This Row],[Building]],2)</f>
        <v>CA</v>
      </c>
      <c r="G129" t="str">
        <f>LEFT(Table2[[#This Row],[Building]],8)</f>
        <v>CA0289JJ</v>
      </c>
      <c r="H129" t="str">
        <f>RIGHT(Table2[[#This Row],[Building]],LEN(Table2[[#This Row],[Building]])-9)</f>
        <v>New Commercial Fac</v>
      </c>
    </row>
    <row r="130" spans="1:8" ht="22.5" x14ac:dyDescent="0.25">
      <c r="A130" s="39" t="s">
        <v>188</v>
      </c>
      <c r="B130" s="29">
        <v>1058984.8400000001</v>
      </c>
      <c r="C130" s="29">
        <v>862250.39</v>
      </c>
      <c r="D130" s="29">
        <v>1141348.54</v>
      </c>
      <c r="E130" s="30">
        <v>3062583.77</v>
      </c>
      <c r="F130" t="str">
        <f>LEFT(Table2[[#This Row],[Building]],2)</f>
        <v>CA</v>
      </c>
      <c r="G130" t="str">
        <f>LEFT(Table2[[#This Row],[Building]],8)</f>
        <v>CA0295ZZ</v>
      </c>
      <c r="H130" t="str">
        <f>RIGHT(Table2[[#This Row],[Building]],LEN(Table2[[#This Row],[Building]])-9)</f>
        <v>Ronald Reagan Fb &amp; C</v>
      </c>
    </row>
    <row r="131" spans="1:8" x14ac:dyDescent="0.25">
      <c r="A131" s="39" t="s">
        <v>189</v>
      </c>
      <c r="B131" s="31">
        <v>8620.32</v>
      </c>
      <c r="C131" s="31">
        <v>3108.8</v>
      </c>
      <c r="D131" s="31">
        <v>10678.62</v>
      </c>
      <c r="E131" s="30">
        <v>22407.74</v>
      </c>
      <c r="F131" t="str">
        <f>LEFT(Table2[[#This Row],[Building]],2)</f>
        <v>CA</v>
      </c>
      <c r="G131" t="str">
        <f>LEFT(Table2[[#This Row],[Building]],8)</f>
        <v>CA0299JJ</v>
      </c>
      <c r="H131" t="str">
        <f>RIGHT(Table2[[#This Row],[Building]],LEN(Table2[[#This Row],[Building]])-9)</f>
        <v>Bs Warehouse Bldg</v>
      </c>
    </row>
    <row r="132" spans="1:8" ht="22.5" x14ac:dyDescent="0.25">
      <c r="A132" s="39" t="s">
        <v>190</v>
      </c>
      <c r="B132" s="29">
        <v>14949.48</v>
      </c>
      <c r="C132" s="29">
        <v>5391.42</v>
      </c>
      <c r="D132" s="29">
        <v>18519.259999999998</v>
      </c>
      <c r="E132" s="30">
        <v>38860.160000000003</v>
      </c>
      <c r="F132" t="str">
        <f>LEFT(Table2[[#This Row],[Building]],2)</f>
        <v>CA</v>
      </c>
      <c r="G132" t="str">
        <f>LEFT(Table2[[#This Row],[Building]],8)</f>
        <v>CA0300JJ</v>
      </c>
      <c r="H132" t="str">
        <f>RIGHT(Table2[[#This Row],[Building]],LEN(Table2[[#This Row],[Building]])-9)</f>
        <v>9777 Via De La Amist</v>
      </c>
    </row>
    <row r="133" spans="1:8" ht="22.5" x14ac:dyDescent="0.25">
      <c r="A133" s="39" t="s">
        <v>191</v>
      </c>
      <c r="B133" s="31">
        <v>1307830.24</v>
      </c>
      <c r="C133" s="31">
        <v>1002457.02</v>
      </c>
      <c r="D133" s="31">
        <v>1446931.07</v>
      </c>
      <c r="E133" s="30">
        <v>3757218.33</v>
      </c>
      <c r="F133" t="str">
        <f>LEFT(Table2[[#This Row],[Building]],2)</f>
        <v>CA</v>
      </c>
      <c r="G133" t="str">
        <f>LEFT(Table2[[#This Row],[Building]],8)</f>
        <v>CA0305ZZ</v>
      </c>
      <c r="H133" t="str">
        <f>RIGHT(Table2[[#This Row],[Building]],LEN(Table2[[#This Row],[Building]])-9)</f>
        <v>San Francisco Federa</v>
      </c>
    </row>
    <row r="134" spans="1:8" ht="22.5" x14ac:dyDescent="0.25">
      <c r="A134" s="39" t="s">
        <v>192</v>
      </c>
      <c r="B134" s="29">
        <v>849596.04</v>
      </c>
      <c r="C134" s="29">
        <v>593961.34</v>
      </c>
      <c r="D134" s="29">
        <v>803072.49</v>
      </c>
      <c r="E134" s="30">
        <v>2246629.87</v>
      </c>
      <c r="F134" t="str">
        <f>LEFT(Table2[[#This Row],[Building]],2)</f>
        <v>CA</v>
      </c>
      <c r="G134" t="str">
        <f>LEFT(Table2[[#This Row],[Building]],8)</f>
        <v>CA0306ZZ</v>
      </c>
      <c r="H134" t="str">
        <f>RIGHT(Table2[[#This Row],[Building]],LEN(Table2[[#This Row],[Building]])-9)</f>
        <v>Robert T Matsui Us C</v>
      </c>
    </row>
    <row r="135" spans="1:8" ht="22.5" x14ac:dyDescent="0.25">
      <c r="A135" s="39" t="s">
        <v>193</v>
      </c>
      <c r="B135" s="31">
        <v>751534.06</v>
      </c>
      <c r="C135" s="31">
        <v>751001.48</v>
      </c>
      <c r="D135" s="31">
        <v>1464401.04</v>
      </c>
      <c r="E135" s="30">
        <v>2966936.58</v>
      </c>
      <c r="F135" t="str">
        <f>LEFT(Table2[[#This Row],[Building]],2)</f>
        <v>CA</v>
      </c>
      <c r="G135" t="str">
        <f>LEFT(Table2[[#This Row],[Building]],8)</f>
        <v>CA0309ZZ</v>
      </c>
      <c r="H135" t="str">
        <f>RIGHT(Table2[[#This Row],[Building]],LEN(Table2[[#This Row],[Building]])-9)</f>
        <v>Robert E. Coyle Fede</v>
      </c>
    </row>
    <row r="136" spans="1:8" ht="22.5" x14ac:dyDescent="0.25">
      <c r="A136" s="39" t="s">
        <v>194</v>
      </c>
      <c r="B136" s="29">
        <v>7343.84</v>
      </c>
      <c r="C136" s="32" t="s">
        <v>195</v>
      </c>
      <c r="D136" s="29">
        <v>11252.7</v>
      </c>
      <c r="E136" s="30">
        <v>16410.62</v>
      </c>
      <c r="F136" t="str">
        <f>LEFT(Table2[[#This Row],[Building]],2)</f>
        <v>CA</v>
      </c>
      <c r="G136" t="str">
        <f>LEFT(Table2[[#This Row],[Building]],8)</f>
        <v>CA0313DD</v>
      </c>
      <c r="H136" t="str">
        <f>RIGHT(Table2[[#This Row],[Building]],LEN(Table2[[#This Row],[Building]])-9)</f>
        <v>1068 Mission Street</v>
      </c>
    </row>
    <row r="137" spans="1:8" x14ac:dyDescent="0.25">
      <c r="A137" s="39" t="s">
        <v>197</v>
      </c>
      <c r="B137" s="32" t="s">
        <v>198</v>
      </c>
      <c r="C137" s="29">
        <v>18957.23</v>
      </c>
      <c r="D137" s="32" t="s">
        <v>199</v>
      </c>
      <c r="E137" s="30">
        <v>1139.5899999999999</v>
      </c>
      <c r="F137" t="str">
        <f>LEFT(Table2[[#This Row],[Building]],2)</f>
        <v>CA</v>
      </c>
      <c r="G137" t="str">
        <f>LEFT(Table2[[#This Row],[Building]],8)</f>
        <v>CA0315ZZ</v>
      </c>
      <c r="H137" t="str">
        <f>RIGHT(Table2[[#This Row],[Building]],LEN(Table2[[#This Row],[Building]])-9)</f>
        <v>Siezed Vehicle Facil</v>
      </c>
    </row>
    <row r="138" spans="1:8" ht="22.5" x14ac:dyDescent="0.25">
      <c r="A138" s="39" t="s">
        <v>200</v>
      </c>
      <c r="B138" s="31">
        <v>662154.4</v>
      </c>
      <c r="C138" s="31">
        <v>1286825.03</v>
      </c>
      <c r="D138" s="31">
        <v>1207820.74</v>
      </c>
      <c r="E138" s="30">
        <v>3156800.17</v>
      </c>
      <c r="F138" t="str">
        <f>LEFT(Table2[[#This Row],[Building]],2)</f>
        <v>CA</v>
      </c>
      <c r="G138" t="str">
        <f>LEFT(Table2[[#This Row],[Building]],8)</f>
        <v>CA0316ZZ</v>
      </c>
      <c r="H138" t="str">
        <f>RIGHT(Table2[[#This Row],[Building]],LEN(Table2[[#This Row],[Building]])-9)</f>
        <v>Federal Courthouse</v>
      </c>
    </row>
    <row r="139" spans="1:8" ht="22.5" x14ac:dyDescent="0.25">
      <c r="A139" s="39" t="s">
        <v>201</v>
      </c>
      <c r="B139" s="29">
        <v>328477.24</v>
      </c>
      <c r="C139" s="29">
        <v>155387.32</v>
      </c>
      <c r="D139" s="29">
        <v>282480.32</v>
      </c>
      <c r="E139" s="30">
        <v>766344.88</v>
      </c>
      <c r="F139" t="str">
        <f>LEFT(Table2[[#This Row],[Building]],2)</f>
        <v>CA</v>
      </c>
      <c r="G139" t="str">
        <f>LEFT(Table2[[#This Row],[Building]],8)</f>
        <v>CA0335GG</v>
      </c>
      <c r="H139" t="str">
        <f>RIGHT(Table2[[#This Row],[Building]],LEN(Table2[[#This Row],[Building]])-9)</f>
        <v>Sylpoe Nb Primary In</v>
      </c>
    </row>
    <row r="140" spans="1:8" ht="22.5" x14ac:dyDescent="0.25">
      <c r="A140" s="39" t="s">
        <v>202</v>
      </c>
      <c r="B140" s="31">
        <v>42095.22</v>
      </c>
      <c r="C140" s="31">
        <v>19964.62</v>
      </c>
      <c r="D140" s="31">
        <v>36203.129999999997</v>
      </c>
      <c r="E140" s="30">
        <v>98262.97</v>
      </c>
      <c r="F140" t="str">
        <f>LEFT(Table2[[#This Row],[Building]],2)</f>
        <v>CA</v>
      </c>
      <c r="G140" t="str">
        <f>LEFT(Table2[[#This Row],[Building]],8)</f>
        <v>CA0340GG</v>
      </c>
      <c r="H140" t="str">
        <f>RIGHT(Table2[[#This Row],[Building]],LEN(Table2[[#This Row],[Building]])-9)</f>
        <v>Sylpoe Narcotics/Sei</v>
      </c>
    </row>
    <row r="141" spans="1:8" ht="22.5" x14ac:dyDescent="0.25">
      <c r="A141" s="39" t="s">
        <v>203</v>
      </c>
      <c r="B141" s="29">
        <v>25440.55</v>
      </c>
      <c r="C141" s="29">
        <v>11947.34</v>
      </c>
      <c r="D141" s="29">
        <v>21873.75</v>
      </c>
      <c r="E141" s="30">
        <v>59261.64</v>
      </c>
      <c r="F141" t="str">
        <f>LEFT(Table2[[#This Row],[Building]],2)</f>
        <v>CA</v>
      </c>
      <c r="G141" t="str">
        <f>LEFT(Table2[[#This Row],[Building]],8)</f>
        <v>CA0349GG</v>
      </c>
      <c r="H141" t="str">
        <f>RIGHT(Table2[[#This Row],[Building]],LEN(Table2[[#This Row],[Building]])-9)</f>
        <v>Greyhound Building S</v>
      </c>
    </row>
    <row r="142" spans="1:8" ht="22.5" x14ac:dyDescent="0.25">
      <c r="A142" s="39" t="s">
        <v>204</v>
      </c>
      <c r="B142" s="31">
        <v>130121.65</v>
      </c>
      <c r="C142" s="31">
        <v>60870.26</v>
      </c>
      <c r="D142" s="31">
        <v>111866.57</v>
      </c>
      <c r="E142" s="30">
        <v>302858.48</v>
      </c>
      <c r="F142" t="str">
        <f>LEFT(Table2[[#This Row],[Building]],2)</f>
        <v>CA</v>
      </c>
      <c r="G142" t="str">
        <f>LEFT(Table2[[#This Row],[Building]],8)</f>
        <v>CA0350GG</v>
      </c>
      <c r="H142" t="str">
        <f>RIGHT(Table2[[#This Row],[Building]],LEN(Table2[[#This Row],[Building]])-9)</f>
        <v>Payless-Milo Office</v>
      </c>
    </row>
    <row r="143" spans="1:8" x14ac:dyDescent="0.25">
      <c r="A143" s="39" t="s">
        <v>205</v>
      </c>
      <c r="B143" s="29">
        <v>109777.5</v>
      </c>
      <c r="C143" s="29">
        <v>120666.93</v>
      </c>
      <c r="D143" s="29">
        <v>211375.17</v>
      </c>
      <c r="E143" s="30">
        <v>441819.6</v>
      </c>
      <c r="F143" t="str">
        <f>LEFT(Table2[[#This Row],[Building]],2)</f>
        <v>CA</v>
      </c>
      <c r="G143" t="str">
        <f>LEFT(Table2[[#This Row],[Building]],8)</f>
        <v>CA0363ZZ</v>
      </c>
      <c r="H143" t="str">
        <f>RIGHT(Table2[[#This Row],[Building]],LEN(Table2[[#This Row],[Building]])-9)</f>
        <v>U.S. Courthouse</v>
      </c>
    </row>
    <row r="144" spans="1:8" x14ac:dyDescent="0.25">
      <c r="A144" s="39" t="s">
        <v>206</v>
      </c>
      <c r="B144" s="31">
        <v>7207.09</v>
      </c>
      <c r="C144" s="31">
        <v>416.53</v>
      </c>
      <c r="D144" s="31">
        <v>5970.94</v>
      </c>
      <c r="E144" s="30">
        <v>13594.56</v>
      </c>
      <c r="F144" t="str">
        <f>LEFT(Table2[[#This Row],[Building]],2)</f>
        <v>CA</v>
      </c>
      <c r="G144" t="str">
        <f>LEFT(Table2[[#This Row],[Building]],8)</f>
        <v>CA0504BB</v>
      </c>
      <c r="H144" t="str">
        <f>RIGHT(Table2[[#This Row],[Building]],LEN(Table2[[#This Row],[Building]])-9)</f>
        <v>Bs Shop Bldg</v>
      </c>
    </row>
    <row r="145" spans="1:8" x14ac:dyDescent="0.25">
      <c r="A145" s="39" t="s">
        <v>207</v>
      </c>
      <c r="B145" s="29">
        <v>45110.07</v>
      </c>
      <c r="C145" s="29">
        <v>144880.95999999999</v>
      </c>
      <c r="D145" s="29">
        <v>235779.31</v>
      </c>
      <c r="E145" s="30">
        <v>425770.34</v>
      </c>
      <c r="F145" t="str">
        <f>LEFT(Table2[[#This Row],[Building]],2)</f>
        <v>CA</v>
      </c>
      <c r="G145" t="str">
        <f>LEFT(Table2[[#This Row],[Building]],8)</f>
        <v>CA0505BB</v>
      </c>
      <c r="H145" t="str">
        <f>RIGHT(Table2[[#This Row],[Building]],LEN(Table2[[#This Row],[Building]])-9)</f>
        <v>Bs Main Bldg</v>
      </c>
    </row>
    <row r="146" spans="1:8" x14ac:dyDescent="0.25">
      <c r="A146" s="39" t="s">
        <v>208</v>
      </c>
      <c r="B146" s="31">
        <v>197057.5</v>
      </c>
      <c r="C146" s="31">
        <v>7388.55</v>
      </c>
      <c r="D146" s="31">
        <v>163258.9</v>
      </c>
      <c r="E146" s="30">
        <v>367704.95</v>
      </c>
      <c r="F146" t="str">
        <f>LEFT(Table2[[#This Row],[Building]],2)</f>
        <v>CA</v>
      </c>
      <c r="G146" t="str">
        <f>LEFT(Table2[[#This Row],[Building]],8)</f>
        <v>CA0506BB</v>
      </c>
      <c r="H146" t="str">
        <f>RIGHT(Table2[[#This Row],[Building]],LEN(Table2[[#This Row],[Building]])-9)</f>
        <v>Us Border Station</v>
      </c>
    </row>
    <row r="147" spans="1:8" x14ac:dyDescent="0.25">
      <c r="A147" s="39" t="s">
        <v>209</v>
      </c>
      <c r="B147" s="32" t="s">
        <v>210</v>
      </c>
      <c r="C147" s="32" t="s">
        <v>211</v>
      </c>
      <c r="D147" s="32" t="s">
        <v>212</v>
      </c>
      <c r="E147" s="33" t="s">
        <v>213</v>
      </c>
      <c r="F147" t="str">
        <f>LEFT(Table2[[#This Row],[Building]],2)</f>
        <v>CA</v>
      </c>
      <c r="G147" t="str">
        <f>LEFT(Table2[[#This Row],[Building]],8)</f>
        <v>CA0507WW</v>
      </c>
      <c r="H147" t="str">
        <f>RIGHT(Table2[[#This Row],[Building]],LEN(Table2[[#This Row],[Building]])-9)</f>
        <v>Bs Main Bldg.</v>
      </c>
    </row>
    <row r="148" spans="1:8" x14ac:dyDescent="0.25">
      <c r="A148" s="39" t="s">
        <v>214</v>
      </c>
      <c r="B148" s="31">
        <v>544778.31000000006</v>
      </c>
      <c r="C148" s="34" t="s">
        <v>215</v>
      </c>
      <c r="D148" s="31">
        <v>224948.33</v>
      </c>
      <c r="E148" s="30">
        <v>769226.51</v>
      </c>
      <c r="F148" t="str">
        <f>LEFT(Table2[[#This Row],[Building]],2)</f>
        <v>CA</v>
      </c>
      <c r="G148" t="str">
        <f>LEFT(Table2[[#This Row],[Building]],8)</f>
        <v>CA0508WW</v>
      </c>
      <c r="H148" t="str">
        <f>RIGHT(Table2[[#This Row],[Building]],LEN(Table2[[#This Row],[Building]])-9)</f>
        <v>B.S. Hd House</v>
      </c>
    </row>
    <row r="149" spans="1:8" ht="22.5" x14ac:dyDescent="0.25">
      <c r="A149" s="39" t="s">
        <v>216</v>
      </c>
      <c r="B149" s="29">
        <v>787111.22</v>
      </c>
      <c r="C149" s="32" t="s">
        <v>217</v>
      </c>
      <c r="D149" s="29">
        <v>325011.55</v>
      </c>
      <c r="E149" s="30">
        <v>1111400.17</v>
      </c>
      <c r="F149" t="str">
        <f>LEFT(Table2[[#This Row],[Building]],2)</f>
        <v>CA</v>
      </c>
      <c r="G149" t="str">
        <f>LEFT(Table2[[#This Row],[Building]],8)</f>
        <v>CA0509WW</v>
      </c>
      <c r="H149" t="str">
        <f>RIGHT(Table2[[#This Row],[Building]],LEN(Table2[[#This Row],[Building]])-9)</f>
        <v>B.S. Import/Com. Bld</v>
      </c>
    </row>
    <row r="150" spans="1:8" ht="22.5" x14ac:dyDescent="0.25">
      <c r="A150" s="39" t="s">
        <v>218</v>
      </c>
      <c r="B150" s="31">
        <v>39996.949999999997</v>
      </c>
      <c r="C150" s="31">
        <v>432245.03</v>
      </c>
      <c r="D150" s="31">
        <v>16515.490000000002</v>
      </c>
      <c r="E150" s="30">
        <v>488757.47</v>
      </c>
      <c r="F150" t="str">
        <f>LEFT(Table2[[#This Row],[Building]],2)</f>
        <v>CA</v>
      </c>
      <c r="G150" t="str">
        <f>LEFT(Table2[[#This Row],[Building]],8)</f>
        <v>CA0510WW</v>
      </c>
      <c r="H150" t="str">
        <f>RIGHT(Table2[[#This Row],[Building]],LEN(Table2[[#This Row],[Building]])-9)</f>
        <v>B.S. Bulk/Hazmat. Bl</v>
      </c>
    </row>
    <row r="151" spans="1:8" x14ac:dyDescent="0.25">
      <c r="A151" s="39" t="s">
        <v>219</v>
      </c>
      <c r="B151" s="29">
        <v>128716.76</v>
      </c>
      <c r="C151" s="32" t="s">
        <v>220</v>
      </c>
      <c r="D151" s="29">
        <v>53149.35</v>
      </c>
      <c r="E151" s="30">
        <v>181747.98</v>
      </c>
      <c r="F151" t="str">
        <f>LEFT(Table2[[#This Row],[Building]],2)</f>
        <v>CA</v>
      </c>
      <c r="G151" t="str">
        <f>LEFT(Table2[[#This Row],[Building]],8)</f>
        <v>CA0511WW</v>
      </c>
      <c r="H151" t="str">
        <f>RIGHT(Table2[[#This Row],[Building]],LEN(Table2[[#This Row],[Building]])-9)</f>
        <v>B.S. Expt Bldg.</v>
      </c>
    </row>
    <row r="152" spans="1:8" x14ac:dyDescent="0.25">
      <c r="A152" s="39" t="s">
        <v>222</v>
      </c>
      <c r="B152" s="31">
        <v>1972220.49</v>
      </c>
      <c r="C152" s="31">
        <v>946959.67</v>
      </c>
      <c r="D152" s="31">
        <v>1469631.37</v>
      </c>
      <c r="E152" s="30">
        <v>4388811.53</v>
      </c>
      <c r="F152" t="str">
        <f>LEFT(Table2[[#This Row],[Building]],2)</f>
        <v>CA</v>
      </c>
      <c r="G152" t="str">
        <f>LEFT(Table2[[#This Row],[Building]],8)</f>
        <v>CA0521SS</v>
      </c>
      <c r="H152" t="str">
        <f>RIGHT(Table2[[#This Row],[Building]],LEN(Table2[[#This Row],[Building]])-9)</f>
        <v>Chet Holifield Fed B</v>
      </c>
    </row>
    <row r="153" spans="1:8" ht="22.5" x14ac:dyDescent="0.25">
      <c r="A153" s="39" t="s">
        <v>223</v>
      </c>
      <c r="B153" s="29">
        <v>324179.39</v>
      </c>
      <c r="C153" s="29">
        <v>118835.12</v>
      </c>
      <c r="D153" s="29">
        <v>266231.25</v>
      </c>
      <c r="E153" s="30">
        <v>709245.76</v>
      </c>
      <c r="F153" t="str">
        <f>LEFT(Table2[[#This Row],[Building]],2)</f>
        <v>CA</v>
      </c>
      <c r="G153" t="str">
        <f>LEFT(Table2[[#This Row],[Building]],8)</f>
        <v>CA0581GG</v>
      </c>
      <c r="H153" t="str">
        <f>RIGHT(Table2[[#This Row],[Building]],LEN(Table2[[#This Row],[Building]])-9)</f>
        <v>Sylpoe Historical Cu</v>
      </c>
    </row>
    <row r="154" spans="1:8" x14ac:dyDescent="0.25">
      <c r="A154" s="39" t="s">
        <v>224</v>
      </c>
      <c r="B154" s="34" t="s">
        <v>225</v>
      </c>
      <c r="C154" s="31">
        <v>154831.79</v>
      </c>
      <c r="D154" s="34" t="s">
        <v>226</v>
      </c>
      <c r="E154" s="33" t="s">
        <v>227</v>
      </c>
      <c r="F154" t="str">
        <f>LEFT(Table2[[#This Row],[Building]],2)</f>
        <v>CA</v>
      </c>
      <c r="G154" t="str">
        <f>LEFT(Table2[[#This Row],[Building]],8)</f>
        <v>CA0588GG</v>
      </c>
      <c r="H154" t="str">
        <f>RIGHT(Table2[[#This Row],[Building]],LEN(Table2[[#This Row],[Building]])-9)</f>
        <v>Bs New Main Bldg</v>
      </c>
    </row>
    <row r="155" spans="1:8" ht="22.5" x14ac:dyDescent="0.25">
      <c r="A155" s="39" t="s">
        <v>228</v>
      </c>
      <c r="B155" s="32" t="s">
        <v>229</v>
      </c>
      <c r="C155" s="29">
        <v>37467.49</v>
      </c>
      <c r="D155" s="29">
        <v>45555.839999999997</v>
      </c>
      <c r="E155" s="30">
        <v>67710.13</v>
      </c>
      <c r="F155" t="str">
        <f>LEFT(Table2[[#This Row],[Building]],2)</f>
        <v>CA</v>
      </c>
      <c r="G155" t="str">
        <f>LEFT(Table2[[#This Row],[Building]],8)</f>
        <v>CA0621HH</v>
      </c>
      <c r="H155" t="str">
        <f>RIGHT(Table2[[#This Row],[Building]],LEN(Table2[[#This Row],[Building]])-9)</f>
        <v>Main Bldg - Andrade</v>
      </c>
    </row>
    <row r="156" spans="1:8" ht="22.5" x14ac:dyDescent="0.25">
      <c r="A156" s="39" t="s">
        <v>230</v>
      </c>
      <c r="B156" s="31">
        <v>54782.36</v>
      </c>
      <c r="C156" s="31">
        <v>164.34</v>
      </c>
      <c r="D156" s="31">
        <v>171591.18</v>
      </c>
      <c r="E156" s="30">
        <v>226537.88</v>
      </c>
      <c r="F156" t="str">
        <f>LEFT(Table2[[#This Row],[Building]],2)</f>
        <v>CA</v>
      </c>
      <c r="G156" t="str">
        <f>LEFT(Table2[[#This Row],[Building]],8)</f>
        <v>CA0622HH</v>
      </c>
      <c r="H156" t="str">
        <f>RIGHT(Table2[[#This Row],[Building]],LEN(Table2[[#This Row],[Building]])-9)</f>
        <v>Andrade Administrati</v>
      </c>
    </row>
    <row r="157" spans="1:8" ht="22.5" x14ac:dyDescent="0.25">
      <c r="A157" s="39" t="s">
        <v>231</v>
      </c>
      <c r="B157" s="29">
        <v>22187.599999999999</v>
      </c>
      <c r="C157" s="29">
        <v>66.58</v>
      </c>
      <c r="D157" s="29">
        <v>69496.87</v>
      </c>
      <c r="E157" s="30">
        <v>91751.05</v>
      </c>
      <c r="F157" t="str">
        <f>LEFT(Table2[[#This Row],[Building]],2)</f>
        <v>CA</v>
      </c>
      <c r="G157" t="str">
        <f>LEFT(Table2[[#This Row],[Building]],8)</f>
        <v>CA0623HH</v>
      </c>
      <c r="H157" t="str">
        <f>RIGHT(Table2[[#This Row],[Building]],LEN(Table2[[#This Row],[Building]])-9)</f>
        <v>Andrade Training Bui</v>
      </c>
    </row>
    <row r="158" spans="1:8" ht="22.5" x14ac:dyDescent="0.25">
      <c r="A158" s="39" t="s">
        <v>232</v>
      </c>
      <c r="B158" s="31">
        <v>4101.4399999999996</v>
      </c>
      <c r="C158" s="31">
        <v>11.78</v>
      </c>
      <c r="D158" s="31">
        <v>11224.8</v>
      </c>
      <c r="E158" s="30">
        <v>15338.02</v>
      </c>
      <c r="F158" t="str">
        <f>LEFT(Table2[[#This Row],[Building]],2)</f>
        <v>CA</v>
      </c>
      <c r="G158" t="str">
        <f>LEFT(Table2[[#This Row],[Building]],8)</f>
        <v>CA0624HH</v>
      </c>
      <c r="H158" t="str">
        <f>RIGHT(Table2[[#This Row],[Building]],LEN(Table2[[#This Row],[Building]])-9)</f>
        <v>Andrade Headhouse</v>
      </c>
    </row>
    <row r="159" spans="1:8" x14ac:dyDescent="0.25">
      <c r="A159" s="39" t="s">
        <v>233</v>
      </c>
      <c r="B159" s="29">
        <v>90845.05</v>
      </c>
      <c r="C159" s="29">
        <v>81085.38</v>
      </c>
      <c r="D159" s="29">
        <v>126624.09</v>
      </c>
      <c r="E159" s="30">
        <v>298554.52</v>
      </c>
      <c r="F159" t="str">
        <f>LEFT(Table2[[#This Row],[Building]],2)</f>
        <v>CA</v>
      </c>
      <c r="G159" t="str">
        <f>LEFT(Table2[[#This Row],[Building]],8)</f>
        <v>CA0761KK</v>
      </c>
      <c r="H159" t="str">
        <f>RIGHT(Table2[[#This Row],[Building]],LEN(Table2[[#This Row],[Building]])-9)</f>
        <v>Fed Cntr Bldg 1</v>
      </c>
    </row>
    <row r="160" spans="1:8" ht="22.5" x14ac:dyDescent="0.25">
      <c r="A160" s="39" t="s">
        <v>234</v>
      </c>
      <c r="B160" s="31">
        <v>29812.79</v>
      </c>
      <c r="C160" s="31">
        <v>14518.99</v>
      </c>
      <c r="D160" s="31">
        <v>29662.26</v>
      </c>
      <c r="E160" s="30">
        <v>73994.039999999994</v>
      </c>
      <c r="F160" t="str">
        <f>LEFT(Table2[[#This Row],[Building]],2)</f>
        <v>CA</v>
      </c>
      <c r="G160" t="str">
        <f>LEFT(Table2[[#This Row],[Building]],8)</f>
        <v>CA0762KK</v>
      </c>
      <c r="H160" t="str">
        <f>RIGHT(Table2[[#This Row],[Building]],LEN(Table2[[#This Row],[Building]])-9)</f>
        <v>Federal Cntr Bldg 2a</v>
      </c>
    </row>
    <row r="161" spans="1:8" ht="22.5" x14ac:dyDescent="0.25">
      <c r="A161" s="39" t="s">
        <v>235</v>
      </c>
      <c r="B161" s="29">
        <v>27571.15</v>
      </c>
      <c r="C161" s="29">
        <v>14710.76</v>
      </c>
      <c r="D161" s="29">
        <v>30054.12</v>
      </c>
      <c r="E161" s="30">
        <v>72336.03</v>
      </c>
      <c r="F161" t="str">
        <f>LEFT(Table2[[#This Row],[Building]],2)</f>
        <v>CA</v>
      </c>
      <c r="G161" t="str">
        <f>LEFT(Table2[[#This Row],[Building]],8)</f>
        <v>CA0763KK</v>
      </c>
      <c r="H161" t="str">
        <f>RIGHT(Table2[[#This Row],[Building]],LEN(Table2[[#This Row],[Building]])-9)</f>
        <v>Federal Cntr Bldg 2b</v>
      </c>
    </row>
    <row r="162" spans="1:8" ht="22.5" x14ac:dyDescent="0.25">
      <c r="A162" s="39" t="s">
        <v>236</v>
      </c>
      <c r="B162" s="31">
        <v>27661.22</v>
      </c>
      <c r="C162" s="31">
        <v>14977.89</v>
      </c>
      <c r="D162" s="31">
        <v>32580.43</v>
      </c>
      <c r="E162" s="30">
        <v>75219.539999999994</v>
      </c>
      <c r="F162" t="str">
        <f>LEFT(Table2[[#This Row],[Building]],2)</f>
        <v>CA</v>
      </c>
      <c r="G162" t="str">
        <f>LEFT(Table2[[#This Row],[Building]],8)</f>
        <v>CA0765KK</v>
      </c>
      <c r="H162" t="str">
        <f>RIGHT(Table2[[#This Row],[Building]],LEN(Table2[[#This Row],[Building]])-9)</f>
        <v>Federal Cntr Bldg 2c</v>
      </c>
    </row>
    <row r="163" spans="1:8" x14ac:dyDescent="0.25">
      <c r="A163" s="39" t="s">
        <v>237</v>
      </c>
      <c r="B163" s="29">
        <v>67864.149999999994</v>
      </c>
      <c r="C163" s="29">
        <v>41924.97</v>
      </c>
      <c r="D163" s="29">
        <v>85652.62</v>
      </c>
      <c r="E163" s="30">
        <v>195441.74</v>
      </c>
      <c r="F163" t="str">
        <f>LEFT(Table2[[#This Row],[Building]],2)</f>
        <v>CA</v>
      </c>
      <c r="G163" t="str">
        <f>LEFT(Table2[[#This Row],[Building]],8)</f>
        <v>CA0773KK</v>
      </c>
      <c r="H163" t="str">
        <f>RIGHT(Table2[[#This Row],[Building]],LEN(Table2[[#This Row],[Building]])-9)</f>
        <v>Fed Cntr Bldg 2d</v>
      </c>
    </row>
    <row r="164" spans="1:8" x14ac:dyDescent="0.25">
      <c r="A164" s="39" t="s">
        <v>238</v>
      </c>
      <c r="B164" s="31">
        <v>420.38</v>
      </c>
      <c r="C164" s="31">
        <v>1249.06</v>
      </c>
      <c r="D164" s="31">
        <v>2551.8000000000002</v>
      </c>
      <c r="E164" s="30">
        <v>4221.24</v>
      </c>
      <c r="F164" t="str">
        <f>LEFT(Table2[[#This Row],[Building]],2)</f>
        <v>CA</v>
      </c>
      <c r="G164" t="str">
        <f>LEFT(Table2[[#This Row],[Building]],8)</f>
        <v>CA0775KK</v>
      </c>
      <c r="H164" t="str">
        <f>RIGHT(Table2[[#This Row],[Building]],LEN(Table2[[#This Row],[Building]])-9)</f>
        <v>Building 10</v>
      </c>
    </row>
    <row r="165" spans="1:8" ht="22.5" x14ac:dyDescent="0.25">
      <c r="A165" s="39" t="s">
        <v>239</v>
      </c>
      <c r="B165" s="29">
        <v>373.53</v>
      </c>
      <c r="C165" s="29">
        <v>1109.68</v>
      </c>
      <c r="D165" s="29">
        <v>2267.1</v>
      </c>
      <c r="E165" s="30">
        <v>3750.31</v>
      </c>
      <c r="F165" t="str">
        <f>LEFT(Table2[[#This Row],[Building]],2)</f>
        <v>CA</v>
      </c>
      <c r="G165" t="str">
        <f>LEFT(Table2[[#This Row],[Building]],8)</f>
        <v>CA0777KK</v>
      </c>
      <c r="H165" t="str">
        <f>RIGHT(Table2[[#This Row],[Building]],LEN(Table2[[#This Row],[Building]])-9)</f>
        <v>Federal Cntr Bldg 12</v>
      </c>
    </row>
    <row r="166" spans="1:8" x14ac:dyDescent="0.25">
      <c r="A166" s="39" t="s">
        <v>241</v>
      </c>
      <c r="B166" s="34" t="s">
        <v>242</v>
      </c>
      <c r="C166" s="34" t="s">
        <v>243</v>
      </c>
      <c r="D166" s="34" t="s">
        <v>244</v>
      </c>
      <c r="E166" s="33" t="s">
        <v>245</v>
      </c>
      <c r="F166" t="str">
        <f>LEFT(Table2[[#This Row],[Building]],2)</f>
        <v>CA</v>
      </c>
      <c r="G166" t="str">
        <f>LEFT(Table2[[#This Row],[Building]],8)</f>
        <v>CA0801LL</v>
      </c>
      <c r="H166" t="str">
        <f>RIGHT(Table2[[#This Row],[Building]],LEN(Table2[[#This Row],[Building]])-9)</f>
        <v>Bs Main Bldg</v>
      </c>
    </row>
    <row r="167" spans="1:8" x14ac:dyDescent="0.25">
      <c r="A167" s="39" t="s">
        <v>246</v>
      </c>
      <c r="B167" s="29">
        <v>18361.04</v>
      </c>
      <c r="C167" s="29">
        <v>8923.82</v>
      </c>
      <c r="D167" s="29">
        <v>39582.06</v>
      </c>
      <c r="E167" s="30">
        <v>66866.92</v>
      </c>
      <c r="F167" t="str">
        <f>LEFT(Table2[[#This Row],[Building]],2)</f>
        <v>CA</v>
      </c>
      <c r="G167" t="str">
        <f>LEFT(Table2[[#This Row],[Building]],8)</f>
        <v>CA0802LL</v>
      </c>
      <c r="H167" t="str">
        <f>RIGHT(Table2[[#This Row],[Building]],LEN(Table2[[#This Row],[Building]])-9)</f>
        <v>Bs Residence</v>
      </c>
    </row>
    <row r="168" spans="1:8" x14ac:dyDescent="0.25">
      <c r="A168" s="39" t="s">
        <v>247</v>
      </c>
      <c r="B168" s="31">
        <v>19326.36</v>
      </c>
      <c r="C168" s="31">
        <v>7689.45</v>
      </c>
      <c r="D168" s="31">
        <v>38340.67</v>
      </c>
      <c r="E168" s="30">
        <v>65356.480000000003</v>
      </c>
      <c r="F168" t="str">
        <f>LEFT(Table2[[#This Row],[Building]],2)</f>
        <v>CA</v>
      </c>
      <c r="G168" t="str">
        <f>LEFT(Table2[[#This Row],[Building]],8)</f>
        <v>CA0803LL</v>
      </c>
      <c r="H168" t="str">
        <f>RIGHT(Table2[[#This Row],[Building]],LEN(Table2[[#This Row],[Building]])-9)</f>
        <v>B S Residence</v>
      </c>
    </row>
    <row r="169" spans="1:8" ht="22.5" x14ac:dyDescent="0.25">
      <c r="A169" s="39" t="s">
        <v>248</v>
      </c>
      <c r="B169" s="29">
        <v>121305</v>
      </c>
      <c r="C169" s="29">
        <v>52399.23</v>
      </c>
      <c r="D169" s="29">
        <v>263617.65999999997</v>
      </c>
      <c r="E169" s="30">
        <v>437321.89</v>
      </c>
      <c r="F169" t="str">
        <f>LEFT(Table2[[#This Row],[Building]],2)</f>
        <v>CA</v>
      </c>
      <c r="G169" t="str">
        <f>LEFT(Table2[[#This Row],[Building]],8)</f>
        <v>CA0804LL</v>
      </c>
      <c r="H169" t="str">
        <f>RIGHT(Table2[[#This Row],[Building]],LEN(Table2[[#This Row],[Building]])-9)</f>
        <v>Bs - Commercial Port</v>
      </c>
    </row>
    <row r="170" spans="1:8" x14ac:dyDescent="0.25">
      <c r="A170" s="39" t="s">
        <v>249</v>
      </c>
      <c r="B170" s="31">
        <v>84650.07</v>
      </c>
      <c r="C170" s="31">
        <v>126311.64</v>
      </c>
      <c r="D170" s="31">
        <v>134165.22</v>
      </c>
      <c r="E170" s="30">
        <v>345126.93</v>
      </c>
      <c r="F170" t="str">
        <f>LEFT(Table2[[#This Row],[Building]],2)</f>
        <v>CA</v>
      </c>
      <c r="G170" t="str">
        <f>LEFT(Table2[[#This Row],[Building]],8)</f>
        <v>CA0901OO</v>
      </c>
      <c r="H170" t="str">
        <f>RIGHT(Table2[[#This Row],[Building]],LEN(Table2[[#This Row],[Building]])-9)</f>
        <v>Gsa Bldg 1</v>
      </c>
    </row>
    <row r="171" spans="1:8" x14ac:dyDescent="0.25">
      <c r="A171" s="39" t="s">
        <v>250</v>
      </c>
      <c r="B171" s="29">
        <v>90962.4</v>
      </c>
      <c r="C171" s="29">
        <v>101567.85</v>
      </c>
      <c r="D171" s="29">
        <v>143042.92000000001</v>
      </c>
      <c r="E171" s="30">
        <v>335573.17</v>
      </c>
      <c r="F171" t="str">
        <f>LEFT(Table2[[#This Row],[Building]],2)</f>
        <v>CA</v>
      </c>
      <c r="G171" t="str">
        <f>LEFT(Table2[[#This Row],[Building]],8)</f>
        <v>CA0902OO</v>
      </c>
      <c r="H171" t="str">
        <f>RIGHT(Table2[[#This Row],[Building]],LEN(Table2[[#This Row],[Building]])-9)</f>
        <v>Gsa Bldg 2</v>
      </c>
    </row>
    <row r="172" spans="1:8" x14ac:dyDescent="0.25">
      <c r="A172" s="39" t="s">
        <v>251</v>
      </c>
      <c r="B172" s="31">
        <v>185889.46</v>
      </c>
      <c r="C172" s="31">
        <v>216343.29</v>
      </c>
      <c r="D172" s="31">
        <v>290525.8</v>
      </c>
      <c r="E172" s="30">
        <v>692758.55</v>
      </c>
      <c r="F172" t="str">
        <f>LEFT(Table2[[#This Row],[Building]],2)</f>
        <v>CA</v>
      </c>
      <c r="G172" t="str">
        <f>LEFT(Table2[[#This Row],[Building]],8)</f>
        <v>CA0903OO</v>
      </c>
      <c r="H172" t="str">
        <f>RIGHT(Table2[[#This Row],[Building]],LEN(Table2[[#This Row],[Building]])-9)</f>
        <v>Usgs Bldg 3</v>
      </c>
    </row>
    <row r="173" spans="1:8" x14ac:dyDescent="0.25">
      <c r="A173" s="39" t="s">
        <v>252</v>
      </c>
      <c r="B173" s="29">
        <v>7338.99</v>
      </c>
      <c r="C173" s="29">
        <v>8154.74</v>
      </c>
      <c r="D173" s="29">
        <v>8940.6200000000008</v>
      </c>
      <c r="E173" s="30">
        <v>24434.35</v>
      </c>
      <c r="F173" t="str">
        <f>LEFT(Table2[[#This Row],[Building]],2)</f>
        <v>CA</v>
      </c>
      <c r="G173" t="str">
        <f>LEFT(Table2[[#This Row],[Building]],8)</f>
        <v>CA0904OO</v>
      </c>
      <c r="H173" t="str">
        <f>RIGHT(Table2[[#This Row],[Building]],LEN(Table2[[#This Row],[Building]])-9)</f>
        <v>Bldgs 9e</v>
      </c>
    </row>
    <row r="174" spans="1:8" x14ac:dyDescent="0.25">
      <c r="A174" s="39" t="s">
        <v>253</v>
      </c>
      <c r="B174" s="31">
        <v>4026.84</v>
      </c>
      <c r="C174" s="31">
        <v>6148.71</v>
      </c>
      <c r="D174" s="31">
        <v>8253.64</v>
      </c>
      <c r="E174" s="30">
        <v>18429.189999999999</v>
      </c>
      <c r="F174" t="str">
        <f>LEFT(Table2[[#This Row],[Building]],2)</f>
        <v>CA</v>
      </c>
      <c r="G174" t="str">
        <f>LEFT(Table2[[#This Row],[Building]],8)</f>
        <v>CA0905OO</v>
      </c>
      <c r="H174" t="str">
        <f>RIGHT(Table2[[#This Row],[Building]],LEN(Table2[[#This Row],[Building]])-9)</f>
        <v>Usgs Bldg 10</v>
      </c>
    </row>
    <row r="175" spans="1:8" x14ac:dyDescent="0.25">
      <c r="A175" s="39" t="s">
        <v>254</v>
      </c>
      <c r="B175" s="29">
        <v>22863.18</v>
      </c>
      <c r="C175" s="29">
        <v>35303.910000000003</v>
      </c>
      <c r="D175" s="29">
        <v>36770.93</v>
      </c>
      <c r="E175" s="30">
        <v>94938.02</v>
      </c>
      <c r="F175" t="str">
        <f>LEFT(Table2[[#This Row],[Building]],2)</f>
        <v>CA</v>
      </c>
      <c r="G175" t="str">
        <f>LEFT(Table2[[#This Row],[Building]],8)</f>
        <v>CA0906OO</v>
      </c>
      <c r="H175" t="str">
        <f>RIGHT(Table2[[#This Row],[Building]],LEN(Table2[[#This Row],[Building]])-9)</f>
        <v>Usgs Bldg 3a</v>
      </c>
    </row>
    <row r="176" spans="1:8" x14ac:dyDescent="0.25">
      <c r="A176" s="39" t="s">
        <v>255</v>
      </c>
      <c r="B176" s="31">
        <v>2474.3000000000002</v>
      </c>
      <c r="C176" s="31">
        <v>3820.11</v>
      </c>
      <c r="D176" s="31">
        <v>3879.23</v>
      </c>
      <c r="E176" s="30">
        <v>10173.64</v>
      </c>
      <c r="F176" t="str">
        <f>LEFT(Table2[[#This Row],[Building]],2)</f>
        <v>CA</v>
      </c>
      <c r="G176" t="str">
        <f>LEFT(Table2[[#This Row],[Building]],8)</f>
        <v>CA0907OO</v>
      </c>
      <c r="H176" t="str">
        <f>RIGHT(Table2[[#This Row],[Building]],LEN(Table2[[#This Row],[Building]])-9)</f>
        <v>Usgs Bldg 9f</v>
      </c>
    </row>
    <row r="177" spans="1:8" x14ac:dyDescent="0.25">
      <c r="A177" s="39" t="s">
        <v>256</v>
      </c>
      <c r="B177" s="29">
        <v>10634.06</v>
      </c>
      <c r="C177" s="29">
        <v>16419.39</v>
      </c>
      <c r="D177" s="29">
        <v>17266.72</v>
      </c>
      <c r="E177" s="30">
        <v>44320.17</v>
      </c>
      <c r="F177" t="str">
        <f>LEFT(Table2[[#This Row],[Building]],2)</f>
        <v>CA</v>
      </c>
      <c r="G177" t="str">
        <f>LEFT(Table2[[#This Row],[Building]],8)</f>
        <v>CA0908OO</v>
      </c>
      <c r="H177" t="str">
        <f>RIGHT(Table2[[#This Row],[Building]],LEN(Table2[[#This Row],[Building]])-9)</f>
        <v>Usgs Bldg 9g</v>
      </c>
    </row>
    <row r="178" spans="1:8" x14ac:dyDescent="0.25">
      <c r="A178" s="39" t="s">
        <v>257</v>
      </c>
      <c r="B178" s="31">
        <v>20720.87</v>
      </c>
      <c r="C178" s="34" t="s">
        <v>258</v>
      </c>
      <c r="D178" s="31">
        <v>32484.639999999999</v>
      </c>
      <c r="E178" s="33" t="s">
        <v>259</v>
      </c>
      <c r="F178" t="str">
        <f>LEFT(Table2[[#This Row],[Building]],2)</f>
        <v>CA</v>
      </c>
      <c r="G178" t="str">
        <f>LEFT(Table2[[#This Row],[Building]],8)</f>
        <v>CA0909OO</v>
      </c>
      <c r="H178" t="str">
        <f>RIGHT(Table2[[#This Row],[Building]],LEN(Table2[[#This Row],[Building]])-9)</f>
        <v>Usgs Bldg 11</v>
      </c>
    </row>
    <row r="179" spans="1:8" x14ac:dyDescent="0.25">
      <c r="A179" s="39" t="s">
        <v>260</v>
      </c>
      <c r="B179" s="29">
        <v>1171.73</v>
      </c>
      <c r="C179" s="29">
        <v>1805.52</v>
      </c>
      <c r="D179" s="29">
        <v>1838.57</v>
      </c>
      <c r="E179" s="30">
        <v>4815.82</v>
      </c>
      <c r="F179" t="str">
        <f>LEFT(Table2[[#This Row],[Building]],2)</f>
        <v>CA</v>
      </c>
      <c r="G179" t="str">
        <f>LEFT(Table2[[#This Row],[Building]],8)</f>
        <v>CA0910OO</v>
      </c>
      <c r="H179" t="str">
        <f>RIGHT(Table2[[#This Row],[Building]],LEN(Table2[[#This Row],[Building]])-9)</f>
        <v>Gardeners Shed</v>
      </c>
    </row>
    <row r="180" spans="1:8" x14ac:dyDescent="0.25">
      <c r="A180" s="39" t="s">
        <v>261</v>
      </c>
      <c r="B180" s="31">
        <v>4043.15</v>
      </c>
      <c r="C180" s="34" t="s">
        <v>262</v>
      </c>
      <c r="D180" s="31">
        <v>6338.97</v>
      </c>
      <c r="E180" s="33" t="s">
        <v>263</v>
      </c>
      <c r="F180" t="str">
        <f>LEFT(Table2[[#This Row],[Building]],2)</f>
        <v>CA</v>
      </c>
      <c r="G180" t="str">
        <f>LEFT(Table2[[#This Row],[Building]],8)</f>
        <v>CA0912OO</v>
      </c>
      <c r="H180" t="str">
        <f>RIGHT(Table2[[#This Row],[Building]],LEN(Table2[[#This Row],[Building]])-9)</f>
        <v>Rolm Switch Bldg</v>
      </c>
    </row>
    <row r="181" spans="1:8" x14ac:dyDescent="0.25">
      <c r="A181" s="39" t="s">
        <v>264</v>
      </c>
      <c r="B181" s="29">
        <v>808.44</v>
      </c>
      <c r="C181" s="29">
        <v>1248.3599999999999</v>
      </c>
      <c r="D181" s="29">
        <v>1267.47</v>
      </c>
      <c r="E181" s="30">
        <v>3324.27</v>
      </c>
      <c r="F181" t="str">
        <f>LEFT(Table2[[#This Row],[Building]],2)</f>
        <v>CA</v>
      </c>
      <c r="G181" t="str">
        <f>LEFT(Table2[[#This Row],[Building]],8)</f>
        <v>CA0913OO</v>
      </c>
      <c r="H181" t="str">
        <f>RIGHT(Table2[[#This Row],[Building]],LEN(Table2[[#This Row],[Building]])-9)</f>
        <v>Usgs Bldg 12</v>
      </c>
    </row>
    <row r="182" spans="1:8" x14ac:dyDescent="0.25">
      <c r="A182" s="39" t="s">
        <v>265</v>
      </c>
      <c r="B182" s="31">
        <v>26838.27</v>
      </c>
      <c r="C182" s="31">
        <v>36500.339999999997</v>
      </c>
      <c r="D182" s="31">
        <v>37989.22</v>
      </c>
      <c r="E182" s="30">
        <v>101327.83</v>
      </c>
      <c r="F182" t="str">
        <f>LEFT(Table2[[#This Row],[Building]],2)</f>
        <v>CA</v>
      </c>
      <c r="G182" t="str">
        <f>LEFT(Table2[[#This Row],[Building]],8)</f>
        <v>CA0914OO</v>
      </c>
      <c r="H182" t="str">
        <f>RIGHT(Table2[[#This Row],[Building]],LEN(Table2[[#This Row],[Building]])-9)</f>
        <v>Rock Proc Lab</v>
      </c>
    </row>
    <row r="183" spans="1:8" x14ac:dyDescent="0.25">
      <c r="A183" s="39" t="s">
        <v>266</v>
      </c>
      <c r="B183" s="29">
        <v>304219.31</v>
      </c>
      <c r="C183" s="32" t="s">
        <v>267</v>
      </c>
      <c r="D183" s="29">
        <v>492156.32</v>
      </c>
      <c r="E183" s="30">
        <v>542524.52</v>
      </c>
      <c r="F183" t="str">
        <f>LEFT(Table2[[#This Row],[Building]],2)</f>
        <v>CA</v>
      </c>
      <c r="G183" t="str">
        <f>LEFT(Table2[[#This Row],[Building]],8)</f>
        <v>CA0915OO</v>
      </c>
      <c r="H183" t="str">
        <f>RIGHT(Table2[[#This Row],[Building]],LEN(Table2[[#This Row],[Building]])-9)</f>
        <v>Mckelvey Bldg</v>
      </c>
    </row>
    <row r="184" spans="1:8" ht="22.5" x14ac:dyDescent="0.25">
      <c r="A184" s="39" t="s">
        <v>268</v>
      </c>
      <c r="B184" s="31">
        <v>6238.61</v>
      </c>
      <c r="C184" s="31">
        <v>9636.31</v>
      </c>
      <c r="D184" s="31">
        <v>9779.02</v>
      </c>
      <c r="E184" s="30">
        <v>25653.94</v>
      </c>
      <c r="F184" t="str">
        <f>LEFT(Table2[[#This Row],[Building]],2)</f>
        <v>CA</v>
      </c>
      <c r="G184" t="str">
        <f>LEFT(Table2[[#This Row],[Building]],8)</f>
        <v>CA0916OO</v>
      </c>
      <c r="H184" t="str">
        <f>RIGHT(Table2[[#This Row],[Building]],LEN(Table2[[#This Row],[Building]])-9)</f>
        <v>Paleomagnetic Lab</v>
      </c>
    </row>
    <row r="185" spans="1:8" x14ac:dyDescent="0.25">
      <c r="A185" s="39" t="s">
        <v>269</v>
      </c>
      <c r="B185" s="29">
        <v>25530.95</v>
      </c>
      <c r="C185" s="29">
        <v>35459.360000000001</v>
      </c>
      <c r="D185" s="29">
        <v>36023.07</v>
      </c>
      <c r="E185" s="30">
        <v>97013.38</v>
      </c>
      <c r="F185" t="str">
        <f>LEFT(Table2[[#This Row],[Building]],2)</f>
        <v>CA</v>
      </c>
      <c r="G185" t="str">
        <f>LEFT(Table2[[#This Row],[Building]],8)</f>
        <v>CA0917OO</v>
      </c>
      <c r="H185" t="str">
        <f>RIGHT(Table2[[#This Row],[Building]],LEN(Table2[[#This Row],[Building]])-9)</f>
        <v>Central Service</v>
      </c>
    </row>
    <row r="186" spans="1:8" x14ac:dyDescent="0.25">
      <c r="A186" s="39" t="s">
        <v>270</v>
      </c>
      <c r="B186" s="31">
        <v>64068.75</v>
      </c>
      <c r="C186" s="31">
        <v>27597.75</v>
      </c>
      <c r="D186" s="31">
        <v>52061.02</v>
      </c>
      <c r="E186" s="30">
        <v>143727.51999999999</v>
      </c>
      <c r="F186" t="str">
        <f>LEFT(Table2[[#This Row],[Building]],2)</f>
        <v>CA</v>
      </c>
      <c r="G186" t="str">
        <f>LEFT(Table2[[#This Row],[Building]],8)</f>
        <v>CA0918OO</v>
      </c>
      <c r="H186" t="str">
        <f>RIGHT(Table2[[#This Row],[Building]],LEN(Table2[[#This Row],[Building]])-9)</f>
        <v>Geo Kids</v>
      </c>
    </row>
    <row r="187" spans="1:8" ht="22.5" x14ac:dyDescent="0.25">
      <c r="A187" s="39" t="s">
        <v>271</v>
      </c>
      <c r="B187" s="29">
        <v>644096.34</v>
      </c>
      <c r="C187" s="29">
        <v>153489.65</v>
      </c>
      <c r="D187" s="29">
        <v>290396.71000000002</v>
      </c>
      <c r="E187" s="30">
        <v>1087982.7</v>
      </c>
      <c r="F187" t="str">
        <f>LEFT(Table2[[#This Row],[Building]],2)</f>
        <v>CA</v>
      </c>
      <c r="G187" t="str">
        <f>LEFT(Table2[[#This Row],[Building]],8)</f>
        <v>CA9551RR</v>
      </c>
      <c r="H187" t="str">
        <f>RIGHT(Table2[[#This Row],[Building]],LEN(Table2[[#This Row],[Building]])-9)</f>
        <v>Richard H Chambers C</v>
      </c>
    </row>
    <row r="188" spans="1:8" x14ac:dyDescent="0.25">
      <c r="A188" s="39" t="s">
        <v>272</v>
      </c>
      <c r="B188" s="31">
        <v>386227.77</v>
      </c>
      <c r="C188" s="31">
        <v>245891.54</v>
      </c>
      <c r="D188" s="31">
        <v>212991.31</v>
      </c>
      <c r="E188" s="30">
        <v>845110.62</v>
      </c>
      <c r="F188" t="str">
        <f>LEFT(Table2[[#This Row],[Building]],2)</f>
        <v>CO</v>
      </c>
      <c r="G188" t="str">
        <f>LEFT(Table2[[#This Row],[Building]],8)</f>
        <v>CO0006ZZ</v>
      </c>
      <c r="H188" t="str">
        <f>RIGHT(Table2[[#This Row],[Building]],LEN(Table2[[#This Row],[Building]])-9)</f>
        <v>Fb-Cu</v>
      </c>
    </row>
    <row r="189" spans="1:8" ht="22.5" x14ac:dyDescent="0.25">
      <c r="A189" s="39" t="s">
        <v>273</v>
      </c>
      <c r="B189" s="29">
        <v>320778.15000000002</v>
      </c>
      <c r="C189" s="29">
        <v>439555.53</v>
      </c>
      <c r="D189" s="29">
        <v>540761.5</v>
      </c>
      <c r="E189" s="30">
        <v>1301095.18</v>
      </c>
      <c r="F189" t="str">
        <f>LEFT(Table2[[#This Row],[Building]],2)</f>
        <v>CO</v>
      </c>
      <c r="G189" t="str">
        <f>LEFT(Table2[[#This Row],[Building]],8)</f>
        <v>CO0009ZZ</v>
      </c>
      <c r="H189" t="str">
        <f>RIGHT(Table2[[#This Row],[Building]],LEN(Table2[[#This Row],[Building]])-9)</f>
        <v>Byron White Us Crths</v>
      </c>
    </row>
    <row r="190" spans="1:8" ht="22.5" x14ac:dyDescent="0.25">
      <c r="A190" s="39" t="s">
        <v>274</v>
      </c>
      <c r="B190" s="31">
        <v>75218.009999999995</v>
      </c>
      <c r="C190" s="31">
        <v>23157.15</v>
      </c>
      <c r="D190" s="31">
        <v>142408.74</v>
      </c>
      <c r="E190" s="30">
        <v>240783.9</v>
      </c>
      <c r="F190" t="str">
        <f>LEFT(Table2[[#This Row],[Building]],2)</f>
        <v>CO</v>
      </c>
      <c r="G190" t="str">
        <f>LEFT(Table2[[#This Row],[Building]],8)</f>
        <v>CO0018ZZ</v>
      </c>
      <c r="H190" t="str">
        <f>RIGHT(Table2[[#This Row],[Building]],LEN(Table2[[#This Row],[Building]])-9)</f>
        <v>Wayne Aspinall Fbct</v>
      </c>
    </row>
    <row r="191" spans="1:8" ht="22.5" x14ac:dyDescent="0.25">
      <c r="A191" s="39" t="s">
        <v>275</v>
      </c>
      <c r="B191" s="29">
        <v>595225.55000000005</v>
      </c>
      <c r="C191" s="29">
        <v>809644.18</v>
      </c>
      <c r="D191" s="29">
        <v>1009428.65</v>
      </c>
      <c r="E191" s="30">
        <v>2414298.38</v>
      </c>
      <c r="F191" t="str">
        <f>LEFT(Table2[[#This Row],[Building]],2)</f>
        <v>CO</v>
      </c>
      <c r="G191" t="str">
        <f>LEFT(Table2[[#This Row],[Building]],8)</f>
        <v>CO0039ZZ</v>
      </c>
      <c r="H191" t="str">
        <f>RIGHT(Table2[[#This Row],[Building]],LEN(Table2[[#This Row],[Building]])-9)</f>
        <v>Byron G.Rogers Fb-Ct</v>
      </c>
    </row>
    <row r="192" spans="1:8" x14ac:dyDescent="0.25">
      <c r="A192" s="39" t="s">
        <v>276</v>
      </c>
      <c r="B192" s="31">
        <v>160815.85</v>
      </c>
      <c r="C192" s="31">
        <v>57370.94</v>
      </c>
      <c r="D192" s="31">
        <v>243447.82</v>
      </c>
      <c r="E192" s="30">
        <v>461634.61</v>
      </c>
      <c r="F192" t="str">
        <f>LEFT(Table2[[#This Row],[Building]],2)</f>
        <v>CO</v>
      </c>
      <c r="G192" t="str">
        <f>LEFT(Table2[[#This Row],[Building]],8)</f>
        <v>CO0046ZZ</v>
      </c>
      <c r="H192" t="str">
        <f>RIGHT(Table2[[#This Row],[Building]],LEN(Table2[[#This Row],[Building]])-9)</f>
        <v>Fb-Po</v>
      </c>
    </row>
    <row r="193" spans="1:8" ht="22.5" x14ac:dyDescent="0.25">
      <c r="A193" s="39" t="s">
        <v>277</v>
      </c>
      <c r="B193" s="29">
        <v>17061.84</v>
      </c>
      <c r="C193" s="29">
        <v>4509.7</v>
      </c>
      <c r="D193" s="29">
        <v>8980.15</v>
      </c>
      <c r="E193" s="30">
        <v>30551.69</v>
      </c>
      <c r="F193" t="str">
        <f>LEFT(Table2[[#This Row],[Building]],2)</f>
        <v>CO</v>
      </c>
      <c r="G193" t="str">
        <f>LEFT(Table2[[#This Row],[Building]],8)</f>
        <v>CO0050ZZ</v>
      </c>
      <c r="H193" t="str">
        <f>RIGHT(Table2[[#This Row],[Building]],LEN(Table2[[#This Row],[Building]])-9)</f>
        <v>Federal Garage Bldg</v>
      </c>
    </row>
    <row r="194" spans="1:8" ht="22.5" x14ac:dyDescent="0.25">
      <c r="A194" s="39" t="s">
        <v>278</v>
      </c>
      <c r="B194" s="31">
        <v>16458.509999999998</v>
      </c>
      <c r="C194" s="31">
        <v>10729.99</v>
      </c>
      <c r="D194" s="31">
        <v>13416.31</v>
      </c>
      <c r="E194" s="30">
        <v>40604.81</v>
      </c>
      <c r="F194" t="str">
        <f>LEFT(Table2[[#This Row],[Building]],2)</f>
        <v>CO</v>
      </c>
      <c r="G194" t="str">
        <f>LEFT(Table2[[#This Row],[Building]],8)</f>
        <v>CO0051ZZ</v>
      </c>
      <c r="H194" t="str">
        <f>RIGHT(Table2[[#This Row],[Building]],LEN(Table2[[#This Row],[Building]])-9)</f>
        <v>Federal Garage Bldg</v>
      </c>
    </row>
    <row r="195" spans="1:8" x14ac:dyDescent="0.25">
      <c r="A195" s="39" t="s">
        <v>279</v>
      </c>
      <c r="B195" s="29">
        <v>28454</v>
      </c>
      <c r="C195" s="29">
        <v>2310.37</v>
      </c>
      <c r="D195" s="29">
        <v>5062.32</v>
      </c>
      <c r="E195" s="30">
        <v>35826.69</v>
      </c>
      <c r="F195" t="str">
        <f>LEFT(Table2[[#This Row],[Building]],2)</f>
        <v>CO</v>
      </c>
      <c r="G195" t="str">
        <f>LEFT(Table2[[#This Row],[Building]],8)</f>
        <v>CO0053ZZ</v>
      </c>
      <c r="H195" t="str">
        <f>RIGHT(Table2[[#This Row],[Building]],LEN(Table2[[#This Row],[Building]])-9)</f>
        <v>Gsa Parking Lot</v>
      </c>
    </row>
    <row r="196" spans="1:8" ht="22.5" x14ac:dyDescent="0.25">
      <c r="A196" s="39" t="s">
        <v>280</v>
      </c>
      <c r="B196" s="31">
        <v>325844.74</v>
      </c>
      <c r="C196" s="31">
        <v>252638.12</v>
      </c>
      <c r="D196" s="31">
        <v>331933.96999999997</v>
      </c>
      <c r="E196" s="30">
        <v>910416.83</v>
      </c>
      <c r="F196" t="str">
        <f>LEFT(Table2[[#This Row],[Building]],2)</f>
        <v>CO</v>
      </c>
      <c r="G196" t="str">
        <f>LEFT(Table2[[#This Row],[Building]],8)</f>
        <v>CO0054ZZ</v>
      </c>
      <c r="H196" t="str">
        <f>RIGHT(Table2[[#This Row],[Building]],LEN(Table2[[#This Row],[Building]])-9)</f>
        <v>Cesar E. Chavez Memo</v>
      </c>
    </row>
    <row r="197" spans="1:8" ht="22.5" x14ac:dyDescent="0.25">
      <c r="A197" s="39" t="s">
        <v>281</v>
      </c>
      <c r="B197" s="29">
        <v>665146.53</v>
      </c>
      <c r="C197" s="29">
        <v>82000</v>
      </c>
      <c r="D197" s="29">
        <v>1043956.62</v>
      </c>
      <c r="E197" s="30">
        <v>1791103.15</v>
      </c>
      <c r="F197" t="str">
        <f>LEFT(Table2[[#This Row],[Building]],2)</f>
        <v>CO</v>
      </c>
      <c r="G197" t="str">
        <f>LEFT(Table2[[#This Row],[Building]],8)</f>
        <v>CO0055ZZ</v>
      </c>
      <c r="H197" t="str">
        <f>RIGHT(Table2[[#This Row],[Building]],LEN(Table2[[#This Row],[Building]])-9)</f>
        <v>David Skaggs Researc</v>
      </c>
    </row>
    <row r="198" spans="1:8" x14ac:dyDescent="0.25">
      <c r="A198" s="39" t="s">
        <v>282</v>
      </c>
      <c r="B198" s="31">
        <v>413106.7</v>
      </c>
      <c r="C198" s="31">
        <v>591360.29</v>
      </c>
      <c r="D198" s="31">
        <v>844669.05</v>
      </c>
      <c r="E198" s="30">
        <v>1849136.04</v>
      </c>
      <c r="F198" t="str">
        <f>LEFT(Table2[[#This Row],[Building]],2)</f>
        <v>CO</v>
      </c>
      <c r="G198" t="str">
        <f>LEFT(Table2[[#This Row],[Building]],8)</f>
        <v>CO0061ZZ</v>
      </c>
      <c r="H198" t="str">
        <f>RIGHT(Table2[[#This Row],[Building]],LEN(Table2[[#This Row],[Building]])-9)</f>
        <v>Alfred A. Arraj</v>
      </c>
    </row>
    <row r="199" spans="1:8" ht="22.5" x14ac:dyDescent="0.25">
      <c r="A199" s="39" t="s">
        <v>283</v>
      </c>
      <c r="B199" s="29">
        <v>119103.92</v>
      </c>
      <c r="C199" s="32" t="s">
        <v>284</v>
      </c>
      <c r="D199" s="29">
        <v>106542.6</v>
      </c>
      <c r="E199" s="30">
        <v>145944.70000000001</v>
      </c>
      <c r="F199" t="str">
        <f>LEFT(Table2[[#This Row],[Building]],2)</f>
        <v>CO</v>
      </c>
      <c r="G199" t="str">
        <f>LEFT(Table2[[#This Row],[Building]],8)</f>
        <v>CO0100AA</v>
      </c>
      <c r="H199" t="str">
        <f>RIGHT(Table2[[#This Row],[Building]],LEN(Table2[[#This Row],[Building]])-9)</f>
        <v>Land Area N&amp;E Core</v>
      </c>
    </row>
    <row r="200" spans="1:8" x14ac:dyDescent="0.25">
      <c r="A200" s="39" t="s">
        <v>285</v>
      </c>
      <c r="B200" s="31">
        <v>255767.64</v>
      </c>
      <c r="C200" s="31">
        <v>8744.1299999999992</v>
      </c>
      <c r="D200" s="31">
        <v>164816.54</v>
      </c>
      <c r="E200" s="30">
        <v>429328.31</v>
      </c>
      <c r="F200" t="str">
        <f>LEFT(Table2[[#This Row],[Building]],2)</f>
        <v>CO</v>
      </c>
      <c r="G200" t="str">
        <f>LEFT(Table2[[#This Row],[Building]],8)</f>
        <v>CO0200AA</v>
      </c>
      <c r="H200" t="str">
        <f>RIGHT(Table2[[#This Row],[Building]],LEN(Table2[[#This Row],[Building]])-9)</f>
        <v>Land Area 2 E. Core</v>
      </c>
    </row>
    <row r="201" spans="1:8" ht="22.5" x14ac:dyDescent="0.25">
      <c r="A201" s="39" t="s">
        <v>286</v>
      </c>
      <c r="B201" s="29">
        <v>246757.61</v>
      </c>
      <c r="C201" s="29">
        <v>5457.92</v>
      </c>
      <c r="D201" s="29">
        <v>203613.21</v>
      </c>
      <c r="E201" s="30">
        <v>455828.74</v>
      </c>
      <c r="F201" t="str">
        <f>LEFT(Table2[[#This Row],[Building]],2)</f>
        <v>CO</v>
      </c>
      <c r="G201" t="str">
        <f>LEFT(Table2[[#This Row],[Building]],8)</f>
        <v>CO0300AA</v>
      </c>
      <c r="H201" t="str">
        <f>RIGHT(Table2[[#This Row],[Building]],LEN(Table2[[#This Row],[Building]])-9)</f>
        <v>Land Area 3 W. Core</v>
      </c>
    </row>
    <row r="202" spans="1:8" x14ac:dyDescent="0.25">
      <c r="A202" s="39" t="s">
        <v>287</v>
      </c>
      <c r="B202" s="31">
        <v>109966.6</v>
      </c>
      <c r="C202" s="31">
        <v>267.52</v>
      </c>
      <c r="D202" s="31">
        <v>104613.39</v>
      </c>
      <c r="E202" s="30">
        <v>214847.51</v>
      </c>
      <c r="F202" t="str">
        <f>LEFT(Table2[[#This Row],[Building]],2)</f>
        <v>CO</v>
      </c>
      <c r="G202" t="str">
        <f>LEFT(Table2[[#This Row],[Building]],8)</f>
        <v>CO0350AA</v>
      </c>
      <c r="H202" t="str">
        <f>RIGHT(Table2[[#This Row],[Building]],LEN(Table2[[#This Row],[Building]])-9)</f>
        <v>Land Parcel 5</v>
      </c>
    </row>
    <row r="203" spans="1:8" x14ac:dyDescent="0.25">
      <c r="A203" s="39" t="s">
        <v>289</v>
      </c>
      <c r="B203" s="31">
        <v>58514.44</v>
      </c>
      <c r="C203" s="34" t="s">
        <v>290</v>
      </c>
      <c r="D203" s="31">
        <v>58600.639999999999</v>
      </c>
      <c r="E203" s="30">
        <v>59789.04</v>
      </c>
      <c r="F203" t="str">
        <f>LEFT(Table2[[#This Row],[Building]],2)</f>
        <v>CO</v>
      </c>
      <c r="G203" t="str">
        <f>LEFT(Table2[[#This Row],[Building]],8)</f>
        <v>CO0450AA</v>
      </c>
      <c r="H203" t="str">
        <f>RIGHT(Table2[[#This Row],[Building]],LEN(Table2[[#This Row],[Building]])-9)</f>
        <v>Land Parcel 6</v>
      </c>
    </row>
    <row r="204" spans="1:8" x14ac:dyDescent="0.25">
      <c r="A204" s="39" t="s">
        <v>293</v>
      </c>
      <c r="B204" s="31">
        <v>5680.14</v>
      </c>
      <c r="C204" s="31">
        <v>5184.1899999999996</v>
      </c>
      <c r="D204" s="31">
        <v>7552.45</v>
      </c>
      <c r="E204" s="30">
        <v>18416.78</v>
      </c>
      <c r="F204" t="str">
        <f>LEFT(Table2[[#This Row],[Building]],2)</f>
        <v>CO</v>
      </c>
      <c r="G204" t="str">
        <f>LEFT(Table2[[#This Row],[Building]],8)</f>
        <v>CO0501AA</v>
      </c>
      <c r="H204" t="str">
        <f>RIGHT(Table2[[#This Row],[Building]],LEN(Table2[[#This Row],[Building]])-9)</f>
        <v>Dfc Bldg 1</v>
      </c>
    </row>
    <row r="205" spans="1:8" x14ac:dyDescent="0.25">
      <c r="A205" s="39" t="s">
        <v>294</v>
      </c>
      <c r="B205" s="29">
        <v>0.54</v>
      </c>
      <c r="C205" s="29">
        <v>16.05</v>
      </c>
      <c r="D205" s="29">
        <v>1.91</v>
      </c>
      <c r="E205" s="30">
        <v>18.5</v>
      </c>
      <c r="F205" t="str">
        <f>LEFT(Table2[[#This Row],[Building]],2)</f>
        <v>CO</v>
      </c>
      <c r="G205" t="str">
        <f>LEFT(Table2[[#This Row],[Building]],8)</f>
        <v>CO0506AA</v>
      </c>
      <c r="H205" t="str">
        <f>RIGHT(Table2[[#This Row],[Building]],LEN(Table2[[#This Row],[Building]])-9)</f>
        <v>Dfc Bldg 6</v>
      </c>
    </row>
    <row r="206" spans="1:8" ht="22.5" x14ac:dyDescent="0.25">
      <c r="A206" s="39" t="s">
        <v>295</v>
      </c>
      <c r="B206" s="31">
        <v>35.46</v>
      </c>
      <c r="C206" s="31">
        <v>10084.030000000001</v>
      </c>
      <c r="D206" s="31">
        <v>32553.119999999999</v>
      </c>
      <c r="E206" s="30">
        <v>42672.61</v>
      </c>
      <c r="F206" t="str">
        <f>LEFT(Table2[[#This Row],[Building]],2)</f>
        <v>CO</v>
      </c>
      <c r="G206" t="str">
        <f>LEFT(Table2[[#This Row],[Building]],8)</f>
        <v>CO0508AA</v>
      </c>
      <c r="H206" t="str">
        <f>RIGHT(Table2[[#This Row],[Building]],LEN(Table2[[#This Row],[Building]])-9)</f>
        <v>Building 8 Dfc Pump</v>
      </c>
    </row>
    <row r="207" spans="1:8" x14ac:dyDescent="0.25">
      <c r="A207" s="39" t="s">
        <v>296</v>
      </c>
      <c r="B207" s="29">
        <v>381097.09</v>
      </c>
      <c r="C207" s="29">
        <v>39389.53</v>
      </c>
      <c r="D207" s="29">
        <v>861880.05</v>
      </c>
      <c r="E207" s="30">
        <v>1282366.67</v>
      </c>
      <c r="F207" t="str">
        <f>LEFT(Table2[[#This Row],[Building]],2)</f>
        <v>CO</v>
      </c>
      <c r="G207" t="str">
        <f>LEFT(Table2[[#This Row],[Building]],8)</f>
        <v>CO0511AA</v>
      </c>
      <c r="H207" t="str">
        <f>RIGHT(Table2[[#This Row],[Building]],LEN(Table2[[#This Row],[Building]])-9)</f>
        <v>Dfc Bldg 20</v>
      </c>
    </row>
    <row r="208" spans="1:8" x14ac:dyDescent="0.25">
      <c r="A208" s="39" t="s">
        <v>297</v>
      </c>
      <c r="B208" s="31">
        <v>19124.48</v>
      </c>
      <c r="C208" s="34" t="s">
        <v>298</v>
      </c>
      <c r="D208" s="31">
        <v>41647.599999999999</v>
      </c>
      <c r="E208" s="33" t="s">
        <v>299</v>
      </c>
      <c r="F208" t="str">
        <f>LEFT(Table2[[#This Row],[Building]],2)</f>
        <v>CO</v>
      </c>
      <c r="G208" t="str">
        <f>LEFT(Table2[[#This Row],[Building]],8)</f>
        <v>CO0512AA</v>
      </c>
      <c r="H208" t="str">
        <f>RIGHT(Table2[[#This Row],[Building]],LEN(Table2[[#This Row],[Building]])-9)</f>
        <v>Dfc Bldg 21</v>
      </c>
    </row>
    <row r="209" spans="1:8" x14ac:dyDescent="0.25">
      <c r="A209" s="39" t="s">
        <v>300</v>
      </c>
      <c r="B209" s="29">
        <v>406850.8</v>
      </c>
      <c r="C209" s="32" t="s">
        <v>301</v>
      </c>
      <c r="D209" s="29">
        <v>353996.68</v>
      </c>
      <c r="E209" s="30">
        <v>742594.78</v>
      </c>
      <c r="F209" t="str">
        <f>LEFT(Table2[[#This Row],[Building]],2)</f>
        <v>CO</v>
      </c>
      <c r="G209" t="str">
        <f>LEFT(Table2[[#This Row],[Building]],8)</f>
        <v>CO0514AA</v>
      </c>
      <c r="H209" t="str">
        <f>RIGHT(Table2[[#This Row],[Building]],LEN(Table2[[#This Row],[Building]])-9)</f>
        <v>Dfc Bldg 25</v>
      </c>
    </row>
    <row r="210" spans="1:8" x14ac:dyDescent="0.25">
      <c r="A210" s="39" t="s">
        <v>302</v>
      </c>
      <c r="B210" s="31">
        <v>55216.71</v>
      </c>
      <c r="C210" s="31">
        <v>23913.26</v>
      </c>
      <c r="D210" s="31">
        <v>55762.94</v>
      </c>
      <c r="E210" s="30">
        <v>134892.91</v>
      </c>
      <c r="F210" t="str">
        <f>LEFT(Table2[[#This Row],[Building]],2)</f>
        <v>CO</v>
      </c>
      <c r="G210" t="str">
        <f>LEFT(Table2[[#This Row],[Building]],8)</f>
        <v>CO0515AA</v>
      </c>
      <c r="H210" t="str">
        <f>RIGHT(Table2[[#This Row],[Building]],LEN(Table2[[#This Row],[Building]])-9)</f>
        <v>Dfc Bldg 40</v>
      </c>
    </row>
    <row r="211" spans="1:8" x14ac:dyDescent="0.25">
      <c r="A211" s="39" t="s">
        <v>303</v>
      </c>
      <c r="B211" s="29">
        <v>484415.44</v>
      </c>
      <c r="C211" s="29">
        <v>402880.17</v>
      </c>
      <c r="D211" s="29">
        <v>727534.5</v>
      </c>
      <c r="E211" s="30">
        <v>1614830.11</v>
      </c>
      <c r="F211" t="str">
        <f>LEFT(Table2[[#This Row],[Building]],2)</f>
        <v>CO</v>
      </c>
      <c r="G211" t="str">
        <f>LEFT(Table2[[#This Row],[Building]],8)</f>
        <v>CO0516AA</v>
      </c>
      <c r="H211" t="str">
        <f>RIGHT(Table2[[#This Row],[Building]],LEN(Table2[[#This Row],[Building]])-9)</f>
        <v>Dfc Bldg 41</v>
      </c>
    </row>
    <row r="212" spans="1:8" x14ac:dyDescent="0.25">
      <c r="A212" s="39" t="s">
        <v>304</v>
      </c>
      <c r="B212" s="31">
        <v>10340.84</v>
      </c>
      <c r="C212" s="31">
        <v>13437.73</v>
      </c>
      <c r="D212" s="31">
        <v>12925.54</v>
      </c>
      <c r="E212" s="30">
        <v>36704.11</v>
      </c>
      <c r="F212" t="str">
        <f>LEFT(Table2[[#This Row],[Building]],2)</f>
        <v>CO</v>
      </c>
      <c r="G212" t="str">
        <f>LEFT(Table2[[#This Row],[Building]],8)</f>
        <v>CO0518AA</v>
      </c>
      <c r="H212" t="str">
        <f>RIGHT(Table2[[#This Row],[Building]],LEN(Table2[[#This Row],[Building]])-9)</f>
        <v>Dfc Bldg 44</v>
      </c>
    </row>
    <row r="213" spans="1:8" x14ac:dyDescent="0.25">
      <c r="A213" s="39" t="s">
        <v>305</v>
      </c>
      <c r="B213" s="29">
        <v>70085.89</v>
      </c>
      <c r="C213" s="29">
        <v>66850.19</v>
      </c>
      <c r="D213" s="29">
        <v>98790.24</v>
      </c>
      <c r="E213" s="30">
        <v>235726.32</v>
      </c>
      <c r="F213" t="str">
        <f>LEFT(Table2[[#This Row],[Building]],2)</f>
        <v>CO</v>
      </c>
      <c r="G213" t="str">
        <f>LEFT(Table2[[#This Row],[Building]],8)</f>
        <v>CO0519AA</v>
      </c>
      <c r="H213" t="str">
        <f>RIGHT(Table2[[#This Row],[Building]],LEN(Table2[[#This Row],[Building]])-9)</f>
        <v>Dfc Bldg 45</v>
      </c>
    </row>
    <row r="214" spans="1:8" x14ac:dyDescent="0.25">
      <c r="A214" s="39" t="s">
        <v>306</v>
      </c>
      <c r="B214" s="31">
        <v>20862.21</v>
      </c>
      <c r="C214" s="31">
        <v>11980.45</v>
      </c>
      <c r="D214" s="31">
        <v>25084.49</v>
      </c>
      <c r="E214" s="30">
        <v>57927.15</v>
      </c>
      <c r="F214" t="str">
        <f>LEFT(Table2[[#This Row],[Building]],2)</f>
        <v>CO</v>
      </c>
      <c r="G214" t="str">
        <f>LEFT(Table2[[#This Row],[Building]],8)</f>
        <v>CO0520AA</v>
      </c>
      <c r="H214" t="str">
        <f>RIGHT(Table2[[#This Row],[Building]],LEN(Table2[[#This Row],[Building]])-9)</f>
        <v>Dfc Bldg 46</v>
      </c>
    </row>
    <row r="215" spans="1:8" x14ac:dyDescent="0.25">
      <c r="A215" s="39" t="s">
        <v>307</v>
      </c>
      <c r="B215" s="29">
        <v>82.71</v>
      </c>
      <c r="C215" s="29">
        <v>3704.22</v>
      </c>
      <c r="D215" s="29">
        <v>327.83</v>
      </c>
      <c r="E215" s="30">
        <v>4114.76</v>
      </c>
      <c r="F215" t="str">
        <f>LEFT(Table2[[#This Row],[Building]],2)</f>
        <v>CO</v>
      </c>
      <c r="G215" t="str">
        <f>LEFT(Table2[[#This Row],[Building]],8)</f>
        <v>CO0521AA</v>
      </c>
      <c r="H215" t="str">
        <f>RIGHT(Table2[[#This Row],[Building]],LEN(Table2[[#This Row],[Building]])-9)</f>
        <v>Dfc Bldg 47</v>
      </c>
    </row>
    <row r="216" spans="1:8" x14ac:dyDescent="0.25">
      <c r="A216" s="39" t="s">
        <v>308</v>
      </c>
      <c r="B216" s="31">
        <v>103546.61</v>
      </c>
      <c r="C216" s="31">
        <v>116946.8</v>
      </c>
      <c r="D216" s="31">
        <v>144601.71</v>
      </c>
      <c r="E216" s="30">
        <v>365095.12</v>
      </c>
      <c r="F216" t="str">
        <f>LEFT(Table2[[#This Row],[Building]],2)</f>
        <v>CO</v>
      </c>
      <c r="G216" t="str">
        <f>LEFT(Table2[[#This Row],[Building]],8)</f>
        <v>CO0522AA</v>
      </c>
      <c r="H216" t="str">
        <f>RIGHT(Table2[[#This Row],[Building]],LEN(Table2[[#This Row],[Building]])-9)</f>
        <v>Dfc Bldg 48</v>
      </c>
    </row>
    <row r="217" spans="1:8" x14ac:dyDescent="0.25">
      <c r="A217" s="39" t="s">
        <v>309</v>
      </c>
      <c r="B217" s="29">
        <v>2.68</v>
      </c>
      <c r="C217" s="29">
        <v>89.44</v>
      </c>
      <c r="D217" s="29">
        <v>10.62</v>
      </c>
      <c r="E217" s="30">
        <v>102.74</v>
      </c>
      <c r="F217" t="str">
        <f>LEFT(Table2[[#This Row],[Building]],2)</f>
        <v>CO</v>
      </c>
      <c r="G217" t="str">
        <f>LEFT(Table2[[#This Row],[Building]],8)</f>
        <v>CO0523AA</v>
      </c>
      <c r="H217" t="str">
        <f>RIGHT(Table2[[#This Row],[Building]],LEN(Table2[[#This Row],[Building]])-9)</f>
        <v>Dfc Bldg 49a</v>
      </c>
    </row>
    <row r="218" spans="1:8" x14ac:dyDescent="0.25">
      <c r="A218" s="39" t="s">
        <v>310</v>
      </c>
      <c r="B218" s="31">
        <v>4.16</v>
      </c>
      <c r="C218" s="31">
        <v>2849.31</v>
      </c>
      <c r="D218" s="31">
        <v>393.72</v>
      </c>
      <c r="E218" s="30">
        <v>3247.19</v>
      </c>
      <c r="F218" t="str">
        <f>LEFT(Table2[[#This Row],[Building]],2)</f>
        <v>CO</v>
      </c>
      <c r="G218" t="str">
        <f>LEFT(Table2[[#This Row],[Building]],8)</f>
        <v>CO0524AA</v>
      </c>
      <c r="H218" t="str">
        <f>RIGHT(Table2[[#This Row],[Building]],LEN(Table2[[#This Row],[Building]])-9)</f>
        <v>Dfc Bldg 49b</v>
      </c>
    </row>
    <row r="219" spans="1:8" x14ac:dyDescent="0.25">
      <c r="A219" s="39" t="s">
        <v>311</v>
      </c>
      <c r="B219" s="29">
        <v>1.83</v>
      </c>
      <c r="C219" s="29">
        <v>2052.7600000000002</v>
      </c>
      <c r="D219" s="29">
        <v>172.6</v>
      </c>
      <c r="E219" s="30">
        <v>2227.19</v>
      </c>
      <c r="F219" t="str">
        <f>LEFT(Table2[[#This Row],[Building]],2)</f>
        <v>CO</v>
      </c>
      <c r="G219" t="str">
        <f>LEFT(Table2[[#This Row],[Building]],8)</f>
        <v>CO0525AA</v>
      </c>
      <c r="H219" t="str">
        <f>RIGHT(Table2[[#This Row],[Building]],LEN(Table2[[#This Row],[Building]])-9)</f>
        <v>Dfc Bldg 49c</v>
      </c>
    </row>
    <row r="220" spans="1:8" x14ac:dyDescent="0.25">
      <c r="A220" s="39" t="s">
        <v>312</v>
      </c>
      <c r="B220" s="31">
        <v>0.61</v>
      </c>
      <c r="C220" s="31">
        <v>1042.6300000000001</v>
      </c>
      <c r="D220" s="31">
        <v>2.37</v>
      </c>
      <c r="E220" s="30">
        <v>1045.6099999999999</v>
      </c>
      <c r="F220" t="str">
        <f>LEFT(Table2[[#This Row],[Building]],2)</f>
        <v>CO</v>
      </c>
      <c r="G220" t="str">
        <f>LEFT(Table2[[#This Row],[Building]],8)</f>
        <v>CO0526AA</v>
      </c>
      <c r="H220" t="str">
        <f>RIGHT(Table2[[#This Row],[Building]],LEN(Table2[[#This Row],[Building]])-9)</f>
        <v>Dfc Bldg 49d</v>
      </c>
    </row>
    <row r="221" spans="1:8" x14ac:dyDescent="0.25">
      <c r="A221" s="39" t="s">
        <v>313</v>
      </c>
      <c r="B221" s="29">
        <v>143680.42000000001</v>
      </c>
      <c r="C221" s="29">
        <v>83040.42</v>
      </c>
      <c r="D221" s="29">
        <v>196795.17</v>
      </c>
      <c r="E221" s="30">
        <v>423516.01</v>
      </c>
      <c r="F221" t="str">
        <f>LEFT(Table2[[#This Row],[Building]],2)</f>
        <v>CO</v>
      </c>
      <c r="G221" t="str">
        <f>LEFT(Table2[[#This Row],[Building]],8)</f>
        <v>CO0527AA</v>
      </c>
      <c r="H221" t="str">
        <f>RIGHT(Table2[[#This Row],[Building]],LEN(Table2[[#This Row],[Building]])-9)</f>
        <v>Dfc Bldg 50</v>
      </c>
    </row>
    <row r="222" spans="1:8" x14ac:dyDescent="0.25">
      <c r="A222" s="39" t="s">
        <v>314</v>
      </c>
      <c r="B222" s="31">
        <v>14157.59</v>
      </c>
      <c r="C222" s="34" t="s">
        <v>315</v>
      </c>
      <c r="D222" s="31">
        <v>15630.9</v>
      </c>
      <c r="E222" s="30">
        <v>28971.22</v>
      </c>
      <c r="F222" t="str">
        <f>LEFT(Table2[[#This Row],[Building]],2)</f>
        <v>CO</v>
      </c>
      <c r="G222" t="str">
        <f>LEFT(Table2[[#This Row],[Building]],8)</f>
        <v>CO0529AA</v>
      </c>
      <c r="H222" t="str">
        <f>RIGHT(Table2[[#This Row],[Building]],LEN(Table2[[#This Row],[Building]])-9)</f>
        <v>Dfc Bldg 52</v>
      </c>
    </row>
    <row r="223" spans="1:8" x14ac:dyDescent="0.25">
      <c r="A223" s="39" t="s">
        <v>316</v>
      </c>
      <c r="B223" s="29">
        <v>400087.89</v>
      </c>
      <c r="C223" s="32" t="s">
        <v>317</v>
      </c>
      <c r="D223" s="29">
        <v>442090.45</v>
      </c>
      <c r="E223" s="30">
        <v>591248.36</v>
      </c>
      <c r="F223" t="str">
        <f>LEFT(Table2[[#This Row],[Building]],2)</f>
        <v>CO</v>
      </c>
      <c r="G223" t="str">
        <f>LEFT(Table2[[#This Row],[Building]],8)</f>
        <v>CO0530AA</v>
      </c>
      <c r="H223" t="str">
        <f>RIGHT(Table2[[#This Row],[Building]],LEN(Table2[[#This Row],[Building]])-9)</f>
        <v>Dfc Bldg 53</v>
      </c>
    </row>
    <row r="224" spans="1:8" x14ac:dyDescent="0.25">
      <c r="A224" s="39" t="s">
        <v>318</v>
      </c>
      <c r="B224" s="31">
        <v>1383.5</v>
      </c>
      <c r="C224" s="31">
        <v>66727.62</v>
      </c>
      <c r="D224" s="31">
        <v>8646.3799999999992</v>
      </c>
      <c r="E224" s="30">
        <v>76757.5</v>
      </c>
      <c r="F224" t="str">
        <f>LEFT(Table2[[#This Row],[Building]],2)</f>
        <v>CO</v>
      </c>
      <c r="G224" t="str">
        <f>LEFT(Table2[[#This Row],[Building]],8)</f>
        <v>CO0531AA</v>
      </c>
      <c r="H224" t="str">
        <f>RIGHT(Table2[[#This Row],[Building]],LEN(Table2[[#This Row],[Building]])-9)</f>
        <v>Dfc Bldg 54</v>
      </c>
    </row>
    <row r="225" spans="1:8" x14ac:dyDescent="0.25">
      <c r="A225" s="39" t="s">
        <v>319</v>
      </c>
      <c r="B225" s="29">
        <v>14691.53</v>
      </c>
      <c r="C225" s="29">
        <v>9645.7000000000007</v>
      </c>
      <c r="D225" s="29">
        <v>20023.28</v>
      </c>
      <c r="E225" s="30">
        <v>44360.51</v>
      </c>
      <c r="F225" t="str">
        <f>LEFT(Table2[[#This Row],[Building]],2)</f>
        <v>CO</v>
      </c>
      <c r="G225" t="str">
        <f>LEFT(Table2[[#This Row],[Building]],8)</f>
        <v>CO0532AA</v>
      </c>
      <c r="H225" t="str">
        <f>RIGHT(Table2[[#This Row],[Building]],LEN(Table2[[#This Row],[Building]])-9)</f>
        <v>Dfc Bldg 55</v>
      </c>
    </row>
    <row r="226" spans="1:8" x14ac:dyDescent="0.25">
      <c r="A226" s="39" t="s">
        <v>320</v>
      </c>
      <c r="B226" s="31">
        <v>404519.99</v>
      </c>
      <c r="C226" s="31">
        <v>173808.47</v>
      </c>
      <c r="D226" s="31">
        <v>450339.49</v>
      </c>
      <c r="E226" s="30">
        <v>1028667.95</v>
      </c>
      <c r="F226" t="str">
        <f>LEFT(Table2[[#This Row],[Building]],2)</f>
        <v>CO</v>
      </c>
      <c r="G226" t="str">
        <f>LEFT(Table2[[#This Row],[Building]],8)</f>
        <v>CO0533AA</v>
      </c>
      <c r="H226" t="str">
        <f>RIGHT(Table2[[#This Row],[Building]],LEN(Table2[[#This Row],[Building]])-9)</f>
        <v>Dfc Bldg 56</v>
      </c>
    </row>
    <row r="227" spans="1:8" x14ac:dyDescent="0.25">
      <c r="A227" s="39" t="s">
        <v>321</v>
      </c>
      <c r="B227" s="29">
        <v>11636.06</v>
      </c>
      <c r="C227" s="29">
        <v>7313.88</v>
      </c>
      <c r="D227" s="29">
        <v>25547.02</v>
      </c>
      <c r="E227" s="30">
        <v>44496.959999999999</v>
      </c>
      <c r="F227" t="str">
        <f>LEFT(Table2[[#This Row],[Building]],2)</f>
        <v>CO</v>
      </c>
      <c r="G227" t="str">
        <f>LEFT(Table2[[#This Row],[Building]],8)</f>
        <v>CO0543AA</v>
      </c>
      <c r="H227" t="str">
        <f>RIGHT(Table2[[#This Row],[Building]],LEN(Table2[[#This Row],[Building]])-9)</f>
        <v>Dfc Bldg 75</v>
      </c>
    </row>
    <row r="228" spans="1:8" x14ac:dyDescent="0.25">
      <c r="A228" s="39" t="s">
        <v>322</v>
      </c>
      <c r="B228" s="31">
        <v>4.0999999999999996</v>
      </c>
      <c r="C228" s="31">
        <v>2564.61</v>
      </c>
      <c r="D228" s="31">
        <v>16.21</v>
      </c>
      <c r="E228" s="30">
        <v>2584.92</v>
      </c>
      <c r="F228" t="str">
        <f>LEFT(Table2[[#This Row],[Building]],2)</f>
        <v>CO</v>
      </c>
      <c r="G228" t="str">
        <f>LEFT(Table2[[#This Row],[Building]],8)</f>
        <v>CO0545AA</v>
      </c>
      <c r="H228" t="str">
        <f>RIGHT(Table2[[#This Row],[Building]],LEN(Table2[[#This Row],[Building]])-9)</f>
        <v>Dfc Bldg 77</v>
      </c>
    </row>
    <row r="229" spans="1:8" x14ac:dyDescent="0.25">
      <c r="A229" s="39" t="s">
        <v>323</v>
      </c>
      <c r="B229" s="29">
        <v>146991.04999999999</v>
      </c>
      <c r="C229" s="29">
        <v>68059.100000000006</v>
      </c>
      <c r="D229" s="29">
        <v>146456.15</v>
      </c>
      <c r="E229" s="30">
        <v>361506.3</v>
      </c>
      <c r="F229" t="str">
        <f>LEFT(Table2[[#This Row],[Building]],2)</f>
        <v>CO</v>
      </c>
      <c r="G229" t="str">
        <f>LEFT(Table2[[#This Row],[Building]],8)</f>
        <v>CO0576AA</v>
      </c>
      <c r="H229" t="str">
        <f>RIGHT(Table2[[#This Row],[Building]],LEN(Table2[[#This Row],[Building]])-9)</f>
        <v>Dfc Bldg 85</v>
      </c>
    </row>
    <row r="230" spans="1:8" x14ac:dyDescent="0.25">
      <c r="A230" s="39" t="s">
        <v>324</v>
      </c>
      <c r="B230" s="31">
        <v>93.72</v>
      </c>
      <c r="C230" s="31">
        <v>1727.97</v>
      </c>
      <c r="D230" s="31">
        <v>219.79</v>
      </c>
      <c r="E230" s="30">
        <v>2041.48</v>
      </c>
      <c r="F230" t="str">
        <f>LEFT(Table2[[#This Row],[Building]],2)</f>
        <v>CO</v>
      </c>
      <c r="G230" t="str">
        <f>LEFT(Table2[[#This Row],[Building]],8)</f>
        <v>CO0618AA</v>
      </c>
      <c r="H230" t="str">
        <f>RIGHT(Table2[[#This Row],[Building]],LEN(Table2[[#This Row],[Building]])-9)</f>
        <v>Dfc Bldg 3a</v>
      </c>
    </row>
    <row r="231" spans="1:8" x14ac:dyDescent="0.25">
      <c r="A231" s="39" t="s">
        <v>325</v>
      </c>
      <c r="B231" s="29">
        <v>103.29</v>
      </c>
      <c r="C231" s="29">
        <v>2327.12</v>
      </c>
      <c r="D231" s="29">
        <v>242.45</v>
      </c>
      <c r="E231" s="30">
        <v>2672.86</v>
      </c>
      <c r="F231" t="str">
        <f>LEFT(Table2[[#This Row],[Building]],2)</f>
        <v>CO</v>
      </c>
      <c r="G231" t="str">
        <f>LEFT(Table2[[#This Row],[Building]],8)</f>
        <v>CO0619AA</v>
      </c>
      <c r="H231" t="str">
        <f>RIGHT(Table2[[#This Row],[Building]],LEN(Table2[[#This Row],[Building]])-9)</f>
        <v>Dfc Bldg 2a</v>
      </c>
    </row>
    <row r="232" spans="1:8" x14ac:dyDescent="0.25">
      <c r="A232" s="39" t="s">
        <v>326</v>
      </c>
      <c r="B232" s="31">
        <v>544.48</v>
      </c>
      <c r="C232" s="31">
        <v>52350.94</v>
      </c>
      <c r="D232" s="31">
        <v>1254.42</v>
      </c>
      <c r="E232" s="30">
        <v>54149.84</v>
      </c>
      <c r="F232" t="str">
        <f>LEFT(Table2[[#This Row],[Building]],2)</f>
        <v>CO</v>
      </c>
      <c r="G232" t="str">
        <f>LEFT(Table2[[#This Row],[Building]],8)</f>
        <v>CO0622AA</v>
      </c>
      <c r="H232" t="str">
        <f>RIGHT(Table2[[#This Row],[Building]],LEN(Table2[[#This Row],[Building]])-9)</f>
        <v>Dfc Bldg 14</v>
      </c>
    </row>
    <row r="233" spans="1:8" x14ac:dyDescent="0.25">
      <c r="A233" s="39" t="s">
        <v>327</v>
      </c>
      <c r="B233" s="29">
        <v>301.88</v>
      </c>
      <c r="C233" s="29">
        <v>3400.93</v>
      </c>
      <c r="D233" s="29">
        <v>710.61</v>
      </c>
      <c r="E233" s="30">
        <v>4413.42</v>
      </c>
      <c r="F233" t="str">
        <f>LEFT(Table2[[#This Row],[Building]],2)</f>
        <v>CO</v>
      </c>
      <c r="G233" t="str">
        <f>LEFT(Table2[[#This Row],[Building]],8)</f>
        <v>CO0623AA</v>
      </c>
      <c r="H233" t="str">
        <f>RIGHT(Table2[[#This Row],[Building]],LEN(Table2[[#This Row],[Building]])-9)</f>
        <v>Dfc Bldg 13</v>
      </c>
    </row>
    <row r="234" spans="1:8" x14ac:dyDescent="0.25">
      <c r="A234" s="39" t="s">
        <v>328</v>
      </c>
      <c r="B234" s="31">
        <v>869461.59</v>
      </c>
      <c r="C234" s="31">
        <v>143021.43</v>
      </c>
      <c r="D234" s="31">
        <v>709634.37</v>
      </c>
      <c r="E234" s="30">
        <v>1722117.39</v>
      </c>
      <c r="F234" t="str">
        <f>LEFT(Table2[[#This Row],[Building]],2)</f>
        <v>CO</v>
      </c>
      <c r="G234" t="str">
        <f>LEFT(Table2[[#This Row],[Building]],8)</f>
        <v>CO0624AA</v>
      </c>
      <c r="H234" t="str">
        <f>RIGHT(Table2[[#This Row],[Building]],LEN(Table2[[#This Row],[Building]])-9)</f>
        <v>Dfc Bldg 810</v>
      </c>
    </row>
    <row r="235" spans="1:8" x14ac:dyDescent="0.25">
      <c r="A235" s="39" t="s">
        <v>329</v>
      </c>
      <c r="B235" s="29">
        <v>25867.54</v>
      </c>
      <c r="C235" s="29">
        <v>49235.95</v>
      </c>
      <c r="D235" s="29">
        <v>54123.199999999997</v>
      </c>
      <c r="E235" s="30">
        <v>129226.69</v>
      </c>
      <c r="F235" t="str">
        <f>LEFT(Table2[[#This Row],[Building]],2)</f>
        <v>CO</v>
      </c>
      <c r="G235" t="str">
        <f>LEFT(Table2[[#This Row],[Building]],8)</f>
        <v>CO0625AA</v>
      </c>
      <c r="H235" t="str">
        <f>RIGHT(Table2[[#This Row],[Building]],LEN(Table2[[#This Row],[Building]])-9)</f>
        <v>Dfc Bldg 15</v>
      </c>
    </row>
    <row r="236" spans="1:8" x14ac:dyDescent="0.25">
      <c r="A236" s="39" t="s">
        <v>330</v>
      </c>
      <c r="B236" s="31">
        <v>36211.71</v>
      </c>
      <c r="C236" s="31">
        <v>14137.72</v>
      </c>
      <c r="D236" s="31">
        <v>48349.84</v>
      </c>
      <c r="E236" s="30">
        <v>98699.27</v>
      </c>
      <c r="F236" t="str">
        <f>LEFT(Table2[[#This Row],[Building]],2)</f>
        <v>CO</v>
      </c>
      <c r="G236" t="str">
        <f>LEFT(Table2[[#This Row],[Building]],8)</f>
        <v>CO0626AA</v>
      </c>
      <c r="H236" t="str">
        <f>RIGHT(Table2[[#This Row],[Building]],LEN(Table2[[#This Row],[Building]])-9)</f>
        <v>Dfc Bldg 16</v>
      </c>
    </row>
    <row r="237" spans="1:8" x14ac:dyDescent="0.25">
      <c r="A237" s="39" t="s">
        <v>331</v>
      </c>
      <c r="B237" s="29">
        <v>604034.31999999995</v>
      </c>
      <c r="C237" s="29">
        <v>266597.36</v>
      </c>
      <c r="D237" s="29">
        <v>544323.56000000006</v>
      </c>
      <c r="E237" s="30">
        <v>1414955.24</v>
      </c>
      <c r="F237" t="str">
        <f>LEFT(Table2[[#This Row],[Building]],2)</f>
        <v>CO</v>
      </c>
      <c r="G237" t="str">
        <f>LEFT(Table2[[#This Row],[Building]],8)</f>
        <v>CO0627AA</v>
      </c>
      <c r="H237" t="str">
        <f>RIGHT(Table2[[#This Row],[Building]],LEN(Table2[[#This Row],[Building]])-9)</f>
        <v>Dfc Bldg 67</v>
      </c>
    </row>
    <row r="238" spans="1:8" x14ac:dyDescent="0.25">
      <c r="A238" s="39" t="s">
        <v>332</v>
      </c>
      <c r="B238" s="31">
        <v>39824.660000000003</v>
      </c>
      <c r="C238" s="31">
        <v>35511.39</v>
      </c>
      <c r="D238" s="31">
        <v>43755.7</v>
      </c>
      <c r="E238" s="30">
        <v>119091.75</v>
      </c>
      <c r="F238" t="str">
        <f>LEFT(Table2[[#This Row],[Building]],2)</f>
        <v>CO</v>
      </c>
      <c r="G238" t="str">
        <f>LEFT(Table2[[#This Row],[Building]],8)</f>
        <v>CO0631AA</v>
      </c>
      <c r="H238" t="str">
        <f>RIGHT(Table2[[#This Row],[Building]],LEN(Table2[[#This Row],[Building]])-9)</f>
        <v>Dfc Bldg 710</v>
      </c>
    </row>
    <row r="239" spans="1:8" x14ac:dyDescent="0.25">
      <c r="A239" s="39" t="s">
        <v>333</v>
      </c>
      <c r="B239" s="29">
        <v>3.02</v>
      </c>
      <c r="C239" s="29">
        <v>1988.62</v>
      </c>
      <c r="D239" s="29">
        <v>11.98</v>
      </c>
      <c r="E239" s="30">
        <v>2003.62</v>
      </c>
      <c r="F239" t="str">
        <f>LEFT(Table2[[#This Row],[Building]],2)</f>
        <v>CO</v>
      </c>
      <c r="G239" t="str">
        <f>LEFT(Table2[[#This Row],[Building]],8)</f>
        <v>CO0642AA</v>
      </c>
      <c r="H239" t="str">
        <f>RIGHT(Table2[[#This Row],[Building]],LEN(Table2[[#This Row],[Building]])-9)</f>
        <v>Dfc Bldg 78</v>
      </c>
    </row>
    <row r="240" spans="1:8" x14ac:dyDescent="0.25">
      <c r="A240" s="39" t="s">
        <v>334</v>
      </c>
      <c r="B240" s="31">
        <v>82.41</v>
      </c>
      <c r="C240" s="31">
        <v>2084.17</v>
      </c>
      <c r="D240" s="31">
        <v>443.01</v>
      </c>
      <c r="E240" s="30">
        <v>2609.59</v>
      </c>
      <c r="F240" t="str">
        <f>LEFT(Table2[[#This Row],[Building]],2)</f>
        <v>CO</v>
      </c>
      <c r="G240" t="str">
        <f>LEFT(Table2[[#This Row],[Building]],8)</f>
        <v>CO0643AA</v>
      </c>
      <c r="H240" t="str">
        <f>RIGHT(Table2[[#This Row],[Building]],LEN(Table2[[#This Row],[Building]])-9)</f>
        <v>Dfc Bldg 21a</v>
      </c>
    </row>
    <row r="241" spans="1:8" ht="22.5" x14ac:dyDescent="0.25">
      <c r="A241" s="39" t="s">
        <v>335</v>
      </c>
      <c r="B241" s="29">
        <v>8482.2900000000009</v>
      </c>
      <c r="C241" s="29">
        <v>13616.13</v>
      </c>
      <c r="D241" s="29">
        <v>8707.91</v>
      </c>
      <c r="E241" s="30">
        <v>30806.33</v>
      </c>
      <c r="F241" t="str">
        <f>LEFT(Table2[[#This Row],[Building]],2)</f>
        <v>CO</v>
      </c>
      <c r="G241" t="str">
        <f>LEFT(Table2[[#This Row],[Building]],8)</f>
        <v>CO0644AA</v>
      </c>
      <c r="H241" t="str">
        <f>RIGHT(Table2[[#This Row],[Building]],LEN(Table2[[#This Row],[Building]])-9)</f>
        <v>Dfc Day Care Center</v>
      </c>
    </row>
    <row r="242" spans="1:8" x14ac:dyDescent="0.25">
      <c r="A242" s="39" t="s">
        <v>336</v>
      </c>
      <c r="B242" s="31">
        <v>151.08000000000001</v>
      </c>
      <c r="C242" s="31">
        <v>5069.32</v>
      </c>
      <c r="D242" s="31">
        <v>10.91</v>
      </c>
      <c r="E242" s="30">
        <v>5231.3100000000004</v>
      </c>
      <c r="F242" t="str">
        <f>LEFT(Table2[[#This Row],[Building]],2)</f>
        <v>CO</v>
      </c>
      <c r="G242" t="str">
        <f>LEFT(Table2[[#This Row],[Building]],8)</f>
        <v>CO0648AA</v>
      </c>
      <c r="H242" t="str">
        <f>RIGHT(Table2[[#This Row],[Building]],LEN(Table2[[#This Row],[Building]])-9)</f>
        <v>Dfc Bldg 10</v>
      </c>
    </row>
    <row r="243" spans="1:8" x14ac:dyDescent="0.25">
      <c r="A243" s="39" t="s">
        <v>337</v>
      </c>
      <c r="B243" s="29">
        <v>638.23</v>
      </c>
      <c r="C243" s="29">
        <v>9055.5</v>
      </c>
      <c r="D243" s="29">
        <v>7442.89</v>
      </c>
      <c r="E243" s="30">
        <v>17136.62</v>
      </c>
      <c r="F243" t="str">
        <f>LEFT(Table2[[#This Row],[Building]],2)</f>
        <v>CO</v>
      </c>
      <c r="G243" t="str">
        <f>LEFT(Table2[[#This Row],[Building]],8)</f>
        <v>CO0650AA</v>
      </c>
      <c r="H243" t="str">
        <f>RIGHT(Table2[[#This Row],[Building]],LEN(Table2[[#This Row],[Building]])-9)</f>
        <v>Dfc Bldg 11</v>
      </c>
    </row>
    <row r="244" spans="1:8" x14ac:dyDescent="0.25">
      <c r="A244" s="39" t="s">
        <v>338</v>
      </c>
      <c r="B244" s="31">
        <v>5614.38</v>
      </c>
      <c r="C244" s="31">
        <v>3915.16</v>
      </c>
      <c r="D244" s="31">
        <v>4755.16</v>
      </c>
      <c r="E244" s="30">
        <v>14284.7</v>
      </c>
      <c r="F244" t="str">
        <f>LEFT(Table2[[#This Row],[Building]],2)</f>
        <v>CO</v>
      </c>
      <c r="G244" t="str">
        <f>LEFT(Table2[[#This Row],[Building]],8)</f>
        <v>CO0651AA</v>
      </c>
      <c r="H244" t="str">
        <f>RIGHT(Table2[[#This Row],[Building]],LEN(Table2[[#This Row],[Building]])-9)</f>
        <v>Bldg 1a</v>
      </c>
    </row>
    <row r="245" spans="1:8" x14ac:dyDescent="0.25">
      <c r="A245" s="39" t="s">
        <v>339</v>
      </c>
      <c r="B245" s="29">
        <v>2467.31</v>
      </c>
      <c r="C245" s="29">
        <v>4572.7700000000004</v>
      </c>
      <c r="D245" s="29">
        <v>19001.91</v>
      </c>
      <c r="E245" s="30">
        <v>26041.99</v>
      </c>
      <c r="F245" t="str">
        <f>LEFT(Table2[[#This Row],[Building]],2)</f>
        <v>CO</v>
      </c>
      <c r="G245" t="str">
        <f>LEFT(Table2[[#This Row],[Building]],8)</f>
        <v>CO0652AA</v>
      </c>
      <c r="H245" t="str">
        <f>RIGHT(Table2[[#This Row],[Building]],LEN(Table2[[#This Row],[Building]])-9)</f>
        <v>Bldg. 21b</v>
      </c>
    </row>
    <row r="246" spans="1:8" ht="22.5" x14ac:dyDescent="0.25">
      <c r="A246" s="39" t="s">
        <v>340</v>
      </c>
      <c r="B246" s="31">
        <v>9.16</v>
      </c>
      <c r="C246" s="31">
        <v>1839.87</v>
      </c>
      <c r="D246" s="31">
        <v>866.83</v>
      </c>
      <c r="E246" s="30">
        <v>2715.86</v>
      </c>
      <c r="F246" t="str">
        <f>LEFT(Table2[[#This Row],[Building]],2)</f>
        <v>CO</v>
      </c>
      <c r="G246" t="str">
        <f>LEFT(Table2[[#This Row],[Building]],8)</f>
        <v>CO0653AA</v>
      </c>
      <c r="H246" t="str">
        <f>RIGHT(Table2[[#This Row],[Building]],LEN(Table2[[#This Row],[Building]])-9)</f>
        <v>Greenhouse, Bldg 85b</v>
      </c>
    </row>
    <row r="247" spans="1:8" x14ac:dyDescent="0.25">
      <c r="A247" s="39" t="s">
        <v>341</v>
      </c>
      <c r="B247" s="29">
        <v>42214</v>
      </c>
      <c r="C247" s="29">
        <v>14149.85</v>
      </c>
      <c r="D247" s="29">
        <v>54730.9</v>
      </c>
      <c r="E247" s="30">
        <v>111094.75</v>
      </c>
      <c r="F247" t="str">
        <f>LEFT(Table2[[#This Row],[Building]],2)</f>
        <v>CO</v>
      </c>
      <c r="G247" t="str">
        <f>LEFT(Table2[[#This Row],[Building]],8)</f>
        <v>CO0654AA</v>
      </c>
      <c r="H247" t="str">
        <f>RIGHT(Table2[[#This Row],[Building]],LEN(Table2[[#This Row],[Building]])-9)</f>
        <v>Building 710a</v>
      </c>
    </row>
    <row r="248" spans="1:8" x14ac:dyDescent="0.25">
      <c r="A248" s="39" t="s">
        <v>342</v>
      </c>
      <c r="B248" s="31">
        <v>3282.22</v>
      </c>
      <c r="C248" s="31">
        <v>18136.89</v>
      </c>
      <c r="D248" s="31">
        <v>19020.05</v>
      </c>
      <c r="E248" s="30">
        <v>40439.160000000003</v>
      </c>
      <c r="F248" t="str">
        <f>LEFT(Table2[[#This Row],[Building]],2)</f>
        <v>CO</v>
      </c>
      <c r="G248" t="str">
        <f>LEFT(Table2[[#This Row],[Building]],8)</f>
        <v>CO0657AA</v>
      </c>
      <c r="H248" t="str">
        <f>RIGHT(Table2[[#This Row],[Building]],LEN(Table2[[#This Row],[Building]])-9)</f>
        <v>Bldg 720</v>
      </c>
    </row>
    <row r="249" spans="1:8" x14ac:dyDescent="0.25">
      <c r="A249" s="39" t="s">
        <v>343</v>
      </c>
      <c r="B249" s="29">
        <v>181410.84</v>
      </c>
      <c r="C249" s="32" t="s">
        <v>344</v>
      </c>
      <c r="D249" s="29">
        <v>211236.96</v>
      </c>
      <c r="E249" s="30">
        <v>262068.73</v>
      </c>
      <c r="F249" t="str">
        <f>LEFT(Table2[[#This Row],[Building]],2)</f>
        <v>CO</v>
      </c>
      <c r="G249" t="str">
        <f>LEFT(Table2[[#This Row],[Building]],8)</f>
        <v>CO0659AA</v>
      </c>
      <c r="H249" t="str">
        <f>RIGHT(Table2[[#This Row],[Building]],LEN(Table2[[#This Row],[Building]])-9)</f>
        <v>Building 95</v>
      </c>
    </row>
    <row r="250" spans="1:8" x14ac:dyDescent="0.25">
      <c r="A250" s="39" t="s">
        <v>345</v>
      </c>
      <c r="B250" s="31">
        <v>20626.25</v>
      </c>
      <c r="C250" s="31">
        <v>16643.189999999999</v>
      </c>
      <c r="D250" s="31">
        <v>18127.66</v>
      </c>
      <c r="E250" s="30">
        <v>55397.1</v>
      </c>
      <c r="F250" t="str">
        <f>LEFT(Table2[[#This Row],[Building]],2)</f>
        <v>CO</v>
      </c>
      <c r="G250" t="str">
        <f>LEFT(Table2[[#This Row],[Building]],8)</f>
        <v>CO0660AA</v>
      </c>
      <c r="H250" t="str">
        <f>RIGHT(Table2[[#This Row],[Building]],LEN(Table2[[#This Row],[Building]])-9)</f>
        <v>Whse Bldg 94</v>
      </c>
    </row>
    <row r="251" spans="1:8" x14ac:dyDescent="0.25">
      <c r="A251" s="39" t="s">
        <v>346</v>
      </c>
      <c r="B251" s="29">
        <v>7.04</v>
      </c>
      <c r="C251" s="29">
        <v>1573.79</v>
      </c>
      <c r="D251" s="29">
        <v>29696.91</v>
      </c>
      <c r="E251" s="30">
        <v>31277.74</v>
      </c>
      <c r="F251" t="str">
        <f>LEFT(Table2[[#This Row],[Building]],2)</f>
        <v>CO</v>
      </c>
      <c r="G251" t="str">
        <f>LEFT(Table2[[#This Row],[Building]],8)</f>
        <v>CO0661AA</v>
      </c>
      <c r="H251" t="str">
        <f>RIGHT(Table2[[#This Row],[Building]],LEN(Table2[[#This Row],[Building]])-9)</f>
        <v>Dfc Bldg 74a</v>
      </c>
    </row>
    <row r="252" spans="1:8" x14ac:dyDescent="0.25">
      <c r="A252" s="39" t="s">
        <v>347</v>
      </c>
      <c r="B252" s="31">
        <v>17656.53</v>
      </c>
      <c r="C252" s="31">
        <v>4810.3100000000004</v>
      </c>
      <c r="D252" s="31">
        <v>6420.12</v>
      </c>
      <c r="E252" s="30">
        <v>28886.959999999999</v>
      </c>
      <c r="F252" t="str">
        <f>LEFT(Table2[[#This Row],[Building]],2)</f>
        <v>CO</v>
      </c>
      <c r="G252" t="str">
        <f>LEFT(Table2[[#This Row],[Building]],8)</f>
        <v>CO0662AA</v>
      </c>
      <c r="H252" t="str">
        <f>RIGHT(Table2[[#This Row],[Building]],LEN(Table2[[#This Row],[Building]])-9)</f>
        <v>Infant/Toddler Ctr</v>
      </c>
    </row>
    <row r="253" spans="1:8" x14ac:dyDescent="0.25">
      <c r="A253" s="39" t="s">
        <v>348</v>
      </c>
      <c r="B253" s="29">
        <v>33259.839999999997</v>
      </c>
      <c r="C253" s="29">
        <v>9188.73</v>
      </c>
      <c r="D253" s="29">
        <v>39147.910000000003</v>
      </c>
      <c r="E253" s="30">
        <v>81596.479999999996</v>
      </c>
      <c r="F253" t="str">
        <f>LEFT(Table2[[#This Row],[Building]],2)</f>
        <v>CO</v>
      </c>
      <c r="G253" t="str">
        <f>LEFT(Table2[[#This Row],[Building]],8)</f>
        <v>CO0663AA</v>
      </c>
      <c r="H253" t="str">
        <f>RIGHT(Table2[[#This Row],[Building]],LEN(Table2[[#This Row],[Building]])-9)</f>
        <v>Building 85a</v>
      </c>
    </row>
    <row r="254" spans="1:8" x14ac:dyDescent="0.25">
      <c r="A254" s="39" t="s">
        <v>352</v>
      </c>
      <c r="B254" s="31">
        <v>258780.51</v>
      </c>
      <c r="C254" s="31">
        <v>238210.47</v>
      </c>
      <c r="D254" s="31">
        <v>219268.56</v>
      </c>
      <c r="E254" s="30">
        <v>716259.54</v>
      </c>
      <c r="F254" t="str">
        <f>LEFT(Table2[[#This Row],[Building]],2)</f>
        <v>CT</v>
      </c>
      <c r="G254" t="str">
        <f>LEFT(Table2[[#This Row],[Building]],8)</f>
        <v>CT0013ZZ</v>
      </c>
      <c r="H254" t="str">
        <f>RIGHT(Table2[[#This Row],[Building]],LEN(Table2[[#This Row],[Building]])-9)</f>
        <v>William R. Cotter Fb</v>
      </c>
    </row>
    <row r="255" spans="1:8" ht="22.5" x14ac:dyDescent="0.25">
      <c r="A255" s="39" t="s">
        <v>353</v>
      </c>
      <c r="B255" s="29">
        <v>202816.91</v>
      </c>
      <c r="C255" s="29">
        <v>158753.1</v>
      </c>
      <c r="D255" s="29">
        <v>269684.61</v>
      </c>
      <c r="E255" s="30">
        <v>631254.62</v>
      </c>
      <c r="F255" t="str">
        <f>LEFT(Table2[[#This Row],[Building]],2)</f>
        <v>CT</v>
      </c>
      <c r="G255" t="str">
        <f>LEFT(Table2[[#This Row],[Building]],8)</f>
        <v>CT0024ZZ</v>
      </c>
      <c r="H255" t="str">
        <f>RIGHT(Table2[[#This Row],[Building]],LEN(Table2[[#This Row],[Building]])-9)</f>
        <v>New Haven Courthouse</v>
      </c>
    </row>
    <row r="256" spans="1:8" x14ac:dyDescent="0.25">
      <c r="A256" s="39" t="s">
        <v>354</v>
      </c>
      <c r="B256" s="31">
        <v>559195.51</v>
      </c>
      <c r="C256" s="31">
        <v>785240.35</v>
      </c>
      <c r="D256" s="31">
        <v>345046.26</v>
      </c>
      <c r="E256" s="30">
        <v>1689482.12</v>
      </c>
      <c r="F256" t="str">
        <f>LEFT(Table2[[#This Row],[Building]],2)</f>
        <v>CT</v>
      </c>
      <c r="G256" t="str">
        <f>LEFT(Table2[[#This Row],[Building]],8)</f>
        <v>CT0053ZZ</v>
      </c>
      <c r="H256" t="str">
        <f>RIGHT(Table2[[#This Row],[Building]],LEN(Table2[[#This Row],[Building]])-9)</f>
        <v>Aa Ribicoff Fb&amp;Cths</v>
      </c>
    </row>
    <row r="257" spans="1:8" ht="22.5" x14ac:dyDescent="0.25">
      <c r="A257" s="39" t="s">
        <v>355</v>
      </c>
      <c r="B257" s="29">
        <v>234147.78</v>
      </c>
      <c r="C257" s="29">
        <v>213996.91</v>
      </c>
      <c r="D257" s="29">
        <v>298790.62</v>
      </c>
      <c r="E257" s="30">
        <v>746935.31</v>
      </c>
      <c r="F257" t="str">
        <f>LEFT(Table2[[#This Row],[Building]],2)</f>
        <v>CT</v>
      </c>
      <c r="G257" t="str">
        <f>LEFT(Table2[[#This Row],[Building]],8)</f>
        <v>CT0059ZZ</v>
      </c>
      <c r="H257" t="str">
        <f>RIGHT(Table2[[#This Row],[Building]],LEN(Table2[[#This Row],[Building]])-9)</f>
        <v>Brien Mcmahon Usch&amp;F</v>
      </c>
    </row>
    <row r="258" spans="1:8" x14ac:dyDescent="0.25">
      <c r="A258" s="39" t="s">
        <v>356</v>
      </c>
      <c r="B258" s="31">
        <v>16904.02</v>
      </c>
      <c r="C258" s="31">
        <v>12375.73</v>
      </c>
      <c r="D258" s="31">
        <v>1995.41</v>
      </c>
      <c r="E258" s="30">
        <v>31275.16</v>
      </c>
      <c r="F258" t="str">
        <f>LEFT(Table2[[#This Row],[Building]],2)</f>
        <v>CT</v>
      </c>
      <c r="G258" t="str">
        <f>LEFT(Table2[[#This Row],[Building]],8)</f>
        <v>CT0060ZZ</v>
      </c>
      <c r="H258" t="str">
        <f>RIGHT(Table2[[#This Row],[Building]],LEN(Table2[[#This Row],[Building]])-9)</f>
        <v>Ssa</v>
      </c>
    </row>
    <row r="259" spans="1:8" x14ac:dyDescent="0.25">
      <c r="A259" s="39" t="s">
        <v>357</v>
      </c>
      <c r="B259" s="29">
        <v>201675</v>
      </c>
      <c r="C259" s="29">
        <v>301088.48</v>
      </c>
      <c r="D259" s="29">
        <v>299472.07</v>
      </c>
      <c r="E259" s="30">
        <v>802235.55</v>
      </c>
      <c r="F259" t="str">
        <f>LEFT(Table2[[#This Row],[Building]],2)</f>
        <v>CT</v>
      </c>
      <c r="G259" t="str">
        <f>LEFT(Table2[[#This Row],[Building]],8)</f>
        <v>CT0061ZZ</v>
      </c>
      <c r="H259" t="str">
        <f>RIGHT(Table2[[#This Row],[Building]],LEN(Table2[[#This Row],[Building]])-9)</f>
        <v>Robert N Giaimo Fb</v>
      </c>
    </row>
    <row r="260" spans="1:8" ht="22.5" x14ac:dyDescent="0.25">
      <c r="A260" s="39" t="s">
        <v>358</v>
      </c>
      <c r="B260" s="31">
        <v>382829.64</v>
      </c>
      <c r="C260" s="34" t="s">
        <v>359</v>
      </c>
      <c r="D260" s="31">
        <v>6673270.4699999997</v>
      </c>
      <c r="E260" s="33" t="s">
        <v>360</v>
      </c>
      <c r="F260" t="str">
        <f>LEFT(Table2[[#This Row],[Building]],2)</f>
        <v>DC</v>
      </c>
      <c r="G260" t="str">
        <f>LEFT(Table2[[#This Row],[Building]],8)</f>
        <v>DC0001ZZ</v>
      </c>
      <c r="H260" t="str">
        <f>RIGHT(Table2[[#This Row],[Building]],LEN(Table2[[#This Row],[Building]])-9)</f>
        <v>Central Htg Plnt Stm</v>
      </c>
    </row>
    <row r="261" spans="1:8" x14ac:dyDescent="0.25">
      <c r="A261" s="39" t="s">
        <v>362</v>
      </c>
      <c r="B261" s="29">
        <v>12285.69</v>
      </c>
      <c r="C261" s="29">
        <v>6717.35</v>
      </c>
      <c r="D261" s="29">
        <v>10283.24</v>
      </c>
      <c r="E261" s="30">
        <v>29286.28</v>
      </c>
      <c r="F261" t="str">
        <f>LEFT(Table2[[#This Row],[Building]],2)</f>
        <v>DC</v>
      </c>
      <c r="G261" t="str">
        <f>LEFT(Table2[[#This Row],[Building]],8)</f>
        <v>DC0004ZZ</v>
      </c>
      <c r="H261" t="str">
        <f>RIGHT(Table2[[#This Row],[Building]],LEN(Table2[[#This Row],[Building]])-9)</f>
        <v>Agri Annex</v>
      </c>
    </row>
    <row r="262" spans="1:8" x14ac:dyDescent="0.25">
      <c r="A262" s="39" t="s">
        <v>364</v>
      </c>
      <c r="B262" s="31">
        <v>1770882.87</v>
      </c>
      <c r="C262" s="31">
        <v>665764.46</v>
      </c>
      <c r="D262" s="31">
        <v>2397486.2000000002</v>
      </c>
      <c r="E262" s="30">
        <v>4834133.53</v>
      </c>
      <c r="F262" t="str">
        <f>LEFT(Table2[[#This Row],[Building]],2)</f>
        <v>DC</v>
      </c>
      <c r="G262" t="str">
        <f>LEFT(Table2[[#This Row],[Building]],8)</f>
        <v>DC0007ZZ</v>
      </c>
      <c r="H262" t="str">
        <f>RIGHT(Table2[[#This Row],[Building]],LEN(Table2[[#This Row],[Building]])-9)</f>
        <v>Veterans Admin</v>
      </c>
    </row>
    <row r="263" spans="1:8" ht="22.5" x14ac:dyDescent="0.25">
      <c r="A263" s="39" t="s">
        <v>365</v>
      </c>
      <c r="B263" s="29">
        <v>1219036.96</v>
      </c>
      <c r="C263" s="29">
        <v>1024109.37</v>
      </c>
      <c r="D263" s="29">
        <v>1681424.87</v>
      </c>
      <c r="E263" s="30">
        <v>3924571.2</v>
      </c>
      <c r="F263" t="str">
        <f>LEFT(Table2[[#This Row],[Building]],2)</f>
        <v>DC</v>
      </c>
      <c r="G263" t="str">
        <f>LEFT(Table2[[#This Row],[Building]],8)</f>
        <v>DC0010ZZ</v>
      </c>
      <c r="H263" t="str">
        <f>RIGHT(Table2[[#This Row],[Building]],LEN(Table2[[#This Row],[Building]])-9)</f>
        <v>Lyndon B. Johnson Fe</v>
      </c>
    </row>
    <row r="264" spans="1:8" x14ac:dyDescent="0.25">
      <c r="A264" s="39" t="s">
        <v>367</v>
      </c>
      <c r="B264" s="31">
        <v>1576743.92</v>
      </c>
      <c r="C264" s="31">
        <v>870270.35</v>
      </c>
      <c r="D264" s="31">
        <v>1187836.53</v>
      </c>
      <c r="E264" s="30">
        <v>3634850.8</v>
      </c>
      <c r="F264" t="str">
        <f>LEFT(Table2[[#This Row],[Building]],2)</f>
        <v>DC</v>
      </c>
      <c r="G264" t="str">
        <f>LEFT(Table2[[#This Row],[Building]],8)</f>
        <v>DC0014PB</v>
      </c>
      <c r="H264" t="str">
        <f>RIGHT(Table2[[#This Row],[Building]],LEN(Table2[[#This Row],[Building]])-9)</f>
        <v>Elijah Barrett Prett</v>
      </c>
    </row>
    <row r="265" spans="1:8" ht="22.5" x14ac:dyDescent="0.25">
      <c r="A265" s="39" t="s">
        <v>369</v>
      </c>
      <c r="B265" s="29">
        <v>1097874.08</v>
      </c>
      <c r="C265" s="29">
        <v>1175205.24</v>
      </c>
      <c r="D265" s="29">
        <v>960651.48</v>
      </c>
      <c r="E265" s="30">
        <v>3233730.8</v>
      </c>
      <c r="F265" t="str">
        <f>LEFT(Table2[[#This Row],[Building]],2)</f>
        <v>DC</v>
      </c>
      <c r="G265" t="str">
        <f>LEFT(Table2[[#This Row],[Building]],8)</f>
        <v>DC0017ZZ</v>
      </c>
      <c r="H265" t="str">
        <f>RIGHT(Table2[[#This Row],[Building]],LEN(Table2[[#This Row],[Building]])-9)</f>
        <v>White House-West Win</v>
      </c>
    </row>
    <row r="266" spans="1:8" x14ac:dyDescent="0.25">
      <c r="A266" s="39" t="s">
        <v>372</v>
      </c>
      <c r="B266" s="31">
        <v>2703651.21</v>
      </c>
      <c r="C266" s="31">
        <v>1698428.32</v>
      </c>
      <c r="D266" s="31">
        <v>2892512.36</v>
      </c>
      <c r="E266" s="30">
        <v>7294591.8899999997</v>
      </c>
      <c r="F266" t="str">
        <f>LEFT(Table2[[#This Row],[Building]],2)</f>
        <v>DC</v>
      </c>
      <c r="G266" t="str">
        <f>LEFT(Table2[[#This Row],[Building]],8)</f>
        <v>DC0021ZZ</v>
      </c>
      <c r="H266" t="str">
        <f>RIGHT(Table2[[#This Row],[Building]],LEN(Table2[[#This Row],[Building]])-9)</f>
        <v>Gsa</v>
      </c>
    </row>
    <row r="267" spans="1:8" x14ac:dyDescent="0.25">
      <c r="A267" s="39" t="s">
        <v>375</v>
      </c>
      <c r="B267" s="29">
        <v>2.65</v>
      </c>
      <c r="C267" s="29">
        <v>13081.94</v>
      </c>
      <c r="D267" s="29">
        <v>5910.94</v>
      </c>
      <c r="E267" s="30">
        <v>18995.53</v>
      </c>
      <c r="F267" t="str">
        <f>LEFT(Table2[[#This Row],[Building]],2)</f>
        <v>DC</v>
      </c>
      <c r="G267" t="str">
        <f>LEFT(Table2[[#This Row],[Building]],8)</f>
        <v>DC0024ZZ</v>
      </c>
      <c r="H267" t="str">
        <f>RIGHT(Table2[[#This Row],[Building]],LEN(Table2[[#This Row],[Building]])-9)</f>
        <v>Liberty Loan</v>
      </c>
    </row>
    <row r="268" spans="1:8" x14ac:dyDescent="0.25">
      <c r="A268" s="39" t="s">
        <v>376</v>
      </c>
      <c r="B268" s="31">
        <v>706458.19</v>
      </c>
      <c r="C268" s="31">
        <v>1089035.8400000001</v>
      </c>
      <c r="D268" s="31">
        <v>1303397.55</v>
      </c>
      <c r="E268" s="30">
        <v>3098891.58</v>
      </c>
      <c r="F268" t="str">
        <f>LEFT(Table2[[#This Row],[Building]],2)</f>
        <v>DC</v>
      </c>
      <c r="G268" t="str">
        <f>LEFT(Table2[[#This Row],[Building]],8)</f>
        <v>DC0026ZZ</v>
      </c>
      <c r="H268" t="str">
        <f>RIGHT(Table2[[#This Row],[Building]],LEN(Table2[[#This Row],[Building]])-9)</f>
        <v>Lafayette</v>
      </c>
    </row>
    <row r="269" spans="1:8" x14ac:dyDescent="0.25">
      <c r="A269" s="39" t="s">
        <v>377</v>
      </c>
      <c r="B269" s="29">
        <v>81198.929999999993</v>
      </c>
      <c r="C269" s="29">
        <v>200792.31</v>
      </c>
      <c r="D269" s="29">
        <v>505928.06</v>
      </c>
      <c r="E269" s="30">
        <v>787919.3</v>
      </c>
      <c r="F269" t="str">
        <f>LEFT(Table2[[#This Row],[Building]],2)</f>
        <v>DC</v>
      </c>
      <c r="G269" t="str">
        <f>LEFT(Table2[[#This Row],[Building]],8)</f>
        <v>DC0027ZZ</v>
      </c>
      <c r="H269" t="str">
        <f>RIGHT(Table2[[#This Row],[Building]],LEN(Table2[[#This Row],[Building]])-9)</f>
        <v>Mail Facility</v>
      </c>
    </row>
    <row r="270" spans="1:8" ht="22.5" x14ac:dyDescent="0.25">
      <c r="A270" s="39" t="s">
        <v>378</v>
      </c>
      <c r="B270" s="31">
        <v>2395031.4</v>
      </c>
      <c r="C270" s="31">
        <v>2538974.2999999998</v>
      </c>
      <c r="D270" s="31">
        <v>2395162.4300000002</v>
      </c>
      <c r="E270" s="30">
        <v>7329168.1299999999</v>
      </c>
      <c r="F270" t="str">
        <f>LEFT(Table2[[#This Row],[Building]],2)</f>
        <v>DC</v>
      </c>
      <c r="G270" t="str">
        <f>LEFT(Table2[[#This Row],[Building]],8)</f>
        <v>DC0028ZZ</v>
      </c>
      <c r="H270" t="str">
        <f>RIGHT(Table2[[#This Row],[Building]],LEN(Table2[[#This Row],[Building]])-9)</f>
        <v>William Jefferson Cl</v>
      </c>
    </row>
    <row r="271" spans="1:8" x14ac:dyDescent="0.25">
      <c r="A271" s="39" t="s">
        <v>379</v>
      </c>
      <c r="B271" s="29">
        <v>145676.22</v>
      </c>
      <c r="C271" s="29">
        <v>749863.97</v>
      </c>
      <c r="D271" s="29">
        <v>224322.03</v>
      </c>
      <c r="E271" s="30">
        <v>1119862.22</v>
      </c>
      <c r="F271" t="str">
        <f>LEFT(Table2[[#This Row],[Building]],2)</f>
        <v>DC</v>
      </c>
      <c r="G271" t="str">
        <f>LEFT(Table2[[#This Row],[Building]],8)</f>
        <v>DC0029ZZ</v>
      </c>
      <c r="H271" t="str">
        <f>RIGHT(Table2[[#This Row],[Building]],LEN(Table2[[#This Row],[Building]])-9)</f>
        <v>Post Office Old</v>
      </c>
    </row>
    <row r="272" spans="1:8" ht="22.5" x14ac:dyDescent="0.25">
      <c r="A272" s="39" t="s">
        <v>380</v>
      </c>
      <c r="B272" s="31">
        <v>620643.97</v>
      </c>
      <c r="C272" s="31">
        <v>945144.89</v>
      </c>
      <c r="D272" s="31">
        <v>1102681.8</v>
      </c>
      <c r="E272" s="30">
        <v>2668470.66</v>
      </c>
      <c r="F272" t="str">
        <f>LEFT(Table2[[#This Row],[Building]],2)</f>
        <v>DC</v>
      </c>
      <c r="G272" t="str">
        <f>LEFT(Table2[[#This Row],[Building]],8)</f>
        <v>DC0030ZZ</v>
      </c>
      <c r="H272" t="str">
        <f>RIGHT(Table2[[#This Row],[Building]],LEN(Table2[[#This Row],[Building]])-9)</f>
        <v>National Building Mu</v>
      </c>
    </row>
    <row r="273" spans="1:8" x14ac:dyDescent="0.25">
      <c r="A273" s="39" t="s">
        <v>381</v>
      </c>
      <c r="B273" s="29">
        <v>1873759.24</v>
      </c>
      <c r="C273" s="29">
        <v>1939913.63</v>
      </c>
      <c r="D273" s="29">
        <v>2008234.28</v>
      </c>
      <c r="E273" s="30">
        <v>5821907.1500000004</v>
      </c>
      <c r="F273" t="str">
        <f>LEFT(Table2[[#This Row],[Building]],2)</f>
        <v>DC</v>
      </c>
      <c r="G273" t="str">
        <f>LEFT(Table2[[#This Row],[Building]],8)</f>
        <v>DC0031ZZ</v>
      </c>
      <c r="H273" t="str">
        <f>RIGHT(Table2[[#This Row],[Building]],LEN(Table2[[#This Row],[Building]])-9)</f>
        <v>Gsa-Rob</v>
      </c>
    </row>
    <row r="274" spans="1:8" x14ac:dyDescent="0.25">
      <c r="A274" s="39" t="s">
        <v>383</v>
      </c>
      <c r="B274" s="29">
        <v>676875.62</v>
      </c>
      <c r="C274" s="29">
        <v>858250.44</v>
      </c>
      <c r="D274" s="29">
        <v>710326.94</v>
      </c>
      <c r="E274" s="30">
        <v>2245453</v>
      </c>
      <c r="F274" t="str">
        <f>LEFT(Table2[[#This Row],[Building]],2)</f>
        <v>DC</v>
      </c>
      <c r="G274" t="str">
        <f>LEFT(Table2[[#This Row],[Building]],8)</f>
        <v>DC0033ZZ</v>
      </c>
      <c r="H274" t="str">
        <f>RIGHT(Table2[[#This Row],[Building]],LEN(Table2[[#This Row],[Building]])-9)</f>
        <v>Mary E. Switzer Buil</v>
      </c>
    </row>
    <row r="275" spans="1:8" ht="22.5" x14ac:dyDescent="0.25">
      <c r="A275" s="39" t="s">
        <v>384</v>
      </c>
      <c r="B275" s="31">
        <v>2090665.38</v>
      </c>
      <c r="C275" s="31">
        <v>1355751.1</v>
      </c>
      <c r="D275" s="31">
        <v>2331169.42</v>
      </c>
      <c r="E275" s="30">
        <v>5777585.9000000004</v>
      </c>
      <c r="F275" t="str">
        <f>LEFT(Table2[[#This Row],[Building]],2)</f>
        <v>DC</v>
      </c>
      <c r="G275" t="str">
        <f>LEFT(Table2[[#This Row],[Building]],8)</f>
        <v>DC0034ZZ</v>
      </c>
      <c r="H275" t="str">
        <f>RIGHT(Table2[[#This Row],[Building]],LEN(Table2[[#This Row],[Building]])-9)</f>
        <v>Wilbur J Cohen Bldg</v>
      </c>
    </row>
    <row r="276" spans="1:8" ht="22.5" x14ac:dyDescent="0.25">
      <c r="A276" s="39" t="s">
        <v>385</v>
      </c>
      <c r="B276" s="29">
        <v>5048002.34</v>
      </c>
      <c r="C276" s="29">
        <v>2302708.04</v>
      </c>
      <c r="D276" s="29">
        <v>4121234.61</v>
      </c>
      <c r="E276" s="30">
        <v>11471944.99</v>
      </c>
      <c r="F276" t="str">
        <f>LEFT(Table2[[#This Row],[Building]],2)</f>
        <v>DC</v>
      </c>
      <c r="G276" t="str">
        <f>LEFT(Table2[[#This Row],[Building]],8)</f>
        <v>DC0035ZZ</v>
      </c>
      <c r="H276" t="str">
        <f>RIGHT(Table2[[#This Row],[Building]],LEN(Table2[[#This Row],[Building]])-9)</f>
        <v>Dwight D. Eisenhower</v>
      </c>
    </row>
    <row r="277" spans="1:8" ht="22.5" x14ac:dyDescent="0.25">
      <c r="A277" s="39" t="s">
        <v>387</v>
      </c>
      <c r="B277" s="31">
        <v>172228.62</v>
      </c>
      <c r="C277" s="34" t="s">
        <v>388</v>
      </c>
      <c r="D277" s="31">
        <v>42704.86</v>
      </c>
      <c r="E277" s="30">
        <v>198674.17</v>
      </c>
      <c r="F277" t="str">
        <f>LEFT(Table2[[#This Row],[Building]],2)</f>
        <v>DC</v>
      </c>
      <c r="G277" t="str">
        <f>LEFT(Table2[[#This Row],[Building]],8)</f>
        <v>DC0037ZZ</v>
      </c>
      <c r="H277" t="str">
        <f>RIGHT(Table2[[#This Row],[Building]],LEN(Table2[[#This Row],[Building]])-9)</f>
        <v>White House - East W</v>
      </c>
    </row>
    <row r="278" spans="1:8" x14ac:dyDescent="0.25">
      <c r="A278" s="39" t="s">
        <v>391</v>
      </c>
      <c r="B278" s="31">
        <v>108459.44</v>
      </c>
      <c r="C278" s="31">
        <v>161486.84</v>
      </c>
      <c r="D278" s="31">
        <v>358616.01</v>
      </c>
      <c r="E278" s="30">
        <v>628562.29</v>
      </c>
      <c r="F278" t="str">
        <f>LEFT(Table2[[#This Row],[Building]],2)</f>
        <v>DC</v>
      </c>
      <c r="G278" t="str">
        <f>LEFT(Table2[[#This Row],[Building]],8)</f>
        <v>DC0048ZZ</v>
      </c>
      <c r="H278" t="str">
        <f>RIGHT(Table2[[#This Row],[Building]],LEN(Table2[[#This Row],[Building]])-9)</f>
        <v>Winder</v>
      </c>
    </row>
    <row r="279" spans="1:8" x14ac:dyDescent="0.25">
      <c r="A279" s="39" t="s">
        <v>392</v>
      </c>
      <c r="B279" s="29">
        <v>11423.36</v>
      </c>
      <c r="C279" s="29">
        <v>37326.68</v>
      </c>
      <c r="D279" s="29">
        <v>3696.5</v>
      </c>
      <c r="E279" s="30">
        <v>52446.54</v>
      </c>
      <c r="F279" t="str">
        <f>LEFT(Table2[[#This Row],[Building]],2)</f>
        <v>DC</v>
      </c>
      <c r="G279" t="str">
        <f>LEFT(Table2[[#This Row],[Building]],8)</f>
        <v>DC0053ZZ</v>
      </c>
      <c r="H279" t="str">
        <f>RIGHT(Table2[[#This Row],[Building]],LEN(Table2[[#This Row],[Building]])-9)</f>
        <v>49 L Street Se</v>
      </c>
    </row>
    <row r="280" spans="1:8" x14ac:dyDescent="0.25">
      <c r="A280" s="39" t="s">
        <v>395</v>
      </c>
      <c r="B280" s="29">
        <v>110838.66</v>
      </c>
      <c r="C280" s="29">
        <v>188098.42</v>
      </c>
      <c r="D280" s="29">
        <v>345142</v>
      </c>
      <c r="E280" s="30">
        <v>644079.07999999996</v>
      </c>
      <c r="F280" t="str">
        <f>LEFT(Table2[[#This Row],[Building]],2)</f>
        <v>DC</v>
      </c>
      <c r="G280" t="str">
        <f>LEFT(Table2[[#This Row],[Building]],8)</f>
        <v>DC0078ZZ</v>
      </c>
      <c r="H280" t="str">
        <f>RIGHT(Table2[[#This Row],[Building]],LEN(Table2[[#This Row],[Building]])-9)</f>
        <v>1724 F Street Nw</v>
      </c>
    </row>
    <row r="281" spans="1:8" x14ac:dyDescent="0.25">
      <c r="A281" s="39" t="s">
        <v>398</v>
      </c>
      <c r="B281" s="29">
        <v>2496991.29</v>
      </c>
      <c r="C281" s="29">
        <v>1457167.55</v>
      </c>
      <c r="D281" s="29">
        <v>1959197.88</v>
      </c>
      <c r="E281" s="30">
        <v>5913356.7199999997</v>
      </c>
      <c r="F281" t="str">
        <f>LEFT(Table2[[#This Row],[Building]],2)</f>
        <v>DC</v>
      </c>
      <c r="G281" t="str">
        <f>LEFT(Table2[[#This Row],[Building]],8)</f>
        <v>DC0083ZZ</v>
      </c>
      <c r="H281" t="str">
        <f>RIGHT(Table2[[#This Row],[Building]],LEN(Table2[[#This Row],[Building]])-9)</f>
        <v>Orville Wright</v>
      </c>
    </row>
    <row r="282" spans="1:8" x14ac:dyDescent="0.25">
      <c r="A282" s="39" t="s">
        <v>399</v>
      </c>
      <c r="B282" s="31">
        <v>1043738.74</v>
      </c>
      <c r="C282" s="31">
        <v>1861401.54</v>
      </c>
      <c r="D282" s="31">
        <v>1015184.12</v>
      </c>
      <c r="E282" s="30">
        <v>3920324.4</v>
      </c>
      <c r="F282" t="str">
        <f>LEFT(Table2[[#This Row],[Building]],2)</f>
        <v>DC</v>
      </c>
      <c r="G282" t="str">
        <f>LEFT(Table2[[#This Row],[Building]],8)</f>
        <v>DC0084ZZ</v>
      </c>
      <c r="H282" t="str">
        <f>RIGHT(Table2[[#This Row],[Building]],LEN(Table2[[#This Row],[Building]])-9)</f>
        <v>Wilbur Wright</v>
      </c>
    </row>
    <row r="283" spans="1:8" x14ac:dyDescent="0.25">
      <c r="A283" s="39" t="s">
        <v>401</v>
      </c>
      <c r="B283" s="29">
        <v>855855.2</v>
      </c>
      <c r="C283" s="29">
        <v>687406.01</v>
      </c>
      <c r="D283" s="29">
        <v>1079960.1200000001</v>
      </c>
      <c r="E283" s="30">
        <v>2623221.33</v>
      </c>
      <c r="F283" t="str">
        <f>LEFT(Table2[[#This Row],[Building]],2)</f>
        <v>DC</v>
      </c>
      <c r="G283" t="str">
        <f>LEFT(Table2[[#This Row],[Building]],8)</f>
        <v>DC0086ZZ</v>
      </c>
      <c r="H283" t="str">
        <f>RIGHT(Table2[[#This Row],[Building]],LEN(Table2[[#This Row],[Building]])-9)</f>
        <v>Thomas P. Oneill Jr.</v>
      </c>
    </row>
    <row r="284" spans="1:8" ht="22.5" x14ac:dyDescent="0.25">
      <c r="A284" s="39" t="s">
        <v>405</v>
      </c>
      <c r="B284" s="31">
        <v>571608.37</v>
      </c>
      <c r="C284" s="31">
        <v>823316.69</v>
      </c>
      <c r="D284" s="31">
        <v>1015632.88</v>
      </c>
      <c r="E284" s="30">
        <v>2410557.94</v>
      </c>
      <c r="F284" t="str">
        <f>LEFT(Table2[[#This Row],[Building]],2)</f>
        <v>DC</v>
      </c>
      <c r="G284" t="str">
        <f>LEFT(Table2[[#This Row],[Building]],8)</f>
        <v>DC0094ZZ</v>
      </c>
      <c r="H284" t="str">
        <f>RIGHT(Table2[[#This Row],[Building]],LEN(Table2[[#This Row],[Building]])-9)</f>
        <v>Howard T. Markey Nat</v>
      </c>
    </row>
    <row r="285" spans="1:8" ht="22.5" x14ac:dyDescent="0.25">
      <c r="A285" s="39" t="s">
        <v>407</v>
      </c>
      <c r="B285" s="29">
        <v>1911076.44</v>
      </c>
      <c r="C285" s="29">
        <v>2800399.79</v>
      </c>
      <c r="D285" s="29">
        <v>4018283.8</v>
      </c>
      <c r="E285" s="30">
        <v>8729760.0299999993</v>
      </c>
      <c r="F285" t="str">
        <f>LEFT(Table2[[#This Row],[Building]],2)</f>
        <v>DC</v>
      </c>
      <c r="G285" t="str">
        <f>LEFT(Table2[[#This Row],[Building]],8)</f>
        <v>DC0105ZZ</v>
      </c>
      <c r="H285" t="str">
        <f>RIGHT(Table2[[#This Row],[Building]],LEN(Table2[[#This Row],[Building]])-9)</f>
        <v>New Executive Office</v>
      </c>
    </row>
    <row r="286" spans="1:8" x14ac:dyDescent="0.25">
      <c r="A286" s="39" t="s">
        <v>408</v>
      </c>
      <c r="B286" s="31">
        <v>6015.07</v>
      </c>
      <c r="C286" s="31">
        <v>13506.01</v>
      </c>
      <c r="D286" s="31">
        <v>13694.1</v>
      </c>
      <c r="E286" s="30">
        <v>33215.18</v>
      </c>
      <c r="F286" t="str">
        <f>LEFT(Table2[[#This Row],[Building]],2)</f>
        <v>DC</v>
      </c>
      <c r="G286" t="str">
        <f>LEFT(Table2[[#This Row],[Building]],8)</f>
        <v>DC0111ZZ</v>
      </c>
      <c r="H286" t="str">
        <f>RIGHT(Table2[[#This Row],[Building]],LEN(Table2[[#This Row],[Building]])-9)</f>
        <v>Dolley Madison</v>
      </c>
    </row>
    <row r="287" spans="1:8" x14ac:dyDescent="0.25">
      <c r="A287" s="39" t="s">
        <v>409</v>
      </c>
      <c r="B287" s="29">
        <v>6821.31</v>
      </c>
      <c r="C287" s="29">
        <v>17063.25</v>
      </c>
      <c r="D287" s="29">
        <v>17372.5</v>
      </c>
      <c r="E287" s="30">
        <v>41257.06</v>
      </c>
      <c r="F287" t="str">
        <f>LEFT(Table2[[#This Row],[Building]],2)</f>
        <v>DC</v>
      </c>
      <c r="G287" t="str">
        <f>LEFT(Table2[[#This Row],[Building]],8)</f>
        <v>DC0112ZZ</v>
      </c>
      <c r="H287" t="str">
        <f>RIGHT(Table2[[#This Row],[Building]],LEN(Table2[[#This Row],[Building]])-9)</f>
        <v>Tayloe House</v>
      </c>
    </row>
    <row r="288" spans="1:8" x14ac:dyDescent="0.25">
      <c r="A288" s="39" t="s">
        <v>410</v>
      </c>
      <c r="B288" s="31">
        <v>13771.31</v>
      </c>
      <c r="C288" s="31">
        <v>20264.05</v>
      </c>
      <c r="D288" s="31">
        <v>19042.39</v>
      </c>
      <c r="E288" s="30">
        <v>53077.75</v>
      </c>
      <c r="F288" t="str">
        <f>LEFT(Table2[[#This Row],[Building]],2)</f>
        <v>DC</v>
      </c>
      <c r="G288" t="str">
        <f>LEFT(Table2[[#This Row],[Building]],8)</f>
        <v>DC0113ZZ</v>
      </c>
      <c r="H288" t="str">
        <f>RIGHT(Table2[[#This Row],[Building]],LEN(Table2[[#This Row],[Building]])-9)</f>
        <v>Cosmos Club</v>
      </c>
    </row>
    <row r="289" spans="1:8" x14ac:dyDescent="0.25">
      <c r="A289" s="39" t="s">
        <v>411</v>
      </c>
      <c r="B289" s="29">
        <v>703424.36</v>
      </c>
      <c r="C289" s="29">
        <v>513604.25</v>
      </c>
      <c r="D289" s="29">
        <v>945534.32</v>
      </c>
      <c r="E289" s="30">
        <v>2162562.9300000002</v>
      </c>
      <c r="F289" t="str">
        <f>LEFT(Table2[[#This Row],[Building]],2)</f>
        <v>DC</v>
      </c>
      <c r="G289" t="str">
        <f>LEFT(Table2[[#This Row],[Building]],8)</f>
        <v>DC0114ZZ</v>
      </c>
      <c r="H289" t="str">
        <f>RIGHT(Table2[[#This Row],[Building]],LEN(Table2[[#This Row],[Building]])-9)</f>
        <v>Tax Court</v>
      </c>
    </row>
    <row r="290" spans="1:8" ht="22.5" x14ac:dyDescent="0.25">
      <c r="A290" s="39" t="s">
        <v>417</v>
      </c>
      <c r="B290" s="29">
        <v>22857.54</v>
      </c>
      <c r="C290" s="29">
        <v>4034.42</v>
      </c>
      <c r="D290" s="29">
        <v>22133.14</v>
      </c>
      <c r="E290" s="30">
        <v>49025.1</v>
      </c>
      <c r="F290" t="str">
        <f>LEFT(Table2[[#This Row],[Building]],2)</f>
        <v>DC</v>
      </c>
      <c r="G290" t="str">
        <f>LEFT(Table2[[#This Row],[Building]],8)</f>
        <v>DC0120AA</v>
      </c>
      <c r="H290" t="str">
        <f>RIGHT(Table2[[#This Row],[Building]],LEN(Table2[[#This Row],[Building]])-9)</f>
        <v>Jackson Pl Complex</v>
      </c>
    </row>
    <row r="291" spans="1:8" ht="22.5" x14ac:dyDescent="0.25">
      <c r="A291" s="39" t="s">
        <v>419</v>
      </c>
      <c r="B291" s="29">
        <v>25962.51</v>
      </c>
      <c r="C291" s="29">
        <v>126985.19</v>
      </c>
      <c r="D291" s="29">
        <v>38873.35</v>
      </c>
      <c r="E291" s="30">
        <v>191821.05</v>
      </c>
      <c r="F291" t="str">
        <f>LEFT(Table2[[#This Row],[Building]],2)</f>
        <v>DC</v>
      </c>
      <c r="G291" t="str">
        <f>LEFT(Table2[[#This Row],[Building]],8)</f>
        <v>DC0122AA</v>
      </c>
      <c r="H291" t="str">
        <f>RIGHT(Table2[[#This Row],[Building]],LEN(Table2[[#This Row],[Building]])-9)</f>
        <v>Jackson Pl Complex</v>
      </c>
    </row>
    <row r="292" spans="1:8" ht="22.5" x14ac:dyDescent="0.25">
      <c r="A292" s="39" t="s">
        <v>423</v>
      </c>
      <c r="B292" s="29">
        <v>12947.4</v>
      </c>
      <c r="C292" s="29">
        <v>1106.8</v>
      </c>
      <c r="D292" s="29">
        <v>11438.72</v>
      </c>
      <c r="E292" s="30">
        <v>25492.92</v>
      </c>
      <c r="F292" t="str">
        <f>LEFT(Table2[[#This Row],[Building]],2)</f>
        <v>DC</v>
      </c>
      <c r="G292" t="str">
        <f>LEFT(Table2[[#This Row],[Building]],8)</f>
        <v>DC0126AA</v>
      </c>
      <c r="H292" t="str">
        <f>RIGHT(Table2[[#This Row],[Building]],LEN(Table2[[#This Row],[Building]])-9)</f>
        <v>Jackson Pl Complex</v>
      </c>
    </row>
    <row r="293" spans="1:8" x14ac:dyDescent="0.25">
      <c r="A293" s="39" t="s">
        <v>446</v>
      </c>
      <c r="B293" s="29">
        <v>316776.46999999997</v>
      </c>
      <c r="C293" s="29">
        <v>197389.94</v>
      </c>
      <c r="D293" s="29">
        <v>633053.18000000005</v>
      </c>
      <c r="E293" s="30">
        <v>1147219.5900000001</v>
      </c>
      <c r="F293" t="str">
        <f>LEFT(Table2[[#This Row],[Building]],2)</f>
        <v>DC</v>
      </c>
      <c r="G293" t="str">
        <f>LEFT(Table2[[#This Row],[Building]],8)</f>
        <v>DC0313ZZ</v>
      </c>
      <c r="H293" t="str">
        <f>RIGHT(Table2[[#This Row],[Building]],LEN(Table2[[#This Row],[Building]])-9)</f>
        <v>Judiciary Square</v>
      </c>
    </row>
    <row r="294" spans="1:8" x14ac:dyDescent="0.25">
      <c r="A294" s="39" t="s">
        <v>450</v>
      </c>
      <c r="B294" s="29">
        <v>3784131.18</v>
      </c>
      <c r="C294" s="29">
        <v>5963968.0700000003</v>
      </c>
      <c r="D294" s="29">
        <v>5445657.5599999996</v>
      </c>
      <c r="E294" s="30">
        <v>15193756.810000001</v>
      </c>
      <c r="F294" t="str">
        <f>LEFT(Table2[[#This Row],[Building]],2)</f>
        <v>DC</v>
      </c>
      <c r="G294" t="str">
        <f>LEFT(Table2[[#This Row],[Building]],8)</f>
        <v>DC0459AF</v>
      </c>
      <c r="H294" t="str">
        <f>RIGHT(Table2[[#This Row],[Building]],LEN(Table2[[#This Row],[Building]])-9)</f>
        <v>Reagan Bldg Fob</v>
      </c>
    </row>
    <row r="295" spans="1:8" x14ac:dyDescent="0.25">
      <c r="A295" s="39" t="s">
        <v>451</v>
      </c>
      <c r="B295" s="31">
        <v>1204317.3999999999</v>
      </c>
      <c r="C295" s="31">
        <v>530907.09</v>
      </c>
      <c r="D295" s="31">
        <v>1282630.8400000001</v>
      </c>
      <c r="E295" s="30">
        <v>3017855.33</v>
      </c>
      <c r="F295" t="str">
        <f>LEFT(Table2[[#This Row],[Building]],2)</f>
        <v>DC</v>
      </c>
      <c r="G295" t="str">
        <f>LEFT(Table2[[#This Row],[Building]],8)</f>
        <v>DC0463ZZ</v>
      </c>
      <c r="H295" t="str">
        <f>RIGHT(Table2[[#This Row],[Building]],LEN(Table2[[#This Row],[Building]])-9)</f>
        <v>601 - 4th St, Nw</v>
      </c>
    </row>
    <row r="296" spans="1:8" ht="22.5" x14ac:dyDescent="0.25">
      <c r="A296" s="39" t="s">
        <v>453</v>
      </c>
      <c r="B296" s="31">
        <v>642100.81999999995</v>
      </c>
      <c r="C296" s="31">
        <v>458712.49</v>
      </c>
      <c r="D296" s="31">
        <v>654800.81999999995</v>
      </c>
      <c r="E296" s="30">
        <v>1755614.13</v>
      </c>
      <c r="F296" t="str">
        <f>LEFT(Table2[[#This Row],[Building]],2)</f>
        <v>DC</v>
      </c>
      <c r="G296" t="str">
        <f>LEFT(Table2[[#This Row],[Building]],8)</f>
        <v>DC0501BC</v>
      </c>
      <c r="H296" t="str">
        <f>RIGHT(Table2[[#This Row],[Building]],LEN(Table2[[#This Row],[Building]])-9)</f>
        <v>Sidney Yates (Audito</v>
      </c>
    </row>
    <row r="297" spans="1:8" ht="22.5" x14ac:dyDescent="0.25">
      <c r="A297" s="39" t="s">
        <v>454</v>
      </c>
      <c r="B297" s="29">
        <v>1788470.59</v>
      </c>
      <c r="C297" s="29">
        <v>408857.2</v>
      </c>
      <c r="D297" s="29">
        <v>1902659.28</v>
      </c>
      <c r="E297" s="30">
        <v>4099987.07</v>
      </c>
      <c r="F297" t="str">
        <f>LEFT(Table2[[#This Row],[Building]],2)</f>
        <v>DC</v>
      </c>
      <c r="G297" t="str">
        <f>LEFT(Table2[[#This Row],[Building]],8)</f>
        <v>DC0505ZZ</v>
      </c>
      <c r="H297" t="str">
        <f>RIGHT(Table2[[#This Row],[Building]],LEN(Table2[[#This Row],[Building]])-9)</f>
        <v>Us Secret Serv Hdqtr</v>
      </c>
    </row>
    <row r="298" spans="1:8" ht="22.5" x14ac:dyDescent="0.25">
      <c r="A298" s="39" t="s">
        <v>455</v>
      </c>
      <c r="B298" s="31">
        <v>5866791.4400000004</v>
      </c>
      <c r="C298" s="31">
        <v>2889464.06</v>
      </c>
      <c r="D298" s="31">
        <v>1626464.97</v>
      </c>
      <c r="E298" s="30">
        <v>10382720.470000001</v>
      </c>
      <c r="F298" t="str">
        <f>LEFT(Table2[[#This Row],[Building]],2)</f>
        <v>DC</v>
      </c>
      <c r="G298" t="str">
        <f>LEFT(Table2[[#This Row],[Building]],8)</f>
        <v>DC0515AF</v>
      </c>
      <c r="H298" t="str">
        <f>RIGHT(Table2[[#This Row],[Building]],LEN(Table2[[#This Row],[Building]])-9)</f>
        <v>Reagan Bldg Trade Ct</v>
      </c>
    </row>
    <row r="299" spans="1:8" x14ac:dyDescent="0.25">
      <c r="A299" s="39" t="s">
        <v>457</v>
      </c>
      <c r="B299" s="29">
        <v>840184.45</v>
      </c>
      <c r="C299" s="29">
        <v>1897570.53</v>
      </c>
      <c r="D299" s="29">
        <v>802623.56</v>
      </c>
      <c r="E299" s="30">
        <v>3540378.54</v>
      </c>
      <c r="F299" t="str">
        <f>LEFT(Table2[[#This Row],[Building]],2)</f>
        <v>DC</v>
      </c>
      <c r="G299" t="str">
        <f>LEFT(Table2[[#This Row],[Building]],8)</f>
        <v>DC0521AB</v>
      </c>
      <c r="H299" t="str">
        <f>RIGHT(Table2[[#This Row],[Building]],LEN(Table2[[#This Row],[Building]])-9)</f>
        <v>Epa East</v>
      </c>
    </row>
    <row r="300" spans="1:8" x14ac:dyDescent="0.25">
      <c r="A300" s="39" t="s">
        <v>458</v>
      </c>
      <c r="B300" s="31">
        <v>802338.11</v>
      </c>
      <c r="C300" s="31">
        <v>1688809.89</v>
      </c>
      <c r="D300" s="31">
        <v>737676.64</v>
      </c>
      <c r="E300" s="30">
        <v>3228824.64</v>
      </c>
      <c r="F300" t="str">
        <f>LEFT(Table2[[#This Row],[Building]],2)</f>
        <v>DC</v>
      </c>
      <c r="G300" t="str">
        <f>LEFT(Table2[[#This Row],[Building]],8)</f>
        <v>DC0522AB</v>
      </c>
      <c r="H300" t="str">
        <f>RIGHT(Table2[[#This Row],[Building]],LEN(Table2[[#This Row],[Building]])-9)</f>
        <v>Epa West</v>
      </c>
    </row>
    <row r="301" spans="1:8" ht="22.5" x14ac:dyDescent="0.25">
      <c r="A301" s="39" t="s">
        <v>460</v>
      </c>
      <c r="B301" s="31">
        <v>152285.74</v>
      </c>
      <c r="C301" s="31">
        <v>145324.72</v>
      </c>
      <c r="D301" s="31">
        <v>119399.94</v>
      </c>
      <c r="E301" s="30">
        <v>417010.4</v>
      </c>
      <c r="F301" t="str">
        <f>LEFT(Table2[[#This Row],[Building]],2)</f>
        <v>DC</v>
      </c>
      <c r="G301" t="str">
        <f>LEFT(Table2[[#This Row],[Building]],8)</f>
        <v>DC0531AC</v>
      </c>
      <c r="H301" t="str">
        <f>RIGHT(Table2[[#This Row],[Building]],LEN(Table2[[#This Row],[Building]])-9)</f>
        <v>2430 E St Nw Central</v>
      </c>
    </row>
    <row r="302" spans="1:8" x14ac:dyDescent="0.25">
      <c r="A302" s="39" t="s">
        <v>462</v>
      </c>
      <c r="B302" s="31">
        <v>233678.63</v>
      </c>
      <c r="C302" s="31">
        <v>45072.29</v>
      </c>
      <c r="D302" s="31">
        <v>140051.23000000001</v>
      </c>
      <c r="E302" s="30">
        <v>418802.15</v>
      </c>
      <c r="F302" t="str">
        <f>LEFT(Table2[[#This Row],[Building]],2)</f>
        <v>DC</v>
      </c>
      <c r="G302" t="str">
        <f>LEFT(Table2[[#This Row],[Building]],8)</f>
        <v>DC0533AC</v>
      </c>
      <c r="H302" t="str">
        <f>RIGHT(Table2[[#This Row],[Building]],LEN(Table2[[#This Row],[Building]])-9)</f>
        <v>2430 E St Nw South</v>
      </c>
    </row>
    <row r="303" spans="1:8" ht="22.5" x14ac:dyDescent="0.25">
      <c r="A303" s="39" t="s">
        <v>465</v>
      </c>
      <c r="B303" s="29">
        <v>903851.52000000002</v>
      </c>
      <c r="C303" s="29">
        <v>1227953.76</v>
      </c>
      <c r="D303" s="29">
        <v>1847699.39</v>
      </c>
      <c r="E303" s="30">
        <v>3979504.67</v>
      </c>
      <c r="F303" t="str">
        <f>LEFT(Table2[[#This Row],[Building]],2)</f>
        <v>DC</v>
      </c>
      <c r="G303" t="str">
        <f>LEFT(Table2[[#This Row],[Building]],8)</f>
        <v>DC0566ZZ</v>
      </c>
      <c r="H303" t="str">
        <f>RIGHT(Table2[[#This Row],[Building]],LEN(Table2[[#This Row],[Building]])-9)</f>
        <v>Atf National Headqua</v>
      </c>
    </row>
    <row r="304" spans="1:8" ht="22.5" x14ac:dyDescent="0.25">
      <c r="A304" s="39" t="s">
        <v>466</v>
      </c>
      <c r="B304" s="31">
        <v>865700.66</v>
      </c>
      <c r="C304" s="31">
        <v>795894.87</v>
      </c>
      <c r="D304" s="31">
        <v>718055.13</v>
      </c>
      <c r="E304" s="30">
        <v>2379650.66</v>
      </c>
      <c r="F304" t="str">
        <f>LEFT(Table2[[#This Row],[Building]],2)</f>
        <v>DC</v>
      </c>
      <c r="G304" t="str">
        <f>LEFT(Table2[[#This Row],[Building]],8)</f>
        <v>DC0573PB</v>
      </c>
      <c r="H304" t="str">
        <f>RIGHT(Table2[[#This Row],[Building]],LEN(Table2[[#This Row],[Building]])-9)</f>
        <v>William B. Bryant An</v>
      </c>
    </row>
    <row r="305" spans="1:8" x14ac:dyDescent="0.25">
      <c r="A305" s="39" t="s">
        <v>467</v>
      </c>
      <c r="B305" s="29">
        <v>6023.58</v>
      </c>
      <c r="C305" s="32" t="s">
        <v>468</v>
      </c>
      <c r="D305" s="29">
        <v>154.38999999999999</v>
      </c>
      <c r="E305" s="33" t="s">
        <v>469</v>
      </c>
      <c r="F305" t="str">
        <f>LEFT(Table2[[#This Row],[Building]],2)</f>
        <v>DC</v>
      </c>
      <c r="G305" t="str">
        <f>LEFT(Table2[[#This Row],[Building]],8)</f>
        <v>DC0591BE</v>
      </c>
      <c r="H305" t="str">
        <f>RIGHT(Table2[[#This Row],[Building]],LEN(Table2[[#This Row],[Building]])-9)</f>
        <v>Pot Anx 1</v>
      </c>
    </row>
    <row r="306" spans="1:8" x14ac:dyDescent="0.25">
      <c r="A306" s="39" t="s">
        <v>498</v>
      </c>
      <c r="B306" s="31">
        <v>9665.57</v>
      </c>
      <c r="C306" s="31">
        <v>177898.96</v>
      </c>
      <c r="D306" s="31">
        <v>35139.21</v>
      </c>
      <c r="E306" s="30">
        <v>222703.74</v>
      </c>
      <c r="F306" t="str">
        <f>LEFT(Table2[[#This Row],[Building]],2)</f>
        <v>DC</v>
      </c>
      <c r="G306" t="str">
        <f>LEFT(Table2[[#This Row],[Building]],8)</f>
        <v>DC1415NA</v>
      </c>
      <c r="H306" t="str">
        <f>RIGHT(Table2[[#This Row],[Building]],LEN(Table2[[#This Row],[Building]])-9)</f>
        <v>Office Building</v>
      </c>
    </row>
    <row r="307" spans="1:8" ht="22.5" x14ac:dyDescent="0.25">
      <c r="A307" s="39" t="s">
        <v>510</v>
      </c>
      <c r="B307" s="29">
        <v>1694730.53</v>
      </c>
      <c r="C307" s="32" t="s">
        <v>511</v>
      </c>
      <c r="D307" s="29">
        <v>2670997.94</v>
      </c>
      <c r="E307" s="30">
        <v>4171500.8</v>
      </c>
      <c r="F307" t="str">
        <f>LEFT(Table2[[#This Row],[Building]],2)</f>
        <v>DC</v>
      </c>
      <c r="G307" t="str">
        <f>LEFT(Table2[[#This Row],[Building]],8)</f>
        <v>DC1432NA</v>
      </c>
      <c r="H307" t="str">
        <f>RIGHT(Table2[[#This Row],[Building]],LEN(Table2[[#This Row],[Building]])-9)</f>
        <v>Nebraska Avenue Comp</v>
      </c>
    </row>
    <row r="308" spans="1:8" ht="22.5" x14ac:dyDescent="0.25">
      <c r="A308" s="39" t="s">
        <v>513</v>
      </c>
      <c r="B308" s="31">
        <v>1050.0899999999999</v>
      </c>
      <c r="C308" s="31">
        <v>10058.379999999999</v>
      </c>
      <c r="D308" s="31">
        <v>9178.4500000000007</v>
      </c>
      <c r="E308" s="30">
        <v>20286.919999999998</v>
      </c>
      <c r="F308" t="str">
        <f>LEFT(Table2[[#This Row],[Building]],2)</f>
        <v>DC</v>
      </c>
      <c r="G308" t="str">
        <f>LEFT(Table2[[#This Row],[Building]],8)</f>
        <v>DC1452SE</v>
      </c>
      <c r="H308" t="str">
        <f>RIGHT(Table2[[#This Row],[Building]],LEN(Table2[[#This Row],[Building]])-9)</f>
        <v>Ste 33 Det D Hall 34</v>
      </c>
    </row>
    <row r="309" spans="1:8" x14ac:dyDescent="0.25">
      <c r="A309" s="39" t="s">
        <v>520</v>
      </c>
      <c r="B309" s="29">
        <v>6349492.0099999998</v>
      </c>
      <c r="C309" s="29">
        <v>3665367.49</v>
      </c>
      <c r="D309" s="29">
        <v>8941016.7100000009</v>
      </c>
      <c r="E309" s="30">
        <v>18955876.210000001</v>
      </c>
      <c r="F309" t="str">
        <f>LEFT(Table2[[#This Row],[Building]],2)</f>
        <v>DC</v>
      </c>
      <c r="G309" t="str">
        <f>LEFT(Table2[[#This Row],[Building]],8)</f>
        <v>DC1472SE</v>
      </c>
      <c r="H309" t="str">
        <f>RIGHT(Table2[[#This Row],[Building]],LEN(Table2[[#This Row],[Building]])-9)</f>
        <v>2701 Mlk, Jr. Ave, S</v>
      </c>
    </row>
    <row r="310" spans="1:8" x14ac:dyDescent="0.25">
      <c r="A310" s="39" t="s">
        <v>521</v>
      </c>
      <c r="B310" s="31">
        <v>35554.160000000003</v>
      </c>
      <c r="C310" s="34" t="s">
        <v>522</v>
      </c>
      <c r="D310" s="31">
        <v>50421.89</v>
      </c>
      <c r="E310" s="33" t="s">
        <v>523</v>
      </c>
      <c r="F310" t="str">
        <f>LEFT(Table2[[#This Row],[Building]],2)</f>
        <v>DC</v>
      </c>
      <c r="G310" t="str">
        <f>LEFT(Table2[[#This Row],[Building]],8)</f>
        <v>DC1473SE</v>
      </c>
      <c r="H310" t="str">
        <f>RIGHT(Table2[[#This Row],[Building]],LEN(Table2[[#This Row],[Building]])-9)</f>
        <v>Douglas A. Munro</v>
      </c>
    </row>
    <row r="311" spans="1:8" x14ac:dyDescent="0.25">
      <c r="A311" s="39" t="s">
        <v>524</v>
      </c>
      <c r="B311" s="29">
        <v>392826.14</v>
      </c>
      <c r="C311" s="29">
        <v>215926.04</v>
      </c>
      <c r="D311" s="29">
        <v>198115.01</v>
      </c>
      <c r="E311" s="30">
        <v>806867.19</v>
      </c>
      <c r="F311" t="str">
        <f>LEFT(Table2[[#This Row],[Building]],2)</f>
        <v>DE</v>
      </c>
      <c r="G311" t="str">
        <f>LEFT(Table2[[#This Row],[Building]],8)</f>
        <v>DE0016ZZ</v>
      </c>
      <c r="H311" t="str">
        <f>RIGHT(Table2[[#This Row],[Building]],LEN(Table2[[#This Row],[Building]])-9)</f>
        <v>J. Caleb Boggs Ch Fb</v>
      </c>
    </row>
    <row r="312" spans="1:8" ht="22.5" x14ac:dyDescent="0.25">
      <c r="A312" s="39" t="s">
        <v>525</v>
      </c>
      <c r="B312" s="31">
        <v>251665.06</v>
      </c>
      <c r="C312" s="31">
        <v>143837.10999999999</v>
      </c>
      <c r="D312" s="31">
        <v>231148.52</v>
      </c>
      <c r="E312" s="30">
        <v>626650.68999999994</v>
      </c>
      <c r="F312" t="str">
        <f>LEFT(Table2[[#This Row],[Building]],2)</f>
        <v>FL</v>
      </c>
      <c r="G312" t="str">
        <f>LEFT(Table2[[#This Row],[Building]],8)</f>
        <v>FL0002AE</v>
      </c>
      <c r="H312" t="str">
        <f>RIGHT(Table2[[#This Row],[Building]],LEN(Table2[[#This Row],[Building]])-9)</f>
        <v>Timberlake Fed Annex</v>
      </c>
    </row>
    <row r="313" spans="1:8" x14ac:dyDescent="0.25">
      <c r="A313" s="39" t="s">
        <v>526</v>
      </c>
      <c r="B313" s="29">
        <v>250889.75</v>
      </c>
      <c r="C313" s="29">
        <v>263679.86</v>
      </c>
      <c r="D313" s="29">
        <v>295405.26</v>
      </c>
      <c r="E313" s="30">
        <v>809974.87</v>
      </c>
      <c r="F313" t="str">
        <f>LEFT(Table2[[#This Row],[Building]],2)</f>
        <v>FL</v>
      </c>
      <c r="G313" t="str">
        <f>LEFT(Table2[[#This Row],[Building]],8)</f>
        <v>FL0004ZZ</v>
      </c>
      <c r="H313" t="str">
        <f>RIGHT(Table2[[#This Row],[Building]],LEN(Table2[[#This Row],[Building]])-9)</f>
        <v>Us Crthse Annex</v>
      </c>
    </row>
    <row r="314" spans="1:8" x14ac:dyDescent="0.25">
      <c r="A314" s="39" t="s">
        <v>527</v>
      </c>
      <c r="B314" s="31">
        <v>235572.57</v>
      </c>
      <c r="C314" s="31">
        <v>250642.22</v>
      </c>
      <c r="D314" s="31">
        <v>275387.52000000002</v>
      </c>
      <c r="E314" s="30">
        <v>761602.31</v>
      </c>
      <c r="F314" t="str">
        <f>LEFT(Table2[[#This Row],[Building]],2)</f>
        <v>FL</v>
      </c>
      <c r="G314" t="str">
        <f>LEFT(Table2[[#This Row],[Building]],8)</f>
        <v>FL0009ZZ</v>
      </c>
      <c r="H314" t="str">
        <f>RIGHT(Table2[[#This Row],[Building]],LEN(Table2[[#This Row],[Building]])-9)</f>
        <v>Ft. Myers Fed. Bldg.</v>
      </c>
    </row>
    <row r="315" spans="1:8" x14ac:dyDescent="0.25">
      <c r="A315" s="39" t="s">
        <v>528</v>
      </c>
      <c r="B315" s="29">
        <v>918182.88</v>
      </c>
      <c r="C315" s="29">
        <v>870656.96</v>
      </c>
      <c r="D315" s="29">
        <v>656086.71</v>
      </c>
      <c r="E315" s="30">
        <v>2444926.5499999998</v>
      </c>
      <c r="F315" t="str">
        <f>LEFT(Table2[[#This Row],[Building]],2)</f>
        <v>FL</v>
      </c>
      <c r="G315" t="str">
        <f>LEFT(Table2[[#This Row],[Building]],8)</f>
        <v>FL0010ZZ</v>
      </c>
      <c r="H315" t="str">
        <f>RIGHT(Table2[[#This Row],[Building]],LEN(Table2[[#This Row],[Building]])-9)</f>
        <v>Wilkie D. Ferguson,</v>
      </c>
    </row>
    <row r="316" spans="1:8" ht="22.5" x14ac:dyDescent="0.25">
      <c r="A316" s="39" t="s">
        <v>529</v>
      </c>
      <c r="B316" s="31">
        <v>680346.49</v>
      </c>
      <c r="C316" s="31">
        <v>763496.14</v>
      </c>
      <c r="D316" s="31">
        <v>684777.7</v>
      </c>
      <c r="E316" s="30">
        <v>2128620.33</v>
      </c>
      <c r="F316" t="str">
        <f>LEFT(Table2[[#This Row],[Building]],2)</f>
        <v>FL</v>
      </c>
      <c r="G316" t="str">
        <f>LEFT(Table2[[#This Row],[Building]],8)</f>
        <v>FL0012ZZ</v>
      </c>
      <c r="H316" t="str">
        <f>RIGHT(Table2[[#This Row],[Building]],LEN(Table2[[#This Row],[Building]])-9)</f>
        <v>Sam M. Gibbons Us Co</v>
      </c>
    </row>
    <row r="317" spans="1:8" ht="22.5" x14ac:dyDescent="0.25">
      <c r="A317" s="39" t="s">
        <v>530</v>
      </c>
      <c r="B317" s="29">
        <v>819063.88</v>
      </c>
      <c r="C317" s="29">
        <v>864918.88</v>
      </c>
      <c r="D317" s="29">
        <v>785586.12</v>
      </c>
      <c r="E317" s="30">
        <v>2469568.88</v>
      </c>
      <c r="F317" t="str">
        <f>LEFT(Table2[[#This Row],[Building]],2)</f>
        <v>FL</v>
      </c>
      <c r="G317" t="str">
        <f>LEFT(Table2[[#This Row],[Building]],8)</f>
        <v>FL0017ZZ</v>
      </c>
      <c r="H317" t="str">
        <f>RIGHT(Table2[[#This Row],[Building]],LEN(Table2[[#This Row],[Building]])-9)</f>
        <v>Bryan Simpson Unites</v>
      </c>
    </row>
    <row r="318" spans="1:8" x14ac:dyDescent="0.25">
      <c r="A318" s="39" t="s">
        <v>531</v>
      </c>
      <c r="B318" s="31">
        <v>69850.22</v>
      </c>
      <c r="C318" s="31">
        <v>111689.02</v>
      </c>
      <c r="D318" s="31">
        <v>167369.28</v>
      </c>
      <c r="E318" s="30">
        <v>348908.52</v>
      </c>
      <c r="F318" t="str">
        <f>LEFT(Table2[[#This Row],[Building]],2)</f>
        <v>FL</v>
      </c>
      <c r="G318" t="str">
        <f>LEFT(Table2[[#This Row],[Building]],8)</f>
        <v>FL0019ZZ</v>
      </c>
      <c r="H318" t="str">
        <f>RIGHT(Table2[[#This Row],[Building]],LEN(Table2[[#This Row],[Building]])-9)</f>
        <v>Sidney M. Aronovitz</v>
      </c>
    </row>
    <row r="319" spans="1:8" ht="22.5" x14ac:dyDescent="0.25">
      <c r="A319" s="39" t="s">
        <v>532</v>
      </c>
      <c r="B319" s="29">
        <v>545267.32999999996</v>
      </c>
      <c r="C319" s="29">
        <v>569874</v>
      </c>
      <c r="D319" s="29">
        <v>446515.37</v>
      </c>
      <c r="E319" s="30">
        <v>1561656.7</v>
      </c>
      <c r="F319" t="str">
        <f>LEFT(Table2[[#This Row],[Building]],2)</f>
        <v>FL</v>
      </c>
      <c r="G319" t="str">
        <f>LEFT(Table2[[#This Row],[Building]],8)</f>
        <v>FL0025ZZ</v>
      </c>
      <c r="H319" t="str">
        <f>RIGHT(Table2[[#This Row],[Building]],LEN(Table2[[#This Row],[Building]])-9)</f>
        <v>U.S. Courthouse Anne</v>
      </c>
    </row>
    <row r="320" spans="1:8" ht="22.5" x14ac:dyDescent="0.25">
      <c r="A320" s="39" t="s">
        <v>533</v>
      </c>
      <c r="B320" s="31">
        <v>39963.660000000003</v>
      </c>
      <c r="C320" s="31">
        <v>373191.73</v>
      </c>
      <c r="D320" s="31">
        <v>111654.11</v>
      </c>
      <c r="E320" s="30">
        <v>524809.5</v>
      </c>
      <c r="F320" t="str">
        <f>LEFT(Table2[[#This Row],[Building]],2)</f>
        <v>FL</v>
      </c>
      <c r="G320" t="str">
        <f>LEFT(Table2[[#This Row],[Building]],8)</f>
        <v>FL0029AD</v>
      </c>
      <c r="H320" t="str">
        <f>RIGHT(Table2[[#This Row],[Building]],LEN(Table2[[#This Row],[Building]])-9)</f>
        <v>David W. Dyer Fb &amp; C</v>
      </c>
    </row>
    <row r="321" spans="1:8" x14ac:dyDescent="0.25">
      <c r="A321" s="39" t="s">
        <v>534</v>
      </c>
      <c r="B321" s="29">
        <v>249658.85</v>
      </c>
      <c r="C321" s="29">
        <v>326420.61</v>
      </c>
      <c r="D321" s="29">
        <v>339225.36</v>
      </c>
      <c r="E321" s="30">
        <v>915304.82</v>
      </c>
      <c r="F321" t="str">
        <f>LEFT(Table2[[#This Row],[Building]],2)</f>
        <v>FL</v>
      </c>
      <c r="G321" t="str">
        <f>LEFT(Table2[[#This Row],[Building]],8)</f>
        <v>FL0030ZZ</v>
      </c>
      <c r="H321" t="str">
        <f>RIGHT(Table2[[#This Row],[Building]],LEN(Table2[[#This Row],[Building]])-9)</f>
        <v>Alto Lee Adams, Sr.</v>
      </c>
    </row>
    <row r="322" spans="1:8" x14ac:dyDescent="0.25">
      <c r="A322" s="39" t="s">
        <v>535</v>
      </c>
      <c r="B322" s="31">
        <v>426570.18</v>
      </c>
      <c r="C322" s="31">
        <v>376595.01</v>
      </c>
      <c r="D322" s="31">
        <v>900348.49</v>
      </c>
      <c r="E322" s="30">
        <v>1703513.68</v>
      </c>
      <c r="F322" t="str">
        <f>LEFT(Table2[[#This Row],[Building]],2)</f>
        <v>FL</v>
      </c>
      <c r="G322" t="str">
        <f>LEFT(Table2[[#This Row],[Building]],8)</f>
        <v>FL0033ZZ</v>
      </c>
      <c r="H322" t="str">
        <f>RIGHT(Table2[[#This Row],[Building]],LEN(Table2[[#This Row],[Building]])-9)</f>
        <v>Fbi Building</v>
      </c>
    </row>
    <row r="323" spans="1:8" ht="22.5" x14ac:dyDescent="0.25">
      <c r="A323" s="39" t="s">
        <v>536</v>
      </c>
      <c r="B323" s="29">
        <v>134378.28</v>
      </c>
      <c r="C323" s="29">
        <v>121796.32</v>
      </c>
      <c r="D323" s="29">
        <v>133858.57999999999</v>
      </c>
      <c r="E323" s="30">
        <v>390033.18</v>
      </c>
      <c r="F323" t="str">
        <f>LEFT(Table2[[#This Row],[Building]],2)</f>
        <v>FL</v>
      </c>
      <c r="G323" t="str">
        <f>LEFT(Table2[[#This Row],[Building]],8)</f>
        <v>FL0039ZZ</v>
      </c>
      <c r="H323" t="str">
        <f>RIGHT(Table2[[#This Row],[Building]],LEN(Table2[[#This Row],[Building]])-9)</f>
        <v>Winston E. Arnow Us</v>
      </c>
    </row>
    <row r="324" spans="1:8" x14ac:dyDescent="0.25">
      <c r="A324" s="39" t="s">
        <v>537</v>
      </c>
      <c r="B324" s="31">
        <v>94769.53</v>
      </c>
      <c r="C324" s="31">
        <v>140968.73000000001</v>
      </c>
      <c r="D324" s="31">
        <v>59050.18</v>
      </c>
      <c r="E324" s="30">
        <v>294788.44</v>
      </c>
      <c r="F324" t="str">
        <f>LEFT(Table2[[#This Row],[Building]],2)</f>
        <v>FL</v>
      </c>
      <c r="G324" t="str">
        <f>LEFT(Table2[[#This Row],[Building]],8)</f>
        <v>FL0049ZZ</v>
      </c>
      <c r="H324" t="str">
        <f>RIGHT(Table2[[#This Row],[Building]],LEN(Table2[[#This Row],[Building]])-9)</f>
        <v>U. S. Courthouse</v>
      </c>
    </row>
    <row r="325" spans="1:8" ht="22.5" x14ac:dyDescent="0.25">
      <c r="A325" s="39" t="s">
        <v>538</v>
      </c>
      <c r="B325" s="29">
        <v>131037.11</v>
      </c>
      <c r="C325" s="29">
        <v>126797.77</v>
      </c>
      <c r="D325" s="29">
        <v>211444.98</v>
      </c>
      <c r="E325" s="30">
        <v>469279.86</v>
      </c>
      <c r="F325" t="str">
        <f>LEFT(Table2[[#This Row],[Building]],2)</f>
        <v>FL</v>
      </c>
      <c r="G325" t="str">
        <f>LEFT(Table2[[#This Row],[Building]],8)</f>
        <v>FL0057ZZ</v>
      </c>
      <c r="H325" t="str">
        <f>RIGHT(Table2[[#This Row],[Building]],LEN(Table2[[#This Row],[Building]])-9)</f>
        <v>Golden-Collum Fb-Ct</v>
      </c>
    </row>
    <row r="326" spans="1:8" x14ac:dyDescent="0.25">
      <c r="A326" s="39" t="s">
        <v>539</v>
      </c>
      <c r="B326" s="31">
        <v>494557.1</v>
      </c>
      <c r="C326" s="31">
        <v>354114.16</v>
      </c>
      <c r="D326" s="31">
        <v>357164.7</v>
      </c>
      <c r="E326" s="30">
        <v>1205835.96</v>
      </c>
      <c r="F326" t="str">
        <f>LEFT(Table2[[#This Row],[Building]],2)</f>
        <v>FL</v>
      </c>
      <c r="G326" t="str">
        <f>LEFT(Table2[[#This Row],[Building]],8)</f>
        <v>FL0061ZZ</v>
      </c>
      <c r="H326" t="str">
        <f>RIGHT(Table2[[#This Row],[Building]],LEN(Table2[[#This Row],[Building]])-9)</f>
        <v>Claude Pepper Fb</v>
      </c>
    </row>
    <row r="327" spans="1:8" x14ac:dyDescent="0.25">
      <c r="A327" s="39" t="s">
        <v>540</v>
      </c>
      <c r="B327" s="29">
        <v>178289.26</v>
      </c>
      <c r="C327" s="29">
        <v>156446.89000000001</v>
      </c>
      <c r="D327" s="29">
        <v>159530.10999999999</v>
      </c>
      <c r="E327" s="30">
        <v>494266.26</v>
      </c>
      <c r="F327" t="str">
        <f>LEFT(Table2[[#This Row],[Building]],2)</f>
        <v>FL</v>
      </c>
      <c r="G327" t="str">
        <f>LEFT(Table2[[#This Row],[Building]],8)</f>
        <v>FL0064AE</v>
      </c>
      <c r="H327" t="str">
        <f>RIGHT(Table2[[#This Row],[Building]],LEN(Table2[[#This Row],[Building]])-9)</f>
        <v>R L Timberlake Jr Fb</v>
      </c>
    </row>
    <row r="328" spans="1:8" x14ac:dyDescent="0.25">
      <c r="A328" s="39" t="s">
        <v>541</v>
      </c>
      <c r="B328" s="31">
        <v>131435.37</v>
      </c>
      <c r="C328" s="31">
        <v>262547.83</v>
      </c>
      <c r="D328" s="31">
        <v>81624.320000000007</v>
      </c>
      <c r="E328" s="30">
        <v>475607.52</v>
      </c>
      <c r="F328" t="str">
        <f>LEFT(Table2[[#This Row],[Building]],2)</f>
        <v>FL</v>
      </c>
      <c r="G328" t="str">
        <f>LEFT(Table2[[#This Row],[Building]],8)</f>
        <v>FL0065ZZ</v>
      </c>
      <c r="H328" t="str">
        <f>RIGHT(Table2[[#This Row],[Building]],LEN(Table2[[#This Row],[Building]])-9)</f>
        <v>Fb-Po-Ct</v>
      </c>
    </row>
    <row r="329" spans="1:8" x14ac:dyDescent="0.25">
      <c r="A329" s="39" t="s">
        <v>542</v>
      </c>
      <c r="B329" s="29">
        <v>194922.85</v>
      </c>
      <c r="C329" s="29">
        <v>342040.82</v>
      </c>
      <c r="D329" s="29">
        <v>206633.81</v>
      </c>
      <c r="E329" s="30">
        <v>743597.48</v>
      </c>
      <c r="F329" t="str">
        <f>LEFT(Table2[[#This Row],[Building]],2)</f>
        <v>FL</v>
      </c>
      <c r="G329" t="str">
        <f>LEFT(Table2[[#This Row],[Building]],8)</f>
        <v>FL0066AC</v>
      </c>
      <c r="H329" t="str">
        <f>RIGHT(Table2[[#This Row],[Building]],LEN(Table2[[#This Row],[Building]])-9)</f>
        <v>Paul G Rogers Fb-Ct</v>
      </c>
    </row>
    <row r="330" spans="1:8" x14ac:dyDescent="0.25">
      <c r="A330" s="39" t="s">
        <v>543</v>
      </c>
      <c r="B330" s="31">
        <v>563326.18000000005</v>
      </c>
      <c r="C330" s="31">
        <v>538087.81999999995</v>
      </c>
      <c r="D330" s="31">
        <v>484612.51</v>
      </c>
      <c r="E330" s="30">
        <v>1586026.51</v>
      </c>
      <c r="F330" t="str">
        <f>LEFT(Table2[[#This Row],[Building]],2)</f>
        <v>FL</v>
      </c>
      <c r="G330" t="str">
        <f>LEFT(Table2[[#This Row],[Building]],8)</f>
        <v>FL0067ZZ</v>
      </c>
      <c r="H330" t="str">
        <f>RIGHT(Table2[[#This Row],[Building]],LEN(Table2[[#This Row],[Building]])-9)</f>
        <v>Chas. E. Bennett Fb</v>
      </c>
    </row>
    <row r="331" spans="1:8" x14ac:dyDescent="0.25">
      <c r="A331" s="39" t="s">
        <v>544</v>
      </c>
      <c r="B331" s="29">
        <v>246355.88</v>
      </c>
      <c r="C331" s="29">
        <v>74301.16</v>
      </c>
      <c r="D331" s="29">
        <v>282611.07</v>
      </c>
      <c r="E331" s="30">
        <v>603268.11</v>
      </c>
      <c r="F331" t="str">
        <f>LEFT(Table2[[#This Row],[Building]],2)</f>
        <v>FL</v>
      </c>
      <c r="G331" t="str">
        <f>LEFT(Table2[[#This Row],[Building]],8)</f>
        <v>FL0078AD</v>
      </c>
      <c r="H331" t="str">
        <f>RIGHT(Table2[[#This Row],[Building]],LEN(Table2[[#This Row],[Building]])-9)</f>
        <v>C. Clyde Atkins U.S.</v>
      </c>
    </row>
    <row r="332" spans="1:8" x14ac:dyDescent="0.25">
      <c r="A332" s="39" t="s">
        <v>545</v>
      </c>
      <c r="B332" s="31">
        <v>290830.56</v>
      </c>
      <c r="C332" s="31">
        <v>233065.13</v>
      </c>
      <c r="D332" s="31">
        <v>319980.36</v>
      </c>
      <c r="E332" s="30">
        <v>843876.05</v>
      </c>
      <c r="F332" t="str">
        <f>LEFT(Table2[[#This Row],[Building]],2)</f>
        <v>FL</v>
      </c>
      <c r="G332" t="str">
        <f>LEFT(Table2[[#This Row],[Building]],8)</f>
        <v>FL0079ZZ</v>
      </c>
      <c r="H332" t="str">
        <f>RIGHT(Table2[[#This Row],[Building]],LEN(Table2[[#This Row],[Building]])-9)</f>
        <v>Brickell Plaza Bldg</v>
      </c>
    </row>
    <row r="333" spans="1:8" ht="22.5" x14ac:dyDescent="0.25">
      <c r="A333" s="39" t="s">
        <v>546</v>
      </c>
      <c r="B333" s="29">
        <v>451379.91</v>
      </c>
      <c r="C333" s="29">
        <v>227097.3</v>
      </c>
      <c r="D333" s="29">
        <v>470376.1</v>
      </c>
      <c r="E333" s="30">
        <v>1148853.31</v>
      </c>
      <c r="F333" t="str">
        <f>LEFT(Table2[[#This Row],[Building]],2)</f>
        <v>FL</v>
      </c>
      <c r="G333" t="str">
        <f>LEFT(Table2[[#This Row],[Building]],8)</f>
        <v>FL0082ZZ</v>
      </c>
      <c r="H333" t="str">
        <f>RIGHT(Table2[[#This Row],[Building]],LEN(Table2[[#This Row],[Building]])-9)</f>
        <v>George C. Young Fed.</v>
      </c>
    </row>
    <row r="334" spans="1:8" x14ac:dyDescent="0.25">
      <c r="A334" s="39" t="s">
        <v>547</v>
      </c>
      <c r="B334" s="31">
        <v>326010.13</v>
      </c>
      <c r="C334" s="31">
        <v>303269.26</v>
      </c>
      <c r="D334" s="31">
        <v>320938.46000000002</v>
      </c>
      <c r="E334" s="30">
        <v>950217.85</v>
      </c>
      <c r="F334" t="str">
        <f>LEFT(Table2[[#This Row],[Building]],2)</f>
        <v>FL</v>
      </c>
      <c r="G334" t="str">
        <f>LEFT(Table2[[#This Row],[Building]],8)</f>
        <v>FL0089ZZ</v>
      </c>
      <c r="H334" t="str">
        <f>RIGHT(Table2[[#This Row],[Building]],LEN(Table2[[#This Row],[Building]])-9)</f>
        <v>Fb-Ct</v>
      </c>
    </row>
    <row r="335" spans="1:8" x14ac:dyDescent="0.25">
      <c r="A335" s="39" t="s">
        <v>548</v>
      </c>
      <c r="B335" s="29">
        <v>152156.28</v>
      </c>
      <c r="C335" s="29">
        <v>12383.17</v>
      </c>
      <c r="D335" s="29">
        <v>233944.05</v>
      </c>
      <c r="E335" s="30">
        <v>398483.5</v>
      </c>
      <c r="F335" t="str">
        <f>LEFT(Table2[[#This Row],[Building]],2)</f>
        <v>FL</v>
      </c>
      <c r="G335" t="str">
        <f>LEFT(Table2[[#This Row],[Building]],8)</f>
        <v>FL0095AC</v>
      </c>
      <c r="H335" t="str">
        <f>RIGHT(Table2[[#This Row],[Building]],LEN(Table2[[#This Row],[Building]])-9)</f>
        <v>Autec Building</v>
      </c>
    </row>
    <row r="336" spans="1:8" x14ac:dyDescent="0.25">
      <c r="A336" s="39" t="s">
        <v>549</v>
      </c>
      <c r="B336" s="31">
        <v>87866.86</v>
      </c>
      <c r="C336" s="31">
        <v>241031.55</v>
      </c>
      <c r="D336" s="31">
        <v>127208.12</v>
      </c>
      <c r="E336" s="30">
        <v>456106.53</v>
      </c>
      <c r="F336" t="str">
        <f>LEFT(Table2[[#This Row],[Building]],2)</f>
        <v>GA</v>
      </c>
      <c r="G336" t="str">
        <f>LEFT(Table2[[#This Row],[Building]],8)</f>
        <v>GA0005ZZ</v>
      </c>
      <c r="H336" t="str">
        <f>RIGHT(Table2[[#This Row],[Building]],LEN(Table2[[#This Row],[Building]])-9)</f>
        <v>Po-Ct</v>
      </c>
    </row>
    <row r="337" spans="1:8" x14ac:dyDescent="0.25">
      <c r="A337" s="39" t="s">
        <v>550</v>
      </c>
      <c r="B337" s="29">
        <v>493603.16</v>
      </c>
      <c r="C337" s="29">
        <v>472570.24</v>
      </c>
      <c r="D337" s="29">
        <v>689759.64</v>
      </c>
      <c r="E337" s="30">
        <v>1655933.04</v>
      </c>
      <c r="F337" t="str">
        <f>LEFT(Table2[[#This Row],[Building]],2)</f>
        <v>GA</v>
      </c>
      <c r="G337" t="str">
        <f>LEFT(Table2[[#This Row],[Building]],8)</f>
        <v>GA0007ZZ</v>
      </c>
      <c r="H337" t="str">
        <f>RIGHT(Table2[[#This Row],[Building]],LEN(Table2[[#This Row],[Building]])-9)</f>
        <v>M. L. King Jr. Fb</v>
      </c>
    </row>
    <row r="338" spans="1:8" x14ac:dyDescent="0.25">
      <c r="A338" s="39" t="s">
        <v>551</v>
      </c>
      <c r="B338" s="31">
        <v>268185.34000000003</v>
      </c>
      <c r="C338" s="31">
        <v>251777.2</v>
      </c>
      <c r="D338" s="31">
        <v>363861.7</v>
      </c>
      <c r="E338" s="30">
        <v>883824.24</v>
      </c>
      <c r="F338" t="str">
        <f>LEFT(Table2[[#This Row],[Building]],2)</f>
        <v>GA</v>
      </c>
      <c r="G338" t="str">
        <f>LEFT(Table2[[#This Row],[Building]],8)</f>
        <v>GA0008ZZ</v>
      </c>
      <c r="H338" t="str">
        <f>RIGHT(Table2[[#This Row],[Building]],LEN(Table2[[#This Row],[Building]])-9)</f>
        <v>Elbert P. Tuttle Us</v>
      </c>
    </row>
    <row r="339" spans="1:8" x14ac:dyDescent="0.25">
      <c r="A339" s="39" t="s">
        <v>552</v>
      </c>
      <c r="B339" s="29">
        <v>142127.94</v>
      </c>
      <c r="C339" s="29">
        <v>85164.83</v>
      </c>
      <c r="D339" s="29">
        <v>106795.67</v>
      </c>
      <c r="E339" s="30">
        <v>334088.44</v>
      </c>
      <c r="F339" t="str">
        <f>LEFT(Table2[[#This Row],[Building]],2)</f>
        <v>GA</v>
      </c>
      <c r="G339" t="str">
        <f>LEFT(Table2[[#This Row],[Building]],8)</f>
        <v>GA0009ZZ</v>
      </c>
      <c r="H339" t="str">
        <f>RIGHT(Table2[[#This Row],[Building]],LEN(Table2[[#This Row],[Building]])-9)</f>
        <v>U.S. Courthouse</v>
      </c>
    </row>
    <row r="340" spans="1:8" x14ac:dyDescent="0.25">
      <c r="A340" s="39" t="s">
        <v>553</v>
      </c>
      <c r="B340" s="31">
        <v>638463.96</v>
      </c>
      <c r="C340" s="31">
        <v>536527.65</v>
      </c>
      <c r="D340" s="31">
        <v>761020.59</v>
      </c>
      <c r="E340" s="30">
        <v>1936012.2</v>
      </c>
      <c r="F340" t="str">
        <f>LEFT(Table2[[#This Row],[Building]],2)</f>
        <v>GA</v>
      </c>
      <c r="G340" t="str">
        <f>LEFT(Table2[[#This Row],[Building]],8)</f>
        <v>GA0010AE</v>
      </c>
      <c r="H340" t="str">
        <f>RIGHT(Table2[[#This Row],[Building]],LEN(Table2[[#This Row],[Building]])-9)</f>
        <v>Irs Annex</v>
      </c>
    </row>
    <row r="341" spans="1:8" x14ac:dyDescent="0.25">
      <c r="A341" s="39" t="s">
        <v>554</v>
      </c>
      <c r="B341" s="29">
        <v>125357.99</v>
      </c>
      <c r="C341" s="29">
        <v>110672.89</v>
      </c>
      <c r="D341" s="29">
        <v>163105.98000000001</v>
      </c>
      <c r="E341" s="30">
        <v>399136.86</v>
      </c>
      <c r="F341" t="str">
        <f>LEFT(Table2[[#This Row],[Building]],2)</f>
        <v>GA</v>
      </c>
      <c r="G341" t="str">
        <f>LEFT(Table2[[#This Row],[Building]],8)</f>
        <v>GA0012ZZ</v>
      </c>
      <c r="H341" t="str">
        <f>RIGHT(Table2[[#This Row],[Building]],LEN(Table2[[#This Row],[Building]])-9)</f>
        <v>C.B. King Usct</v>
      </c>
    </row>
    <row r="342" spans="1:8" x14ac:dyDescent="0.25">
      <c r="A342" s="39" t="s">
        <v>556</v>
      </c>
      <c r="B342" s="31">
        <v>109390.63</v>
      </c>
      <c r="C342" s="31">
        <v>68217.72</v>
      </c>
      <c r="D342" s="31">
        <v>144061.14000000001</v>
      </c>
      <c r="E342" s="30">
        <v>321669.49</v>
      </c>
      <c r="F342" t="str">
        <f>LEFT(Table2[[#This Row],[Building]],2)</f>
        <v>GA</v>
      </c>
      <c r="G342" t="str">
        <f>LEFT(Table2[[#This Row],[Building]],8)</f>
        <v>GA0025ZZ</v>
      </c>
      <c r="H342" t="str">
        <f>RIGHT(Table2[[#This Row],[Building]],LEN(Table2[[#This Row],[Building]])-9)</f>
        <v>Po-Ct</v>
      </c>
    </row>
    <row r="343" spans="1:8" ht="22.5" x14ac:dyDescent="0.25">
      <c r="A343" s="39" t="s">
        <v>557</v>
      </c>
      <c r="B343" s="29">
        <v>165436.42000000001</v>
      </c>
      <c r="C343" s="29">
        <v>238132.49</v>
      </c>
      <c r="D343" s="29">
        <v>216287.53</v>
      </c>
      <c r="E343" s="30">
        <v>619856.43999999994</v>
      </c>
      <c r="F343" t="str">
        <f>LEFT(Table2[[#This Row],[Building]],2)</f>
        <v>GA</v>
      </c>
      <c r="G343" t="str">
        <f>LEFT(Table2[[#This Row],[Building]],8)</f>
        <v>GA0030ZZ</v>
      </c>
      <c r="H343" t="str">
        <f>RIGHT(Table2[[#This Row],[Building]],LEN(Table2[[#This Row],[Building]])-9)</f>
        <v>John C. Godbold Fede</v>
      </c>
    </row>
    <row r="344" spans="1:8" x14ac:dyDescent="0.25">
      <c r="A344" s="39" t="s">
        <v>558</v>
      </c>
      <c r="B344" s="31">
        <v>57859.01</v>
      </c>
      <c r="C344" s="31">
        <v>55653.57</v>
      </c>
      <c r="D344" s="31">
        <v>79752.429999999993</v>
      </c>
      <c r="E344" s="30">
        <v>193265.01</v>
      </c>
      <c r="F344" t="str">
        <f>LEFT(Table2[[#This Row],[Building]],2)</f>
        <v>GA</v>
      </c>
      <c r="G344" t="str">
        <f>LEFT(Table2[[#This Row],[Building]],8)</f>
        <v>GA0036ZZ</v>
      </c>
      <c r="H344" t="str">
        <f>RIGHT(Table2[[#This Row],[Building]],LEN(Table2[[#This Row],[Building]])-9)</f>
        <v>J. Roy Rowland Fed.</v>
      </c>
    </row>
    <row r="345" spans="1:8" x14ac:dyDescent="0.25">
      <c r="A345" s="39" t="s">
        <v>559</v>
      </c>
      <c r="B345" s="29">
        <v>118390.06</v>
      </c>
      <c r="C345" s="29">
        <v>76351.53</v>
      </c>
      <c r="D345" s="29">
        <v>108916.32</v>
      </c>
      <c r="E345" s="30">
        <v>303657.90999999997</v>
      </c>
      <c r="F345" t="str">
        <f>LEFT(Table2[[#This Row],[Building]],2)</f>
        <v>GA</v>
      </c>
      <c r="G345" t="str">
        <f>LEFT(Table2[[#This Row],[Building]],8)</f>
        <v>GA0044ZZ</v>
      </c>
      <c r="H345" t="str">
        <f>RIGHT(Table2[[#This Row],[Building]],LEN(Table2[[#This Row],[Building]])-9)</f>
        <v>Fb-Ct</v>
      </c>
    </row>
    <row r="346" spans="1:8" ht="22.5" x14ac:dyDescent="0.25">
      <c r="A346" s="39" t="s">
        <v>560</v>
      </c>
      <c r="B346" s="31">
        <v>135778.78</v>
      </c>
      <c r="C346" s="31">
        <v>131756.10999999999</v>
      </c>
      <c r="D346" s="31">
        <v>164102.06</v>
      </c>
      <c r="E346" s="30">
        <v>431636.95</v>
      </c>
      <c r="F346" t="str">
        <f>LEFT(Table2[[#This Row],[Building]],2)</f>
        <v>GA</v>
      </c>
      <c r="G346" t="str">
        <f>LEFT(Table2[[#This Row],[Building]],8)</f>
        <v>GA0057ZZ</v>
      </c>
      <c r="H346" t="str">
        <f>RIGHT(Table2[[#This Row],[Building]],LEN(Table2[[#This Row],[Building]])-9)</f>
        <v>William Augustus Boo</v>
      </c>
    </row>
    <row r="347" spans="1:8" x14ac:dyDescent="0.25">
      <c r="A347" s="39" t="s">
        <v>561</v>
      </c>
      <c r="B347" s="29">
        <v>55173.69</v>
      </c>
      <c r="C347" s="29">
        <v>35630.61</v>
      </c>
      <c r="D347" s="29">
        <v>35687.440000000002</v>
      </c>
      <c r="E347" s="30">
        <v>126491.74</v>
      </c>
      <c r="F347" t="str">
        <f>LEFT(Table2[[#This Row],[Building]],2)</f>
        <v>GA</v>
      </c>
      <c r="G347" t="str">
        <f>LEFT(Table2[[#This Row],[Building]],8)</f>
        <v>GA0076ZZ</v>
      </c>
      <c r="H347" t="str">
        <f>RIGHT(Table2[[#This Row],[Building]],LEN(Table2[[#This Row],[Building]])-9)</f>
        <v>U.S. Customhouse</v>
      </c>
    </row>
    <row r="348" spans="1:8" ht="22.5" x14ac:dyDescent="0.25">
      <c r="A348" s="39" t="s">
        <v>562</v>
      </c>
      <c r="B348" s="31">
        <v>404335.12</v>
      </c>
      <c r="C348" s="31">
        <v>289893.03000000003</v>
      </c>
      <c r="D348" s="31">
        <v>228347.77</v>
      </c>
      <c r="E348" s="30">
        <v>922575.92</v>
      </c>
      <c r="F348" t="str">
        <f>LEFT(Table2[[#This Row],[Building]],2)</f>
        <v>GA</v>
      </c>
      <c r="G348" t="str">
        <f>LEFT(Table2[[#This Row],[Building]],8)</f>
        <v>GA0077AC</v>
      </c>
      <c r="H348" t="str">
        <f>RIGHT(Table2[[#This Row],[Building]],LEN(Table2[[#This Row],[Building]])-9)</f>
        <v>Juliette Gordon Low,</v>
      </c>
    </row>
    <row r="349" spans="1:8" x14ac:dyDescent="0.25">
      <c r="A349" s="39" t="s">
        <v>563</v>
      </c>
      <c r="B349" s="29">
        <v>254727.7</v>
      </c>
      <c r="C349" s="29">
        <v>167865.5</v>
      </c>
      <c r="D349" s="29">
        <v>200628.84</v>
      </c>
      <c r="E349" s="30">
        <v>623222.04</v>
      </c>
      <c r="F349" t="str">
        <f>LEFT(Table2[[#This Row],[Building]],2)</f>
        <v>GA</v>
      </c>
      <c r="G349" t="str">
        <f>LEFT(Table2[[#This Row],[Building]],8)</f>
        <v>GA0078ZZ</v>
      </c>
      <c r="H349" t="str">
        <f>RIGHT(Table2[[#This Row],[Building]],LEN(Table2[[#This Row],[Building]])-9)</f>
        <v>Tomochichi Fb-Ch</v>
      </c>
    </row>
    <row r="350" spans="1:8" ht="22.5" x14ac:dyDescent="0.25">
      <c r="A350" s="39" t="s">
        <v>564</v>
      </c>
      <c r="B350" s="31">
        <v>52106.54</v>
      </c>
      <c r="C350" s="31">
        <v>594.95000000000005</v>
      </c>
      <c r="D350" s="31">
        <v>29401.38</v>
      </c>
      <c r="E350" s="30">
        <v>82102.87</v>
      </c>
      <c r="F350" t="str">
        <f>LEFT(Table2[[#This Row],[Building]],2)</f>
        <v>GA</v>
      </c>
      <c r="G350" t="str">
        <f>LEFT(Table2[[#This Row],[Building]],8)</f>
        <v>GA0080AC</v>
      </c>
      <c r="H350" t="str">
        <f>RIGHT(Table2[[#This Row],[Building]],LEN(Table2[[#This Row],[Building]])-9)</f>
        <v>Juliette Gordon Low,</v>
      </c>
    </row>
    <row r="351" spans="1:8" ht="22.5" x14ac:dyDescent="0.25">
      <c r="A351" s="39" t="s">
        <v>565</v>
      </c>
      <c r="B351" s="29">
        <v>50705.74</v>
      </c>
      <c r="C351" s="29">
        <v>1586.53</v>
      </c>
      <c r="D351" s="29">
        <v>32658.39</v>
      </c>
      <c r="E351" s="30">
        <v>84950.66</v>
      </c>
      <c r="F351" t="str">
        <f>LEFT(Table2[[#This Row],[Building]],2)</f>
        <v>GA</v>
      </c>
      <c r="G351" t="str">
        <f>LEFT(Table2[[#This Row],[Building]],8)</f>
        <v>GA0081AC</v>
      </c>
      <c r="H351" t="str">
        <f>RIGHT(Table2[[#This Row],[Building]],LEN(Table2[[#This Row],[Building]])-9)</f>
        <v>Juliette Gordon Low,</v>
      </c>
    </row>
    <row r="352" spans="1:8" ht="22.5" x14ac:dyDescent="0.25">
      <c r="A352" s="39" t="s">
        <v>566</v>
      </c>
      <c r="B352" s="31">
        <v>1188838.99</v>
      </c>
      <c r="C352" s="31">
        <v>1455358.18</v>
      </c>
      <c r="D352" s="31">
        <v>1228749.8</v>
      </c>
      <c r="E352" s="30">
        <v>3872946.97</v>
      </c>
      <c r="F352" t="str">
        <f>LEFT(Table2[[#This Row],[Building]],2)</f>
        <v>GA</v>
      </c>
      <c r="G352" t="str">
        <f>LEFT(Table2[[#This Row],[Building]],8)</f>
        <v>GA0087AD</v>
      </c>
      <c r="H352" t="str">
        <f>RIGHT(Table2[[#This Row],[Building]],LEN(Table2[[#This Row],[Building]])-9)</f>
        <v>Peachtree Summit Fb</v>
      </c>
    </row>
    <row r="353" spans="1:8" x14ac:dyDescent="0.25">
      <c r="A353" s="39" t="s">
        <v>567</v>
      </c>
      <c r="B353" s="29">
        <v>102918.98</v>
      </c>
      <c r="C353" s="29">
        <v>61443.94</v>
      </c>
      <c r="D353" s="29">
        <v>111023.93</v>
      </c>
      <c r="E353" s="30">
        <v>275386.84999999998</v>
      </c>
      <c r="F353" t="str">
        <f>LEFT(Table2[[#This Row],[Building]],2)</f>
        <v>GA</v>
      </c>
      <c r="G353" t="str">
        <f>LEFT(Table2[[#This Row],[Building]],8)</f>
        <v>GA0103ZZ</v>
      </c>
      <c r="H353" t="str">
        <f>RIGHT(Table2[[#This Row],[Building]],LEN(Table2[[#This Row],[Building]])-9)</f>
        <v>Frank M Scarlett Fb</v>
      </c>
    </row>
    <row r="354" spans="1:8" x14ac:dyDescent="0.25">
      <c r="A354" s="39" t="s">
        <v>568</v>
      </c>
      <c r="B354" s="31">
        <v>51817.94</v>
      </c>
      <c r="C354" s="31">
        <v>56736.24</v>
      </c>
      <c r="D354" s="31">
        <v>75454.31</v>
      </c>
      <c r="E354" s="30">
        <v>184008.49</v>
      </c>
      <c r="F354" t="str">
        <f>LEFT(Table2[[#This Row],[Building]],2)</f>
        <v>GA</v>
      </c>
      <c r="G354" t="str">
        <f>LEFT(Table2[[#This Row],[Building]],8)</f>
        <v>GA0114ZZ</v>
      </c>
      <c r="H354" t="str">
        <f>RIGHT(Table2[[#This Row],[Building]],LEN(Table2[[#This Row],[Building]])-9)</f>
        <v>Prince H Preston Fb</v>
      </c>
    </row>
    <row r="355" spans="1:8" x14ac:dyDescent="0.25">
      <c r="A355" s="39" t="s">
        <v>569</v>
      </c>
      <c r="B355" s="29">
        <v>242051.89</v>
      </c>
      <c r="C355" s="29">
        <v>129577.31</v>
      </c>
      <c r="D355" s="29">
        <v>170240.11</v>
      </c>
      <c r="E355" s="30">
        <v>541869.31000000006</v>
      </c>
      <c r="F355" t="str">
        <f>LEFT(Table2[[#This Row],[Building]],2)</f>
        <v>GA</v>
      </c>
      <c r="G355" t="str">
        <f>LEFT(Table2[[#This Row],[Building]],8)</f>
        <v>GA0118ZZ</v>
      </c>
      <c r="H355" t="str">
        <f>RIGHT(Table2[[#This Row],[Building]],LEN(Table2[[#This Row],[Building]])-9)</f>
        <v>Fb-Po-Ct</v>
      </c>
    </row>
    <row r="356" spans="1:8" x14ac:dyDescent="0.25">
      <c r="A356" s="39" t="s">
        <v>570</v>
      </c>
      <c r="B356" s="31">
        <v>1318826.19</v>
      </c>
      <c r="C356" s="31">
        <v>1542986.26</v>
      </c>
      <c r="D356" s="31">
        <v>1684280.82</v>
      </c>
      <c r="E356" s="30">
        <v>4546093.2699999996</v>
      </c>
      <c r="F356" t="str">
        <f>LEFT(Table2[[#This Row],[Building]],2)</f>
        <v>GA</v>
      </c>
      <c r="G356" t="str">
        <f>LEFT(Table2[[#This Row],[Building]],8)</f>
        <v>GA0121ZZ</v>
      </c>
      <c r="H356" t="str">
        <f>RIGHT(Table2[[#This Row],[Building]],LEN(Table2[[#This Row],[Building]])-9)</f>
        <v>Richard B. Russell</v>
      </c>
    </row>
    <row r="357" spans="1:8" ht="22.5" x14ac:dyDescent="0.25">
      <c r="A357" s="39" t="s">
        <v>571</v>
      </c>
      <c r="B357" s="29">
        <v>102966.56</v>
      </c>
      <c r="C357" s="29">
        <v>70627.44</v>
      </c>
      <c r="D357" s="29">
        <v>84820.34</v>
      </c>
      <c r="E357" s="30">
        <v>258414.34</v>
      </c>
      <c r="F357" t="str">
        <f>LEFT(Table2[[#This Row],[Building]],2)</f>
        <v>GA</v>
      </c>
      <c r="G357" t="str">
        <f>LEFT(Table2[[#This Row],[Building]],8)</f>
        <v>GA0125ZZ</v>
      </c>
      <c r="H357" t="str">
        <f>RIGHT(Table2[[#This Row],[Building]],LEN(Table2[[#This Row],[Building]])-9)</f>
        <v>Lewis R. Morgan Fb-P</v>
      </c>
    </row>
    <row r="358" spans="1:8" x14ac:dyDescent="0.25">
      <c r="A358" s="39" t="s">
        <v>572</v>
      </c>
      <c r="B358" s="31">
        <v>166903.85999999999</v>
      </c>
      <c r="C358" s="31">
        <v>44556.45</v>
      </c>
      <c r="D358" s="31">
        <v>143917.21</v>
      </c>
      <c r="E358" s="30">
        <v>355377.52</v>
      </c>
      <c r="F358" t="str">
        <f>LEFT(Table2[[#This Row],[Building]],2)</f>
        <v>GA</v>
      </c>
      <c r="G358" t="str">
        <f>LEFT(Table2[[#This Row],[Building]],8)</f>
        <v>GA0134ZZ</v>
      </c>
      <c r="H358" t="str">
        <f>RIGHT(Table2[[#This Row],[Building]],LEN(Table2[[#This Row],[Building]])-9)</f>
        <v>Fb-Po-Ct</v>
      </c>
    </row>
    <row r="359" spans="1:8" x14ac:dyDescent="0.25">
      <c r="A359" s="39" t="s">
        <v>573</v>
      </c>
      <c r="B359" s="29">
        <v>189713.61</v>
      </c>
      <c r="C359" s="29">
        <v>105798.91</v>
      </c>
      <c r="D359" s="29">
        <v>172892.78</v>
      </c>
      <c r="E359" s="30">
        <v>468405.3</v>
      </c>
      <c r="F359" t="str">
        <f>LEFT(Table2[[#This Row],[Building]],2)</f>
        <v>GA</v>
      </c>
      <c r="G359" t="str">
        <f>LEFT(Table2[[#This Row],[Building]],8)</f>
        <v>GA0138ZZ</v>
      </c>
      <c r="H359" t="str">
        <f>RIGHT(Table2[[#This Row],[Building]],LEN(Table2[[#This Row],[Building]])-9)</f>
        <v>R.G. Stephens,Jr Fb</v>
      </c>
    </row>
    <row r="360" spans="1:8" x14ac:dyDescent="0.25">
      <c r="A360" s="39" t="s">
        <v>574</v>
      </c>
      <c r="B360" s="31">
        <v>74683.03</v>
      </c>
      <c r="C360" s="31">
        <v>130754.87</v>
      </c>
      <c r="D360" s="31">
        <v>50431.34</v>
      </c>
      <c r="E360" s="30">
        <v>255869.24</v>
      </c>
      <c r="F360" t="str">
        <f>LEFT(Table2[[#This Row],[Building]],2)</f>
        <v>GA</v>
      </c>
      <c r="G360" t="str">
        <f>LEFT(Table2[[#This Row],[Building]],8)</f>
        <v>GA0650AB</v>
      </c>
      <c r="H360" t="str">
        <f>RIGHT(Table2[[#This Row],[Building]],LEN(Table2[[#This Row],[Building]])-9)</f>
        <v>Fed Regional Ctr</v>
      </c>
    </row>
    <row r="361" spans="1:8" x14ac:dyDescent="0.25">
      <c r="A361" s="39" t="s">
        <v>575</v>
      </c>
      <c r="B361" s="29">
        <v>2048.1999999999998</v>
      </c>
      <c r="C361" s="29">
        <v>1727.56</v>
      </c>
      <c r="D361" s="29">
        <v>1755.71</v>
      </c>
      <c r="E361" s="30">
        <v>5531.47</v>
      </c>
      <c r="F361" t="str">
        <f>LEFT(Table2[[#This Row],[Building]],2)</f>
        <v>GA</v>
      </c>
      <c r="G361" t="str">
        <f>LEFT(Table2[[#This Row],[Building]],8)</f>
        <v>GA0665AB</v>
      </c>
      <c r="H361" t="str">
        <f>RIGHT(Table2[[#This Row],[Building]],LEN(Table2[[#This Row],[Building]])-9)</f>
        <v>Pbs Warehouse</v>
      </c>
    </row>
    <row r="362" spans="1:8" x14ac:dyDescent="0.25">
      <c r="A362" s="39" t="s">
        <v>576</v>
      </c>
      <c r="B362" s="31">
        <v>34179.03</v>
      </c>
      <c r="C362" s="31">
        <v>63909.36</v>
      </c>
      <c r="D362" s="31">
        <v>28522.38</v>
      </c>
      <c r="E362" s="30">
        <v>126610.77</v>
      </c>
      <c r="F362" t="str">
        <f>LEFT(Table2[[#This Row],[Building]],2)</f>
        <v>GA</v>
      </c>
      <c r="G362" t="str">
        <f>LEFT(Table2[[#This Row],[Building]],8)</f>
        <v>GA0667AB</v>
      </c>
      <c r="H362" t="str">
        <f>RIGHT(Table2[[#This Row],[Building]],LEN(Table2[[#This Row],[Building]])-9)</f>
        <v>Pinetree Blvd</v>
      </c>
    </row>
    <row r="363" spans="1:8" x14ac:dyDescent="0.25">
      <c r="A363" s="39" t="s">
        <v>577</v>
      </c>
      <c r="B363" s="29">
        <v>33537.97</v>
      </c>
      <c r="C363" s="29">
        <v>17991.099999999999</v>
      </c>
      <c r="D363" s="29">
        <v>10623.08</v>
      </c>
      <c r="E363" s="30">
        <v>62152.15</v>
      </c>
      <c r="F363" t="str">
        <f>LEFT(Table2[[#This Row],[Building]],2)</f>
        <v>GA</v>
      </c>
      <c r="G363" t="str">
        <f>LEFT(Table2[[#This Row],[Building]],8)</f>
        <v>GA2637ZZ</v>
      </c>
      <c r="H363" t="str">
        <f>RIGHT(Table2[[#This Row],[Building]],LEN(Table2[[#This Row],[Building]])-9)</f>
        <v>Gnann House</v>
      </c>
    </row>
    <row r="364" spans="1:8" ht="22.5" x14ac:dyDescent="0.25">
      <c r="A364" s="39" t="s">
        <v>578</v>
      </c>
      <c r="B364" s="31">
        <v>107569.29</v>
      </c>
      <c r="C364" s="31">
        <v>56010.07</v>
      </c>
      <c r="D364" s="31">
        <v>167330.76999999999</v>
      </c>
      <c r="E364" s="30">
        <v>330910.13</v>
      </c>
      <c r="F364" t="str">
        <f>LEFT(Table2[[#This Row],[Building]],2)</f>
        <v>HI</v>
      </c>
      <c r="G364" t="str">
        <f>LEFT(Table2[[#This Row],[Building]],8)</f>
        <v>HI0001ZZ</v>
      </c>
      <c r="H364" t="str">
        <f>RIGHT(Table2[[#This Row],[Building]],LEN(Table2[[#This Row],[Building]])-9)</f>
        <v>Federal Building &amp; U</v>
      </c>
    </row>
    <row r="365" spans="1:8" ht="22.5" x14ac:dyDescent="0.25">
      <c r="A365" s="39" t="s">
        <v>579</v>
      </c>
      <c r="B365" s="29">
        <v>25168.799999999999</v>
      </c>
      <c r="C365" s="29">
        <v>18522.55</v>
      </c>
      <c r="D365" s="29">
        <v>35690.230000000003</v>
      </c>
      <c r="E365" s="30">
        <v>79381.58</v>
      </c>
      <c r="F365" t="str">
        <f>LEFT(Table2[[#This Row],[Building]],2)</f>
        <v>HI</v>
      </c>
      <c r="G365" t="str">
        <f>LEFT(Table2[[#This Row],[Building]],8)</f>
        <v>HI0002ZZ</v>
      </c>
      <c r="H365" t="str">
        <f>RIGHT(Table2[[#This Row],[Building]],LEN(Table2[[#This Row],[Building]])-9)</f>
        <v>U.S. Customs Warehou</v>
      </c>
    </row>
    <row r="366" spans="1:8" x14ac:dyDescent="0.25">
      <c r="A366" s="39" t="s">
        <v>580</v>
      </c>
      <c r="B366" s="31">
        <v>1677671.98</v>
      </c>
      <c r="C366" s="31">
        <v>3317342.69</v>
      </c>
      <c r="D366" s="31">
        <v>1402425.36</v>
      </c>
      <c r="E366" s="30">
        <v>6397440.0300000003</v>
      </c>
      <c r="F366" t="str">
        <f>LEFT(Table2[[#This Row],[Building]],2)</f>
        <v>HI</v>
      </c>
      <c r="G366" t="str">
        <f>LEFT(Table2[[#This Row],[Building]],8)</f>
        <v>HI0011ZZ</v>
      </c>
      <c r="H366" t="str">
        <f>RIGHT(Table2[[#This Row],[Building]],LEN(Table2[[#This Row],[Building]])-9)</f>
        <v>Prince J. Kuhio Fob</v>
      </c>
    </row>
    <row r="367" spans="1:8" ht="22.5" x14ac:dyDescent="0.25">
      <c r="A367" s="39" t="s">
        <v>582</v>
      </c>
      <c r="B367" s="31">
        <v>184522.32</v>
      </c>
      <c r="C367" s="31">
        <v>64253.81</v>
      </c>
      <c r="D367" s="31">
        <v>228327.4</v>
      </c>
      <c r="E367" s="30">
        <v>477103.53</v>
      </c>
      <c r="F367" t="str">
        <f>LEFT(Table2[[#This Row],[Building]],2)</f>
        <v>IA</v>
      </c>
      <c r="G367" t="str">
        <f>LEFT(Table2[[#This Row],[Building]],8)</f>
        <v>IA0027ZZ</v>
      </c>
      <c r="H367" t="str">
        <f>RIGHT(Table2[[#This Row],[Building]],LEN(Table2[[#This Row],[Building]])-9)</f>
        <v>United States Courth</v>
      </c>
    </row>
    <row r="368" spans="1:8" x14ac:dyDescent="0.25">
      <c r="A368" s="39" t="s">
        <v>583</v>
      </c>
      <c r="B368" s="29">
        <v>208315.75</v>
      </c>
      <c r="C368" s="29">
        <v>87516.4</v>
      </c>
      <c r="D368" s="29">
        <v>245592.86</v>
      </c>
      <c r="E368" s="30">
        <v>541425.01</v>
      </c>
      <c r="F368" t="str">
        <f>LEFT(Table2[[#This Row],[Building]],2)</f>
        <v>IA</v>
      </c>
      <c r="G368" t="str">
        <f>LEFT(Table2[[#This Row],[Building]],8)</f>
        <v>IA0030ZZ</v>
      </c>
      <c r="H368" t="str">
        <f>RIGHT(Table2[[#This Row],[Building]],LEN(Table2[[#This Row],[Building]])-9)</f>
        <v>U S Courthouse</v>
      </c>
    </row>
    <row r="369" spans="1:8" x14ac:dyDescent="0.25">
      <c r="A369" s="39" t="s">
        <v>584</v>
      </c>
      <c r="B369" s="31">
        <v>144567.45000000001</v>
      </c>
      <c r="C369" s="31">
        <v>82396.210000000006</v>
      </c>
      <c r="D369" s="31">
        <v>223139.94</v>
      </c>
      <c r="E369" s="30">
        <v>450103.6</v>
      </c>
      <c r="F369" t="str">
        <f>LEFT(Table2[[#This Row],[Building]],2)</f>
        <v>IA</v>
      </c>
      <c r="G369" t="str">
        <f>LEFT(Table2[[#This Row],[Building]],8)</f>
        <v>IA0087ZZ</v>
      </c>
      <c r="H369" t="str">
        <f>RIGHT(Table2[[#This Row],[Building]],LEN(Table2[[#This Row],[Building]])-9)</f>
        <v>Fed Bldg &amp; Us Cthse</v>
      </c>
    </row>
    <row r="370" spans="1:8" ht="22.5" x14ac:dyDescent="0.25">
      <c r="A370" s="39" t="s">
        <v>585</v>
      </c>
      <c r="B370" s="29">
        <v>686230.86</v>
      </c>
      <c r="C370" s="29">
        <v>244169.17</v>
      </c>
      <c r="D370" s="29">
        <v>701754.18</v>
      </c>
      <c r="E370" s="30">
        <v>1632154.21</v>
      </c>
      <c r="F370" t="str">
        <f>LEFT(Table2[[#This Row],[Building]],2)</f>
        <v>IA</v>
      </c>
      <c r="G370" t="str">
        <f>LEFT(Table2[[#This Row],[Building]],8)</f>
        <v>IA0112ZZ</v>
      </c>
      <c r="H370" t="str">
        <f>RIGHT(Table2[[#This Row],[Building]],LEN(Table2[[#This Row],[Building]])-9)</f>
        <v>Neal Smith Federal B</v>
      </c>
    </row>
    <row r="371" spans="1:8" x14ac:dyDescent="0.25">
      <c r="A371" s="39" t="s">
        <v>586</v>
      </c>
      <c r="B371" s="31">
        <v>273246.02</v>
      </c>
      <c r="C371" s="31">
        <v>52884.59</v>
      </c>
      <c r="D371" s="31">
        <v>264598.12</v>
      </c>
      <c r="E371" s="30">
        <v>590728.73</v>
      </c>
      <c r="F371" t="str">
        <f>LEFT(Table2[[#This Row],[Building]],2)</f>
        <v>IA</v>
      </c>
      <c r="G371" t="str">
        <f>LEFT(Table2[[#This Row],[Building]],8)</f>
        <v>IA0119ZZ</v>
      </c>
      <c r="H371" t="str">
        <f>RIGHT(Table2[[#This Row],[Building]],LEN(Table2[[#This Row],[Building]])-9)</f>
        <v>Fed Bldg Uspo</v>
      </c>
    </row>
    <row r="372" spans="1:8" x14ac:dyDescent="0.25">
      <c r="A372" s="39" t="s">
        <v>587</v>
      </c>
      <c r="B372" s="29">
        <v>438356.95</v>
      </c>
      <c r="C372" s="29">
        <v>1237.0700000000199</v>
      </c>
      <c r="D372" s="29">
        <v>550097.27</v>
      </c>
      <c r="E372" s="30">
        <v>989691.29</v>
      </c>
      <c r="F372" t="str">
        <f>LEFT(Table2[[#This Row],[Building]],2)</f>
        <v>IA</v>
      </c>
      <c r="G372" t="str">
        <f>LEFT(Table2[[#This Row],[Building]],8)</f>
        <v>IA0121ZZ</v>
      </c>
      <c r="H372" t="str">
        <f>RIGHT(Table2[[#This Row],[Building]],LEN(Table2[[#This Row],[Building]])-9)</f>
        <v>Courthouse</v>
      </c>
    </row>
    <row r="373" spans="1:8" ht="22.5" x14ac:dyDescent="0.25">
      <c r="A373" s="39" t="s">
        <v>588</v>
      </c>
      <c r="B373" s="31">
        <v>432565.64</v>
      </c>
      <c r="C373" s="31">
        <v>181685.14</v>
      </c>
      <c r="D373" s="31">
        <v>370616.42</v>
      </c>
      <c r="E373" s="30">
        <v>984867.2</v>
      </c>
      <c r="F373" t="str">
        <f>LEFT(Table2[[#This Row],[Building]],2)</f>
        <v>ID</v>
      </c>
      <c r="G373" t="str">
        <f>LEFT(Table2[[#This Row],[Building]],8)</f>
        <v>ID0025ZZ</v>
      </c>
      <c r="H373" t="str">
        <f>RIGHT(Table2[[#This Row],[Building]],LEN(Table2[[#This Row],[Building]])-9)</f>
        <v>James A Mcclure Fed</v>
      </c>
    </row>
    <row r="374" spans="1:8" x14ac:dyDescent="0.25">
      <c r="A374" s="39" t="s">
        <v>589</v>
      </c>
      <c r="B374" s="29">
        <v>25430.89</v>
      </c>
      <c r="C374" s="29">
        <v>13815.99</v>
      </c>
      <c r="D374" s="29">
        <v>21177.32</v>
      </c>
      <c r="E374" s="30">
        <v>60424.2</v>
      </c>
      <c r="F374" t="str">
        <f>LEFT(Table2[[#This Row],[Building]],2)</f>
        <v>ID</v>
      </c>
      <c r="G374" t="str">
        <f>LEFT(Table2[[#This Row],[Building]],8)</f>
        <v>ID0027ZZ</v>
      </c>
      <c r="H374" t="str">
        <f>RIGHT(Table2[[#This Row],[Building]],LEN(Table2[[#This Row],[Building]])-9)</f>
        <v>Social Security</v>
      </c>
    </row>
    <row r="375" spans="1:8" ht="22.5" x14ac:dyDescent="0.25">
      <c r="A375" s="39" t="s">
        <v>590</v>
      </c>
      <c r="B375" s="34" t="s">
        <v>591</v>
      </c>
      <c r="C375" s="34" t="s">
        <v>592</v>
      </c>
      <c r="D375" s="31">
        <v>8403.58</v>
      </c>
      <c r="E375" s="33" t="s">
        <v>593</v>
      </c>
      <c r="F375" t="str">
        <f>LEFT(Table2[[#This Row],[Building]],2)</f>
        <v>ID</v>
      </c>
      <c r="G375" t="str">
        <f>LEFT(Table2[[#This Row],[Building]],8)</f>
        <v>ID0504EB</v>
      </c>
      <c r="H375" t="str">
        <f>RIGHT(Table2[[#This Row],[Building]],LEN(Table2[[#This Row],[Building]])-9)</f>
        <v>Eastport Land Port O</v>
      </c>
    </row>
    <row r="376" spans="1:8" x14ac:dyDescent="0.25">
      <c r="A376" s="39" t="s">
        <v>595</v>
      </c>
      <c r="B376" s="29">
        <v>37002.239999999998</v>
      </c>
      <c r="C376" s="29">
        <v>6959.69</v>
      </c>
      <c r="D376" s="29">
        <v>4987.78</v>
      </c>
      <c r="E376" s="30">
        <v>48949.71</v>
      </c>
      <c r="F376" t="str">
        <f>LEFT(Table2[[#This Row],[Building]],2)</f>
        <v>ID</v>
      </c>
      <c r="G376" t="str">
        <f>LEFT(Table2[[#This Row],[Building]],8)</f>
        <v>ID0560PB</v>
      </c>
      <c r="H376" t="str">
        <f>RIGHT(Table2[[#This Row],[Building]],LEN(Table2[[#This Row],[Building]])-9)</f>
        <v>Porthill Land Port O</v>
      </c>
    </row>
    <row r="377" spans="1:8" x14ac:dyDescent="0.25">
      <c r="A377" s="39" t="s">
        <v>596</v>
      </c>
      <c r="B377" s="31">
        <v>492872.41</v>
      </c>
      <c r="C377" s="31">
        <v>183653.97</v>
      </c>
      <c r="D377" s="31">
        <v>687027.17</v>
      </c>
      <c r="E377" s="30">
        <v>1363553.55</v>
      </c>
      <c r="F377" t="str">
        <f>LEFT(Table2[[#This Row],[Building]],2)</f>
        <v>IL</v>
      </c>
      <c r="G377" t="str">
        <f>LEFT(Table2[[#This Row],[Building]],8)</f>
        <v>IL0032ZZ</v>
      </c>
      <c r="H377" t="str">
        <f>RIGHT(Table2[[#This Row],[Building]],LEN(Table2[[#This Row],[Building]])-9)</f>
        <v>Customhouse</v>
      </c>
    </row>
    <row r="378" spans="1:8" x14ac:dyDescent="0.25">
      <c r="A378" s="39" t="s">
        <v>597</v>
      </c>
      <c r="B378" s="29">
        <v>1056354.8899999999</v>
      </c>
      <c r="C378" s="29">
        <v>391428.48</v>
      </c>
      <c r="D378" s="29">
        <v>773895.52</v>
      </c>
      <c r="E378" s="30">
        <v>2221678.89</v>
      </c>
      <c r="F378" t="str">
        <f>LEFT(Table2[[#This Row],[Building]],2)</f>
        <v>IL</v>
      </c>
      <c r="G378" t="str">
        <f>LEFT(Table2[[#This Row],[Building]],8)</f>
        <v>IL0054ZZ</v>
      </c>
      <c r="H378" t="str">
        <f>RIGHT(Table2[[#This Row],[Building]],LEN(Table2[[#This Row],[Building]])-9)</f>
        <v>Federal Building</v>
      </c>
    </row>
    <row r="379" spans="1:8" x14ac:dyDescent="0.25">
      <c r="A379" s="39" t="s">
        <v>598</v>
      </c>
      <c r="B379" s="31">
        <v>72082.47</v>
      </c>
      <c r="C379" s="31">
        <v>40374.11</v>
      </c>
      <c r="D379" s="31">
        <v>42318.63</v>
      </c>
      <c r="E379" s="30">
        <v>154775.21</v>
      </c>
      <c r="F379" t="str">
        <f>LEFT(Table2[[#This Row],[Building]],2)</f>
        <v>IL</v>
      </c>
      <c r="G379" t="str">
        <f>LEFT(Table2[[#This Row],[Building]],8)</f>
        <v>IL0059ZZ</v>
      </c>
      <c r="H379" t="str">
        <f>RIGHT(Table2[[#This Row],[Building]],LEN(Table2[[#This Row],[Building]])-9)</f>
        <v>Fed'L Bldg/Us Cthse</v>
      </c>
    </row>
    <row r="380" spans="1:8" x14ac:dyDescent="0.25">
      <c r="A380" s="39" t="s">
        <v>599</v>
      </c>
      <c r="B380" s="29">
        <v>133718.70000000001</v>
      </c>
      <c r="C380" s="29">
        <v>53347.58</v>
      </c>
      <c r="D380" s="29">
        <v>86364.54</v>
      </c>
      <c r="E380" s="30">
        <v>273430.82</v>
      </c>
      <c r="F380" t="str">
        <f>LEFT(Table2[[#This Row],[Building]],2)</f>
        <v>IL</v>
      </c>
      <c r="G380" t="str">
        <f>LEFT(Table2[[#This Row],[Building]],8)</f>
        <v>IL0069ES</v>
      </c>
      <c r="H380" t="str">
        <f>RIGHT(Table2[[#This Row],[Building]],LEN(Table2[[#This Row],[Building]])-9)</f>
        <v>Melvin Price Federal</v>
      </c>
    </row>
    <row r="381" spans="1:8" x14ac:dyDescent="0.25">
      <c r="A381" s="39" t="s">
        <v>600</v>
      </c>
      <c r="B381" s="31">
        <v>182529.49</v>
      </c>
      <c r="C381" s="31">
        <v>76073.070000000007</v>
      </c>
      <c r="D381" s="31">
        <v>235665.4</v>
      </c>
      <c r="E381" s="30">
        <v>494267.96</v>
      </c>
      <c r="F381" t="str">
        <f>LEFT(Table2[[#This Row],[Building]],2)</f>
        <v>IL</v>
      </c>
      <c r="G381" t="str">
        <f>LEFT(Table2[[#This Row],[Building]],8)</f>
        <v>IL0154ZZ</v>
      </c>
      <c r="H381" t="str">
        <f>RIGHT(Table2[[#This Row],[Building]],LEN(Table2[[#This Row],[Building]])-9)</f>
        <v>Fed Bldg &amp; Us Cthse</v>
      </c>
    </row>
    <row r="382" spans="1:8" x14ac:dyDescent="0.25">
      <c r="A382" s="39" t="s">
        <v>601</v>
      </c>
      <c r="B382" s="29">
        <v>295160.7</v>
      </c>
      <c r="C382" s="29">
        <v>156521.06</v>
      </c>
      <c r="D382" s="29">
        <v>287414.37</v>
      </c>
      <c r="E382" s="30">
        <v>739096.13</v>
      </c>
      <c r="F382" t="str">
        <f>LEFT(Table2[[#This Row],[Building]],2)</f>
        <v>IL</v>
      </c>
      <c r="G382" t="str">
        <f>LEFT(Table2[[#This Row],[Building]],8)</f>
        <v>IL0173ZZ</v>
      </c>
      <c r="H382" t="str">
        <f>RIGHT(Table2[[#This Row],[Building]],LEN(Table2[[#This Row],[Building]])-9)</f>
        <v>Paul Findley Buildin</v>
      </c>
    </row>
    <row r="383" spans="1:8" ht="22.5" x14ac:dyDescent="0.25">
      <c r="A383" s="39" t="s">
        <v>602</v>
      </c>
      <c r="B383" s="31">
        <v>66664.009999999995</v>
      </c>
      <c r="C383" s="31">
        <v>27769.84</v>
      </c>
      <c r="D383" s="31">
        <v>51146.95</v>
      </c>
      <c r="E383" s="30">
        <v>145580.79999999999</v>
      </c>
      <c r="F383" t="str">
        <f>LEFT(Table2[[#This Row],[Building]],2)</f>
        <v>IL</v>
      </c>
      <c r="G383" t="str">
        <f>LEFT(Table2[[#This Row],[Building]],8)</f>
        <v>IL0200ZZ</v>
      </c>
      <c r="H383" t="str">
        <f>RIGHT(Table2[[#This Row],[Building]],LEN(Table2[[#This Row],[Building]])-9)</f>
        <v>Fed Bldg-Po-Us Cthse</v>
      </c>
    </row>
    <row r="384" spans="1:8" x14ac:dyDescent="0.25">
      <c r="A384" s="39" t="s">
        <v>603</v>
      </c>
      <c r="B384" s="29">
        <v>2386175.12</v>
      </c>
      <c r="C384" s="29">
        <v>2049471.43</v>
      </c>
      <c r="D384" s="29">
        <v>2727313.74</v>
      </c>
      <c r="E384" s="30">
        <v>7162960.29</v>
      </c>
      <c r="F384" t="str">
        <f>LEFT(Table2[[#This Row],[Building]],2)</f>
        <v>IL</v>
      </c>
      <c r="G384" t="str">
        <f>LEFT(Table2[[#This Row],[Building]],8)</f>
        <v>IL0205ZZ</v>
      </c>
      <c r="H384" t="str">
        <f>RIGHT(Table2[[#This Row],[Building]],LEN(Table2[[#This Row],[Building]])-9)</f>
        <v>Everett M. Dirksen</v>
      </c>
    </row>
    <row r="385" spans="1:8" x14ac:dyDescent="0.25">
      <c r="A385" s="39" t="s">
        <v>604</v>
      </c>
      <c r="B385" s="31">
        <v>69463.929999999993</v>
      </c>
      <c r="C385" s="31">
        <v>26941.73</v>
      </c>
      <c r="D385" s="31">
        <v>44510.65</v>
      </c>
      <c r="E385" s="30">
        <v>140916.31</v>
      </c>
      <c r="F385" t="str">
        <f>LEFT(Table2[[#This Row],[Building]],2)</f>
        <v>IL</v>
      </c>
      <c r="G385" t="str">
        <f>LEFT(Table2[[#This Row],[Building]],8)</f>
        <v>IL0206ZZ</v>
      </c>
      <c r="H385" t="str">
        <f>RIGHT(Table2[[#This Row],[Building]],LEN(Table2[[#This Row],[Building]])-9)</f>
        <v>William L. Beatty Fb</v>
      </c>
    </row>
    <row r="386" spans="1:8" ht="22.5" x14ac:dyDescent="0.25">
      <c r="A386" s="39" t="s">
        <v>605</v>
      </c>
      <c r="B386" s="29">
        <v>195481.02</v>
      </c>
      <c r="C386" s="29">
        <v>86455.4</v>
      </c>
      <c r="D386" s="29">
        <v>261385.3</v>
      </c>
      <c r="E386" s="30">
        <v>543321.72</v>
      </c>
      <c r="F386" t="str">
        <f>LEFT(Table2[[#This Row],[Building]],2)</f>
        <v>IL</v>
      </c>
      <c r="G386" t="str">
        <f>LEFT(Table2[[#This Row],[Building]],8)</f>
        <v>IL0209CF</v>
      </c>
      <c r="H386" t="str">
        <f>RIGHT(Table2[[#This Row],[Building]],LEN(Table2[[#This Row],[Building]])-9)</f>
        <v>Federal Archives Rec</v>
      </c>
    </row>
    <row r="387" spans="1:8" x14ac:dyDescent="0.25">
      <c r="A387" s="39" t="s">
        <v>606</v>
      </c>
      <c r="B387" s="31">
        <v>32710</v>
      </c>
      <c r="C387" s="31">
        <v>5773.02</v>
      </c>
      <c r="D387" s="31">
        <v>16014.82</v>
      </c>
      <c r="E387" s="30">
        <v>54497.84</v>
      </c>
      <c r="F387" t="str">
        <f>LEFT(Table2[[#This Row],[Building]],2)</f>
        <v>IL</v>
      </c>
      <c r="G387" t="str">
        <f>LEFT(Table2[[#This Row],[Building]],8)</f>
        <v>IL0214ZZ</v>
      </c>
      <c r="H387" t="str">
        <f>RIGHT(Table2[[#This Row],[Building]],LEN(Table2[[#This Row],[Building]])-9)</f>
        <v>Ssa Dist Off Bldg</v>
      </c>
    </row>
    <row r="388" spans="1:8" x14ac:dyDescent="0.25">
      <c r="A388" s="39" t="s">
        <v>607</v>
      </c>
      <c r="B388" s="29">
        <v>72956.66</v>
      </c>
      <c r="C388" s="29">
        <v>39744.93</v>
      </c>
      <c r="D388" s="29">
        <v>49387.49</v>
      </c>
      <c r="E388" s="30">
        <v>162089.07999999999</v>
      </c>
      <c r="F388" t="str">
        <f>LEFT(Table2[[#This Row],[Building]],2)</f>
        <v>IL</v>
      </c>
      <c r="G388" t="str">
        <f>LEFT(Table2[[#This Row],[Building]],8)</f>
        <v>IL0220ZZ</v>
      </c>
      <c r="H388" t="str">
        <f>RIGHT(Table2[[#This Row],[Building]],LEN(Table2[[#This Row],[Building]])-9)</f>
        <v>Federal Building</v>
      </c>
    </row>
    <row r="389" spans="1:8" x14ac:dyDescent="0.25">
      <c r="A389" s="39" t="s">
        <v>608</v>
      </c>
      <c r="B389" s="31">
        <v>59973.25</v>
      </c>
      <c r="C389" s="31">
        <v>16527.490000000002</v>
      </c>
      <c r="D389" s="31">
        <v>26748.44</v>
      </c>
      <c r="E389" s="30">
        <v>103249.18</v>
      </c>
      <c r="F389" t="str">
        <f>LEFT(Table2[[#This Row],[Building]],2)</f>
        <v>IL</v>
      </c>
      <c r="G389" t="str">
        <f>LEFT(Table2[[#This Row],[Building]],8)</f>
        <v>IL0222ZZ</v>
      </c>
      <c r="H389" t="str">
        <f>RIGHT(Table2[[#This Row],[Building]],LEN(Table2[[#This Row],[Building]])-9)</f>
        <v>Federal Building</v>
      </c>
    </row>
    <row r="390" spans="1:8" x14ac:dyDescent="0.25">
      <c r="A390" s="39" t="s">
        <v>609</v>
      </c>
      <c r="B390" s="29">
        <v>252239.19</v>
      </c>
      <c r="C390" s="29">
        <v>23914.22</v>
      </c>
      <c r="D390" s="29">
        <v>119037.56</v>
      </c>
      <c r="E390" s="30">
        <v>395190.97</v>
      </c>
      <c r="F390" t="str">
        <f>LEFT(Table2[[#This Row],[Building]],2)</f>
        <v>IL</v>
      </c>
      <c r="G390" t="str">
        <f>LEFT(Table2[[#This Row],[Building]],8)</f>
        <v>IL0231ZZ</v>
      </c>
      <c r="H390" t="str">
        <f>RIGHT(Table2[[#This Row],[Building]],LEN(Table2[[#This Row],[Building]])-9)</f>
        <v>Fed Parking Facility</v>
      </c>
    </row>
    <row r="391" spans="1:8" x14ac:dyDescent="0.25">
      <c r="A391" s="39" t="s">
        <v>610</v>
      </c>
      <c r="B391" s="31">
        <v>122197.84</v>
      </c>
      <c r="C391" s="31">
        <v>417660.37</v>
      </c>
      <c r="D391" s="31">
        <v>62650.84</v>
      </c>
      <c r="E391" s="30">
        <v>602509.05000000005</v>
      </c>
      <c r="F391" t="str">
        <f>LEFT(Table2[[#This Row],[Building]],2)</f>
        <v>IL</v>
      </c>
      <c r="G391" t="str">
        <f>LEFT(Table2[[#This Row],[Building]],8)</f>
        <v>IL0235FC</v>
      </c>
      <c r="H391" t="str">
        <f>RIGHT(Table2[[#This Row],[Building]],LEN(Table2[[#This Row],[Building]])-9)</f>
        <v>Uspo Loop Station</v>
      </c>
    </row>
    <row r="392" spans="1:8" x14ac:dyDescent="0.25">
      <c r="A392" s="39" t="s">
        <v>611</v>
      </c>
      <c r="B392" s="29">
        <v>2064222.09</v>
      </c>
      <c r="C392" s="29">
        <v>1753826.64</v>
      </c>
      <c r="D392" s="29">
        <v>2423231.94</v>
      </c>
      <c r="E392" s="30">
        <v>6241280.6699999999</v>
      </c>
      <c r="F392" t="str">
        <f>LEFT(Table2[[#This Row],[Building]],2)</f>
        <v>IL</v>
      </c>
      <c r="G392" t="str">
        <f>LEFT(Table2[[#This Row],[Building]],8)</f>
        <v>IL0236FC</v>
      </c>
      <c r="H392" t="str">
        <f>RIGHT(Table2[[#This Row],[Building]],LEN(Table2[[#This Row],[Building]])-9)</f>
        <v>John C. Kluczynski F</v>
      </c>
    </row>
    <row r="393" spans="1:8" ht="22.5" x14ac:dyDescent="0.25">
      <c r="A393" s="39" t="s">
        <v>612</v>
      </c>
      <c r="B393" s="31">
        <v>78386.64</v>
      </c>
      <c r="C393" s="31">
        <v>12213.37</v>
      </c>
      <c r="D393" s="31">
        <v>51520.34</v>
      </c>
      <c r="E393" s="30">
        <v>142120.35</v>
      </c>
      <c r="F393" t="str">
        <f>LEFT(Table2[[#This Row],[Building]],2)</f>
        <v>IL</v>
      </c>
      <c r="G393" t="str">
        <f>LEFT(Table2[[#This Row],[Building]],8)</f>
        <v>IL0240ZZ</v>
      </c>
      <c r="H393" t="str">
        <f>RIGHT(Table2[[#This Row],[Building]],LEN(Table2[[#This Row],[Building]])-9)</f>
        <v>Senator Paul Simon F</v>
      </c>
    </row>
    <row r="394" spans="1:8" x14ac:dyDescent="0.25">
      <c r="A394" s="39" t="s">
        <v>613</v>
      </c>
      <c r="B394" s="29">
        <v>8700.7099999999991</v>
      </c>
      <c r="C394" s="29">
        <v>3792.33</v>
      </c>
      <c r="D394" s="29">
        <v>8150.97</v>
      </c>
      <c r="E394" s="30">
        <v>20644.009999999998</v>
      </c>
      <c r="F394" t="str">
        <f>LEFT(Table2[[#This Row],[Building]],2)</f>
        <v>IL</v>
      </c>
      <c r="G394" t="str">
        <f>LEFT(Table2[[#This Row],[Building]],8)</f>
        <v>IL0300ZZ</v>
      </c>
      <c r="H394" t="str">
        <f>RIGHT(Table2[[#This Row],[Building]],LEN(Table2[[#This Row],[Building]])-9)</f>
        <v>Gsa Interag Mtr Pool</v>
      </c>
    </row>
    <row r="395" spans="1:8" x14ac:dyDescent="0.25">
      <c r="A395" s="39" t="s">
        <v>614</v>
      </c>
      <c r="B395" s="31">
        <v>149776.71</v>
      </c>
      <c r="C395" s="31">
        <v>51176.67</v>
      </c>
      <c r="D395" s="31">
        <v>98853.67</v>
      </c>
      <c r="E395" s="30">
        <v>299807.05</v>
      </c>
      <c r="F395" t="str">
        <f>LEFT(Table2[[#This Row],[Building]],2)</f>
        <v>IL</v>
      </c>
      <c r="G395" t="str">
        <f>LEFT(Table2[[#This Row],[Building]],8)</f>
        <v>IL0301ES</v>
      </c>
      <c r="H395" t="str">
        <f>RIGHT(Table2[[#This Row],[Building]],LEN(Table2[[#This Row],[Building]])-9)</f>
        <v>Melvin Price Fed. Bl</v>
      </c>
    </row>
    <row r="396" spans="1:8" x14ac:dyDescent="0.25">
      <c r="A396" s="39" t="s">
        <v>615</v>
      </c>
      <c r="B396" s="29">
        <v>151159.93</v>
      </c>
      <c r="C396" s="29">
        <v>65087.43</v>
      </c>
      <c r="D396" s="29">
        <v>97455.1</v>
      </c>
      <c r="E396" s="30">
        <v>313702.46000000002</v>
      </c>
      <c r="F396" t="str">
        <f>LEFT(Table2[[#This Row],[Building]],2)</f>
        <v>IL</v>
      </c>
      <c r="G396" t="str">
        <f>LEFT(Table2[[#This Row],[Building]],8)</f>
        <v>IL0302ZZ</v>
      </c>
      <c r="H396" t="str">
        <f>RIGHT(Table2[[#This Row],[Building]],LEN(Table2[[#This Row],[Building]])-9)</f>
        <v>U.S. Courthouse</v>
      </c>
    </row>
    <row r="397" spans="1:8" x14ac:dyDescent="0.25">
      <c r="A397" s="39" t="s">
        <v>616</v>
      </c>
      <c r="B397" s="31">
        <v>1321154.74</v>
      </c>
      <c r="C397" s="31">
        <v>781272.02</v>
      </c>
      <c r="D397" s="31">
        <v>1390169.84</v>
      </c>
      <c r="E397" s="30">
        <v>3492596.6</v>
      </c>
      <c r="F397" t="str">
        <f>LEFT(Table2[[#This Row],[Building]],2)</f>
        <v>IL</v>
      </c>
      <c r="G397" t="str">
        <f>LEFT(Table2[[#This Row],[Building]],8)</f>
        <v>IL0303ZZ</v>
      </c>
      <c r="H397" t="str">
        <f>RIGHT(Table2[[#This Row],[Building]],LEN(Table2[[#This Row],[Building]])-9)</f>
        <v>Metcalfe Building</v>
      </c>
    </row>
    <row r="398" spans="1:8" x14ac:dyDescent="0.25">
      <c r="A398" s="39" t="s">
        <v>617</v>
      </c>
      <c r="B398" s="29">
        <v>653857.31999999995</v>
      </c>
      <c r="C398" s="29">
        <v>240008.24</v>
      </c>
      <c r="D398" s="29">
        <v>585590.85</v>
      </c>
      <c r="E398" s="30">
        <v>1479456.41</v>
      </c>
      <c r="F398" t="str">
        <f>LEFT(Table2[[#This Row],[Building]],2)</f>
        <v>IL</v>
      </c>
      <c r="G398" t="str">
        <f>LEFT(Table2[[#This Row],[Building]],8)</f>
        <v>IL0311ZZ</v>
      </c>
      <c r="H398" t="str">
        <f>RIGHT(Table2[[#This Row],[Building]],LEN(Table2[[#This Row],[Building]])-9)</f>
        <v>Stanley J. Roszkowsk</v>
      </c>
    </row>
    <row r="399" spans="1:8" x14ac:dyDescent="0.25">
      <c r="A399" s="39" t="s">
        <v>620</v>
      </c>
      <c r="B399" s="31">
        <v>7024.8</v>
      </c>
      <c r="C399" s="31">
        <v>158877.20000000001</v>
      </c>
      <c r="D399" s="31">
        <v>72881.759999999995</v>
      </c>
      <c r="E399" s="30">
        <v>238783.76</v>
      </c>
      <c r="F399" t="str">
        <f>LEFT(Table2[[#This Row],[Building]],2)</f>
        <v>IL</v>
      </c>
      <c r="G399" t="str">
        <f>LEFT(Table2[[#This Row],[Building]],8)</f>
        <v>IL0315ZZ</v>
      </c>
      <c r="H399" t="str">
        <f>RIGHT(Table2[[#This Row],[Building]],LEN(Table2[[#This Row],[Building]])-9)</f>
        <v>220 S. State St.</v>
      </c>
    </row>
    <row r="400" spans="1:8" x14ac:dyDescent="0.25">
      <c r="A400" s="39" t="s">
        <v>622</v>
      </c>
      <c r="B400" s="29">
        <v>13207.01</v>
      </c>
      <c r="C400" s="29">
        <v>32026.65</v>
      </c>
      <c r="D400" s="29">
        <v>3381.64</v>
      </c>
      <c r="E400" s="30">
        <v>48615.3</v>
      </c>
      <c r="F400" t="str">
        <f>LEFT(Table2[[#This Row],[Building]],2)</f>
        <v>IL</v>
      </c>
      <c r="G400" t="str">
        <f>LEFT(Table2[[#This Row],[Building]],8)</f>
        <v>IL0317ZZ</v>
      </c>
      <c r="H400" t="str">
        <f>RIGHT(Table2[[#This Row],[Building]],LEN(Table2[[#This Row],[Building]])-9)</f>
        <v>18 W. Jackson</v>
      </c>
    </row>
    <row r="401" spans="1:8" x14ac:dyDescent="0.25">
      <c r="A401" s="39" t="s">
        <v>623</v>
      </c>
      <c r="B401" s="31">
        <v>751.11</v>
      </c>
      <c r="C401" s="31">
        <v>2514.16</v>
      </c>
      <c r="D401" s="31">
        <v>1887.88</v>
      </c>
      <c r="E401" s="30">
        <v>5153.1499999999996</v>
      </c>
      <c r="F401" t="str">
        <f>LEFT(Table2[[#This Row],[Building]],2)</f>
        <v>IL</v>
      </c>
      <c r="G401" t="str">
        <f>LEFT(Table2[[#This Row],[Building]],8)</f>
        <v>IL0318ZZ</v>
      </c>
      <c r="H401" t="str">
        <f>RIGHT(Table2[[#This Row],[Building]],LEN(Table2[[#This Row],[Building]])-9)</f>
        <v>202 S. State Street</v>
      </c>
    </row>
    <row r="402" spans="1:8" x14ac:dyDescent="0.25">
      <c r="A402" s="39" t="s">
        <v>624</v>
      </c>
      <c r="B402" s="29">
        <v>216796.15</v>
      </c>
      <c r="C402" s="29">
        <v>93775.25</v>
      </c>
      <c r="D402" s="29">
        <v>420190.55</v>
      </c>
      <c r="E402" s="30">
        <v>730761.95</v>
      </c>
      <c r="F402" t="str">
        <f>LEFT(Table2[[#This Row],[Building]],2)</f>
        <v>IL</v>
      </c>
      <c r="G402" t="str">
        <f>LEFT(Table2[[#This Row],[Building]],8)</f>
        <v>IL2125ZZ</v>
      </c>
      <c r="H402" t="str">
        <f>RIGHT(Table2[[#This Row],[Building]],LEN(Table2[[#This Row],[Building]])-9)</f>
        <v>11 W Quincy Court</v>
      </c>
    </row>
    <row r="403" spans="1:8" x14ac:dyDescent="0.25">
      <c r="A403" s="39" t="s">
        <v>625</v>
      </c>
      <c r="B403" s="31">
        <v>213756.1</v>
      </c>
      <c r="C403" s="31">
        <v>91234.99</v>
      </c>
      <c r="D403" s="31">
        <v>162341.93</v>
      </c>
      <c r="E403" s="30">
        <v>467333.02</v>
      </c>
      <c r="F403" t="str">
        <f>LEFT(Table2[[#This Row],[Building]],2)</f>
        <v>IN</v>
      </c>
      <c r="G403" t="str">
        <f>LEFT(Table2[[#This Row],[Building]],8)</f>
        <v>IN0031ZZ</v>
      </c>
      <c r="H403" t="str">
        <f>RIGHT(Table2[[#This Row],[Building]],LEN(Table2[[#This Row],[Building]])-9)</f>
        <v>E. Ross Adair Federa</v>
      </c>
    </row>
    <row r="404" spans="1:8" x14ac:dyDescent="0.25">
      <c r="A404" s="39" t="s">
        <v>626</v>
      </c>
      <c r="B404" s="29">
        <v>902257.84</v>
      </c>
      <c r="C404" s="29">
        <v>475392.56</v>
      </c>
      <c r="D404" s="29">
        <v>473170.89</v>
      </c>
      <c r="E404" s="30">
        <v>1850821.29</v>
      </c>
      <c r="F404" t="str">
        <f>LEFT(Table2[[#This Row],[Building]],2)</f>
        <v>IN</v>
      </c>
      <c r="G404" t="str">
        <f>LEFT(Table2[[#This Row],[Building]],8)</f>
        <v>IN0048ZZ</v>
      </c>
      <c r="H404" t="str">
        <f>RIGHT(Table2[[#This Row],[Building]],LEN(Table2[[#This Row],[Building]])-9)</f>
        <v>Birch Bayh Fed Bldg</v>
      </c>
    </row>
    <row r="405" spans="1:8" x14ac:dyDescent="0.25">
      <c r="A405" s="39" t="s">
        <v>627</v>
      </c>
      <c r="B405" s="31">
        <v>76631.5</v>
      </c>
      <c r="C405" s="31">
        <v>48459.65</v>
      </c>
      <c r="D405" s="31">
        <v>97471.6</v>
      </c>
      <c r="E405" s="30">
        <v>222562.75</v>
      </c>
      <c r="F405" t="str">
        <f>LEFT(Table2[[#This Row],[Building]],2)</f>
        <v>IN</v>
      </c>
      <c r="G405" t="str">
        <f>LEFT(Table2[[#This Row],[Building]],8)</f>
        <v>IN0057ZZ</v>
      </c>
      <c r="H405" t="str">
        <f>RIGHT(Table2[[#This Row],[Building]],LEN(Table2[[#This Row],[Building]])-9)</f>
        <v>Charles A Halleck Fe</v>
      </c>
    </row>
    <row r="406" spans="1:8" ht="22.5" x14ac:dyDescent="0.25">
      <c r="A406" s="39" t="s">
        <v>628</v>
      </c>
      <c r="B406" s="29">
        <v>174990.97</v>
      </c>
      <c r="C406" s="29">
        <v>93998.77</v>
      </c>
      <c r="D406" s="29">
        <v>177879.67999999999</v>
      </c>
      <c r="E406" s="30">
        <v>446869.42</v>
      </c>
      <c r="F406" t="str">
        <f>LEFT(Table2[[#This Row],[Building]],2)</f>
        <v>IN</v>
      </c>
      <c r="G406" t="str">
        <f>LEFT(Table2[[#This Row],[Building]],8)</f>
        <v>IN0096ZZ</v>
      </c>
      <c r="H406" t="str">
        <f>RIGHT(Table2[[#This Row],[Building]],LEN(Table2[[#This Row],[Building]])-9)</f>
        <v>Robert Grant Federal</v>
      </c>
    </row>
    <row r="407" spans="1:8" x14ac:dyDescent="0.25">
      <c r="A407" s="39" t="s">
        <v>629</v>
      </c>
      <c r="B407" s="31">
        <v>101835.85</v>
      </c>
      <c r="C407" s="31">
        <v>42197.49</v>
      </c>
      <c r="D407" s="31">
        <v>115217.05</v>
      </c>
      <c r="E407" s="30">
        <v>259250.39</v>
      </c>
      <c r="F407" t="str">
        <f>LEFT(Table2[[#This Row],[Building]],2)</f>
        <v>IN</v>
      </c>
      <c r="G407" t="str">
        <f>LEFT(Table2[[#This Row],[Building]],8)</f>
        <v>IN0126ZZ</v>
      </c>
      <c r="H407" t="str">
        <f>RIGHT(Table2[[#This Row],[Building]],LEN(Table2[[#This Row],[Building]])-9)</f>
        <v>Lee H Hamilton F.B.</v>
      </c>
    </row>
    <row r="408" spans="1:8" ht="22.5" x14ac:dyDescent="0.25">
      <c r="A408" s="39" t="s">
        <v>630</v>
      </c>
      <c r="B408" s="29">
        <v>934285.66</v>
      </c>
      <c r="C408" s="29">
        <v>453075.05</v>
      </c>
      <c r="D408" s="29">
        <v>732524.63</v>
      </c>
      <c r="E408" s="30">
        <v>2119885.34</v>
      </c>
      <c r="F408" t="str">
        <f>LEFT(Table2[[#This Row],[Building]],2)</f>
        <v>IN</v>
      </c>
      <c r="G408" t="str">
        <f>LEFT(Table2[[#This Row],[Building]],8)</f>
        <v>IN0133ZZ</v>
      </c>
      <c r="H408" t="str">
        <f>RIGHT(Table2[[#This Row],[Building]],LEN(Table2[[#This Row],[Building]])-9)</f>
        <v>Minton-Capehart F/B</v>
      </c>
    </row>
    <row r="409" spans="1:8" x14ac:dyDescent="0.25">
      <c r="A409" s="39" t="s">
        <v>631</v>
      </c>
      <c r="B409" s="31">
        <v>679037.42</v>
      </c>
      <c r="C409" s="31">
        <v>331611.90999999997</v>
      </c>
      <c r="D409" s="31">
        <v>522135.06</v>
      </c>
      <c r="E409" s="30">
        <v>1532784.39</v>
      </c>
      <c r="F409" t="str">
        <f>LEFT(Table2[[#This Row],[Building]],2)</f>
        <v>IN</v>
      </c>
      <c r="G409" t="str">
        <f>LEFT(Table2[[#This Row],[Building]],8)</f>
        <v>IN0300ZZ</v>
      </c>
      <c r="H409" t="str">
        <f>RIGHT(Table2[[#This Row],[Building]],LEN(Table2[[#This Row],[Building]])-9)</f>
        <v>U.S. Courthouse</v>
      </c>
    </row>
    <row r="410" spans="1:8" ht="22.5" x14ac:dyDescent="0.25">
      <c r="A410" s="39" t="s">
        <v>633</v>
      </c>
      <c r="B410" s="31">
        <v>3241698.38</v>
      </c>
      <c r="C410" s="31">
        <v>988039.06</v>
      </c>
      <c r="D410" s="31">
        <v>1073242.3799999999</v>
      </c>
      <c r="E410" s="30">
        <v>5302979.82</v>
      </c>
      <c r="F410" t="str">
        <f>LEFT(Table2[[#This Row],[Building]],2)</f>
        <v>IN</v>
      </c>
      <c r="G410" t="str">
        <f>LEFT(Table2[[#This Row],[Building]],8)</f>
        <v>IN1703ZZ</v>
      </c>
      <c r="H410" t="str">
        <f>RIGHT(Table2[[#This Row],[Building]],LEN(Table2[[#This Row],[Building]])-9)</f>
        <v>Major General Emmett</v>
      </c>
    </row>
    <row r="411" spans="1:8" x14ac:dyDescent="0.25">
      <c r="A411" s="39" t="s">
        <v>634</v>
      </c>
      <c r="B411" s="29">
        <v>271450.73</v>
      </c>
      <c r="C411" s="29">
        <v>192952.99</v>
      </c>
      <c r="D411" s="29">
        <v>310106.89</v>
      </c>
      <c r="E411" s="30">
        <v>774510.61</v>
      </c>
      <c r="F411" t="str">
        <f>LEFT(Table2[[#This Row],[Building]],2)</f>
        <v>KS</v>
      </c>
      <c r="G411" t="str">
        <f>LEFT(Table2[[#This Row],[Building]],8)</f>
        <v>KS0070ZZ</v>
      </c>
      <c r="H411" t="str">
        <f>RIGHT(Table2[[#This Row],[Building]],LEN(Table2[[#This Row],[Building]])-9)</f>
        <v>U S Court House</v>
      </c>
    </row>
    <row r="412" spans="1:8" x14ac:dyDescent="0.25">
      <c r="A412" s="39" t="s">
        <v>635</v>
      </c>
      <c r="B412" s="31">
        <v>34043.33</v>
      </c>
      <c r="C412" s="31">
        <v>31361.360000000001</v>
      </c>
      <c r="D412" s="31">
        <v>22508.05</v>
      </c>
      <c r="E412" s="30">
        <v>87912.74</v>
      </c>
      <c r="F412" t="str">
        <f>LEFT(Table2[[#This Row],[Building]],2)</f>
        <v>KS</v>
      </c>
      <c r="G412" t="str">
        <f>LEFT(Table2[[#This Row],[Building]],8)</f>
        <v>KS0085ZZ</v>
      </c>
      <c r="H412" t="str">
        <f>RIGHT(Table2[[#This Row],[Building]],LEN(Table2[[#This Row],[Building]])-9)</f>
        <v>Social Security Adm</v>
      </c>
    </row>
    <row r="413" spans="1:8" x14ac:dyDescent="0.25">
      <c r="A413" s="39" t="s">
        <v>636</v>
      </c>
      <c r="B413" s="29">
        <v>4963.9799999999996</v>
      </c>
      <c r="C413" s="29">
        <v>3717.28</v>
      </c>
      <c r="D413" s="29">
        <v>13495.23</v>
      </c>
      <c r="E413" s="30">
        <v>22176.49</v>
      </c>
      <c r="F413" t="str">
        <f>LEFT(Table2[[#This Row],[Building]],2)</f>
        <v>KS</v>
      </c>
      <c r="G413" t="str">
        <f>LEFT(Table2[[#This Row],[Building]],8)</f>
        <v>KS0086ZZ</v>
      </c>
      <c r="H413" t="str">
        <f>RIGHT(Table2[[#This Row],[Building]],LEN(Table2[[#This Row],[Building]])-9)</f>
        <v>Social Security Adm</v>
      </c>
    </row>
    <row r="414" spans="1:8" ht="22.5" x14ac:dyDescent="0.25">
      <c r="A414" s="39" t="s">
        <v>637</v>
      </c>
      <c r="B414" s="31">
        <v>350738.22</v>
      </c>
      <c r="C414" s="31">
        <v>301217.2</v>
      </c>
      <c r="D414" s="31">
        <v>329297.55</v>
      </c>
      <c r="E414" s="30">
        <v>981252.97</v>
      </c>
      <c r="F414" t="str">
        <f>LEFT(Table2[[#This Row],[Building]],2)</f>
        <v>KS</v>
      </c>
      <c r="G414" t="str">
        <f>LEFT(Table2[[#This Row],[Building]],8)</f>
        <v>KS0092ZZ</v>
      </c>
      <c r="H414" t="str">
        <f>RIGHT(Table2[[#This Row],[Building]],LEN(Table2[[#This Row],[Building]])-9)</f>
        <v>Frank Carlson Fb&amp;Ct</v>
      </c>
    </row>
    <row r="415" spans="1:8" x14ac:dyDescent="0.25">
      <c r="A415" s="39" t="s">
        <v>638</v>
      </c>
      <c r="B415" s="29">
        <v>428377.96</v>
      </c>
      <c r="C415" s="29">
        <v>489650.22</v>
      </c>
      <c r="D415" s="29">
        <v>481667.08</v>
      </c>
      <c r="E415" s="30">
        <v>1399695.26</v>
      </c>
      <c r="F415" t="str">
        <f>LEFT(Table2[[#This Row],[Building]],2)</f>
        <v>KS</v>
      </c>
      <c r="G415" t="str">
        <f>LEFT(Table2[[#This Row],[Building]],8)</f>
        <v>KS0094ZZ</v>
      </c>
      <c r="H415" t="str">
        <f>RIGHT(Table2[[#This Row],[Building]],LEN(Table2[[#This Row],[Building]])-9)</f>
        <v>Robert J. Dole Us Ct</v>
      </c>
    </row>
    <row r="416" spans="1:8" ht="22.5" x14ac:dyDescent="0.25">
      <c r="A416" s="39" t="s">
        <v>639</v>
      </c>
      <c r="B416" s="31">
        <v>56210.02</v>
      </c>
      <c r="C416" s="31">
        <v>43021.5</v>
      </c>
      <c r="D416" s="31">
        <v>95693.43</v>
      </c>
      <c r="E416" s="30">
        <v>194924.95</v>
      </c>
      <c r="F416" t="str">
        <f>LEFT(Table2[[#This Row],[Building]],2)</f>
        <v>KY</v>
      </c>
      <c r="G416" t="str">
        <f>LEFT(Table2[[#This Row],[Building]],8)</f>
        <v>KY0006ZZ</v>
      </c>
      <c r="H416" t="str">
        <f>RIGHT(Table2[[#This Row],[Building]],LEN(Table2[[#This Row],[Building]])-9)</f>
        <v>William H. Natcher F</v>
      </c>
    </row>
    <row r="417" spans="1:8" ht="22.5" x14ac:dyDescent="0.25">
      <c r="A417" s="39" t="s">
        <v>640</v>
      </c>
      <c r="B417" s="29">
        <v>148483.22</v>
      </c>
      <c r="C417" s="29">
        <v>142762.84</v>
      </c>
      <c r="D417" s="29">
        <v>115617.95</v>
      </c>
      <c r="E417" s="30">
        <v>406864.01</v>
      </c>
      <c r="F417" t="str">
        <f>LEFT(Table2[[#This Row],[Building]],2)</f>
        <v>KY</v>
      </c>
      <c r="G417" t="str">
        <f>LEFT(Table2[[#This Row],[Building]],8)</f>
        <v>KY0008AB</v>
      </c>
      <c r="H417" t="str">
        <f>RIGHT(Table2[[#This Row],[Building]],LEN(Table2[[#This Row],[Building]])-9)</f>
        <v>London Crthse Annex</v>
      </c>
    </row>
    <row r="418" spans="1:8" ht="22.5" x14ac:dyDescent="0.25">
      <c r="A418" s="39" t="s">
        <v>641</v>
      </c>
      <c r="B418" s="31">
        <v>194163.16</v>
      </c>
      <c r="C418" s="31">
        <v>119005.99</v>
      </c>
      <c r="D418" s="31">
        <v>190947.99</v>
      </c>
      <c r="E418" s="30">
        <v>504117.14</v>
      </c>
      <c r="F418" t="str">
        <f>LEFT(Table2[[#This Row],[Building]],2)</f>
        <v>KY</v>
      </c>
      <c r="G418" t="str">
        <f>LEFT(Table2[[#This Row],[Building]],8)</f>
        <v>KY0013ZZ</v>
      </c>
      <c r="H418" t="str">
        <f>RIGHT(Table2[[#This Row],[Building]],LEN(Table2[[#This Row],[Building]])-9)</f>
        <v>Covington U.S. Crths</v>
      </c>
    </row>
    <row r="419" spans="1:8" x14ac:dyDescent="0.25">
      <c r="A419" s="39" t="s">
        <v>642</v>
      </c>
      <c r="B419" s="29">
        <v>192467.12</v>
      </c>
      <c r="C419" s="29">
        <v>125721</v>
      </c>
      <c r="D419" s="29">
        <v>138114.17000000001</v>
      </c>
      <c r="E419" s="30">
        <v>456302.29</v>
      </c>
      <c r="F419" t="str">
        <f>LEFT(Table2[[#This Row],[Building]],2)</f>
        <v>KY</v>
      </c>
      <c r="G419" t="str">
        <f>LEFT(Table2[[#This Row],[Building]],8)</f>
        <v>KY0042ZZ</v>
      </c>
      <c r="H419" t="str">
        <f>RIGHT(Table2[[#This Row],[Building]],LEN(Table2[[#This Row],[Building]])-9)</f>
        <v>Po-Ct</v>
      </c>
    </row>
    <row r="420" spans="1:8" x14ac:dyDescent="0.25">
      <c r="A420" s="39" t="s">
        <v>643</v>
      </c>
      <c r="B420" s="31">
        <v>53549.53</v>
      </c>
      <c r="C420" s="31">
        <v>10689.88</v>
      </c>
      <c r="D420" s="31">
        <v>51485.31</v>
      </c>
      <c r="E420" s="30">
        <v>115724.72</v>
      </c>
      <c r="F420" t="str">
        <f>LEFT(Table2[[#This Row],[Building]],2)</f>
        <v>KY</v>
      </c>
      <c r="G420" t="str">
        <f>LEFT(Table2[[#This Row],[Building]],8)</f>
        <v>KY0043AB</v>
      </c>
      <c r="H420" t="str">
        <f>RIGHT(Table2[[#This Row],[Building]],LEN(Table2[[#This Row],[Building]])-9)</f>
        <v>Fb-Ct</v>
      </c>
    </row>
    <row r="421" spans="1:8" ht="22.5" x14ac:dyDescent="0.25">
      <c r="A421" s="39" t="s">
        <v>644</v>
      </c>
      <c r="B421" s="29">
        <v>710922.28</v>
      </c>
      <c r="C421" s="29">
        <v>342659.11</v>
      </c>
      <c r="D421" s="29">
        <v>327413.73</v>
      </c>
      <c r="E421" s="30">
        <v>1380995.12</v>
      </c>
      <c r="F421" t="str">
        <f>LEFT(Table2[[#This Row],[Building]],2)</f>
        <v>KY</v>
      </c>
      <c r="G421" t="str">
        <f>LEFT(Table2[[#This Row],[Building]],8)</f>
        <v>KY0045ZZ</v>
      </c>
      <c r="H421" t="str">
        <f>RIGHT(Table2[[#This Row],[Building]],LEN(Table2[[#This Row],[Building]])-9)</f>
        <v>Gene Snyder Usct-Cu</v>
      </c>
    </row>
    <row r="422" spans="1:8" x14ac:dyDescent="0.25">
      <c r="A422" s="39" t="s">
        <v>645</v>
      </c>
      <c r="B422" s="31">
        <v>131358.49</v>
      </c>
      <c r="C422" s="31">
        <v>49294.97</v>
      </c>
      <c r="D422" s="31">
        <v>100797.73</v>
      </c>
      <c r="E422" s="30">
        <v>281451.19</v>
      </c>
      <c r="F422" t="str">
        <f>LEFT(Table2[[#This Row],[Building]],2)</f>
        <v>KY</v>
      </c>
      <c r="G422" t="str">
        <f>LEFT(Table2[[#This Row],[Building]],8)</f>
        <v>KY0058ZZ</v>
      </c>
      <c r="H422" t="str">
        <f>RIGHT(Table2[[#This Row],[Building]],LEN(Table2[[#This Row],[Building]])-9)</f>
        <v>Federal Building</v>
      </c>
    </row>
    <row r="423" spans="1:8" x14ac:dyDescent="0.25">
      <c r="A423" s="39" t="s">
        <v>646</v>
      </c>
      <c r="B423" s="29">
        <v>81729.759999999995</v>
      </c>
      <c r="C423" s="29">
        <v>78247.789999999994</v>
      </c>
      <c r="D423" s="29">
        <v>111905.84</v>
      </c>
      <c r="E423" s="30">
        <v>271883.39</v>
      </c>
      <c r="F423" t="str">
        <f>LEFT(Table2[[#This Row],[Building]],2)</f>
        <v>KY</v>
      </c>
      <c r="G423" t="str">
        <f>LEFT(Table2[[#This Row],[Building]],8)</f>
        <v>KY0059ZZ</v>
      </c>
      <c r="H423" t="str">
        <f>RIGHT(Table2[[#This Row],[Building]],LEN(Table2[[#This Row],[Building]])-9)</f>
        <v>Fb-Ct</v>
      </c>
    </row>
    <row r="424" spans="1:8" x14ac:dyDescent="0.25">
      <c r="A424" s="39" t="s">
        <v>647</v>
      </c>
      <c r="B424" s="31">
        <v>58165.69</v>
      </c>
      <c r="C424" s="31">
        <v>36950.019999999997</v>
      </c>
      <c r="D424" s="31">
        <v>102785.73</v>
      </c>
      <c r="E424" s="30">
        <v>197901.44</v>
      </c>
      <c r="F424" t="str">
        <f>LEFT(Table2[[#This Row],[Building]],2)</f>
        <v>KY</v>
      </c>
      <c r="G424" t="str">
        <f>LEFT(Table2[[#This Row],[Building]],8)</f>
        <v>KY0062ZZ</v>
      </c>
      <c r="H424" t="str">
        <f>RIGHT(Table2[[#This Row],[Building]],LEN(Table2[[#This Row],[Building]])-9)</f>
        <v>Po-Ct</v>
      </c>
    </row>
    <row r="425" spans="1:8" x14ac:dyDescent="0.25">
      <c r="A425" s="39" t="s">
        <v>648</v>
      </c>
      <c r="B425" s="29">
        <v>813049.92</v>
      </c>
      <c r="C425" s="29">
        <v>638113.06999999995</v>
      </c>
      <c r="D425" s="29">
        <v>528374.06999999995</v>
      </c>
      <c r="E425" s="30">
        <v>1979537.06</v>
      </c>
      <c r="F425" t="str">
        <f>LEFT(Table2[[#This Row],[Building]],2)</f>
        <v>KY</v>
      </c>
      <c r="G425" t="str">
        <f>LEFT(Table2[[#This Row],[Building]],8)</f>
        <v>KY0086ZZ</v>
      </c>
      <c r="H425" t="str">
        <f>RIGHT(Table2[[#This Row],[Building]],LEN(Table2[[#This Row],[Building]])-9)</f>
        <v>Romano Mazzoli Fb</v>
      </c>
    </row>
    <row r="426" spans="1:8" x14ac:dyDescent="0.25">
      <c r="A426" s="39" t="s">
        <v>649</v>
      </c>
      <c r="B426" s="31">
        <v>84655.29</v>
      </c>
      <c r="C426" s="31">
        <v>66027.97</v>
      </c>
      <c r="D426" s="31">
        <v>125226.02</v>
      </c>
      <c r="E426" s="30">
        <v>275909.28000000003</v>
      </c>
      <c r="F426" t="str">
        <f>LEFT(Table2[[#This Row],[Building]],2)</f>
        <v>KY</v>
      </c>
      <c r="G426" t="str">
        <f>LEFT(Table2[[#This Row],[Building]],8)</f>
        <v>KY0088ZZ</v>
      </c>
      <c r="H426" t="str">
        <f>RIGHT(Table2[[#This Row],[Building]],LEN(Table2[[#This Row],[Building]])-9)</f>
        <v>J. C. Watts Fb</v>
      </c>
    </row>
    <row r="427" spans="1:8" x14ac:dyDescent="0.25">
      <c r="A427" s="39" t="s">
        <v>650</v>
      </c>
      <c r="B427" s="29">
        <v>161283.97</v>
      </c>
      <c r="C427" s="29">
        <v>76838.679999999993</v>
      </c>
      <c r="D427" s="29">
        <v>81541.399999999994</v>
      </c>
      <c r="E427" s="30">
        <v>319664.05</v>
      </c>
      <c r="F427" t="str">
        <f>LEFT(Table2[[#This Row],[Building]],2)</f>
        <v>KY</v>
      </c>
      <c r="G427" t="str">
        <f>LEFT(Table2[[#This Row],[Building]],8)</f>
        <v>KY0089ZZ</v>
      </c>
      <c r="H427" t="str">
        <f>RIGHT(Table2[[#This Row],[Building]],LEN(Table2[[#This Row],[Building]])-9)</f>
        <v>Carl D Perkins Fbct</v>
      </c>
    </row>
    <row r="428" spans="1:8" ht="22.5" x14ac:dyDescent="0.25">
      <c r="A428" s="39" t="s">
        <v>651</v>
      </c>
      <c r="B428" s="31">
        <v>65772.759999999995</v>
      </c>
      <c r="C428" s="31">
        <v>38190.980000000003</v>
      </c>
      <c r="D428" s="31">
        <v>209825.52</v>
      </c>
      <c r="E428" s="30">
        <v>313789.26</v>
      </c>
      <c r="F428" t="str">
        <f>LEFT(Table2[[#This Row],[Building]],2)</f>
        <v>LA</v>
      </c>
      <c r="G428" t="str">
        <f>LEFT(Table2[[#This Row],[Building]],8)</f>
        <v>LA0002ZZ</v>
      </c>
      <c r="H428" t="str">
        <f>RIGHT(Table2[[#This Row],[Building]],LEN(Table2[[#This Row],[Building]])-9)</f>
        <v>Alexandria Uspo/Cour</v>
      </c>
    </row>
    <row r="429" spans="1:8" ht="22.5" x14ac:dyDescent="0.25">
      <c r="A429" s="39" t="s">
        <v>652</v>
      </c>
      <c r="B429" s="29">
        <v>103944.48</v>
      </c>
      <c r="C429" s="29">
        <v>98135.17</v>
      </c>
      <c r="D429" s="29">
        <v>201951.04</v>
      </c>
      <c r="E429" s="30">
        <v>404030.69</v>
      </c>
      <c r="F429" t="str">
        <f>LEFT(Table2[[#This Row],[Building]],2)</f>
        <v>LA</v>
      </c>
      <c r="G429" t="str">
        <f>LEFT(Table2[[#This Row],[Building]],8)</f>
        <v>LA0006BT</v>
      </c>
      <c r="H429" t="str">
        <f>RIGHT(Table2[[#This Row],[Building]],LEN(Table2[[#This Row],[Building]])-9)</f>
        <v>Baton Rouge Fed Bldg</v>
      </c>
    </row>
    <row r="430" spans="1:8" ht="22.5" x14ac:dyDescent="0.25">
      <c r="A430" s="39" t="s">
        <v>653</v>
      </c>
      <c r="B430" s="31">
        <v>60221.91</v>
      </c>
      <c r="C430" s="31">
        <v>44765.82</v>
      </c>
      <c r="D430" s="31">
        <v>97584.44</v>
      </c>
      <c r="E430" s="30">
        <v>202572.17</v>
      </c>
      <c r="F430" t="str">
        <f>LEFT(Table2[[#This Row],[Building]],2)</f>
        <v>LA</v>
      </c>
      <c r="G430" t="str">
        <f>LEFT(Table2[[#This Row],[Building]],8)</f>
        <v>LA0029ZZ</v>
      </c>
      <c r="H430" t="str">
        <f>RIGHT(Table2[[#This Row],[Building]],LEN(Table2[[#This Row],[Building]])-9)</f>
        <v>Monroe Federal Bldg/</v>
      </c>
    </row>
    <row r="431" spans="1:8" ht="22.5" x14ac:dyDescent="0.25">
      <c r="A431" s="39" t="s">
        <v>654</v>
      </c>
      <c r="B431" s="29">
        <v>352210.58</v>
      </c>
      <c r="C431" s="29">
        <v>209461.36</v>
      </c>
      <c r="D431" s="29">
        <v>507234.66</v>
      </c>
      <c r="E431" s="30">
        <v>1068906.6000000001</v>
      </c>
      <c r="F431" t="str">
        <f>LEFT(Table2[[#This Row],[Building]],2)</f>
        <v>LA</v>
      </c>
      <c r="G431" t="str">
        <f>LEFT(Table2[[#This Row],[Building]],8)</f>
        <v>LA0033ZZ</v>
      </c>
      <c r="H431" t="str">
        <f>RIGHT(Table2[[#This Row],[Building]],LEN(Table2[[#This Row],[Building]])-9)</f>
        <v>New Orleans Custom H</v>
      </c>
    </row>
    <row r="432" spans="1:8" ht="22.5" x14ac:dyDescent="0.25">
      <c r="A432" s="39" t="s">
        <v>655</v>
      </c>
      <c r="B432" s="31">
        <v>328108.96999999997</v>
      </c>
      <c r="C432" s="31">
        <v>356048.11</v>
      </c>
      <c r="D432" s="31">
        <v>404305.14</v>
      </c>
      <c r="E432" s="30">
        <v>1088462.22</v>
      </c>
      <c r="F432" t="str">
        <f>LEFT(Table2[[#This Row],[Building]],2)</f>
        <v>LA</v>
      </c>
      <c r="G432" t="str">
        <f>LEFT(Table2[[#This Row],[Building]],8)</f>
        <v>LA0034ZZ</v>
      </c>
      <c r="H432" t="str">
        <f>RIGHT(Table2[[#This Row],[Building]],LEN(Table2[[#This Row],[Building]])-9)</f>
        <v>Fe Hebert Federal Bl</v>
      </c>
    </row>
    <row r="433" spans="1:8" ht="22.5" x14ac:dyDescent="0.25">
      <c r="A433" s="39" t="s">
        <v>656</v>
      </c>
      <c r="B433" s="29">
        <v>288173.03000000003</v>
      </c>
      <c r="C433" s="29">
        <v>241674.41</v>
      </c>
      <c r="D433" s="29">
        <v>314685.53000000003</v>
      </c>
      <c r="E433" s="30">
        <v>844532.97</v>
      </c>
      <c r="F433" t="str">
        <f>LEFT(Table2[[#This Row],[Building]],2)</f>
        <v>LA</v>
      </c>
      <c r="G433" t="str">
        <f>LEFT(Table2[[#This Row],[Building]],8)</f>
        <v>LA0035ZZ</v>
      </c>
      <c r="H433" t="str">
        <f>RIGHT(Table2[[#This Row],[Building]],LEN(Table2[[#This Row],[Building]])-9)</f>
        <v>Jm Wisdom Courthouse</v>
      </c>
    </row>
    <row r="434" spans="1:8" ht="22.5" x14ac:dyDescent="0.25">
      <c r="A434" s="39" t="s">
        <v>657</v>
      </c>
      <c r="B434" s="31">
        <v>49909.49</v>
      </c>
      <c r="C434" s="31">
        <v>2376.1799999999998</v>
      </c>
      <c r="D434" s="31">
        <v>12363.53</v>
      </c>
      <c r="E434" s="30">
        <v>64649.2</v>
      </c>
      <c r="F434" t="str">
        <f>LEFT(Table2[[#This Row],[Building]],2)</f>
        <v>LA</v>
      </c>
      <c r="G434" t="str">
        <f>LEFT(Table2[[#This Row],[Building]],8)</f>
        <v>LA0066NE</v>
      </c>
      <c r="H434" t="str">
        <f>RIGHT(Table2[[#This Row],[Building]],LEN(Table2[[#This Row],[Building]])-9)</f>
        <v>Bpsh New Orleans Bld</v>
      </c>
    </row>
    <row r="435" spans="1:8" ht="22.5" x14ac:dyDescent="0.25">
      <c r="A435" s="39" t="s">
        <v>658</v>
      </c>
      <c r="B435" s="29">
        <v>133361.57</v>
      </c>
      <c r="C435" s="29">
        <v>35364.129999999997</v>
      </c>
      <c r="D435" s="29">
        <v>176063.35999999999</v>
      </c>
      <c r="E435" s="30">
        <v>344789.06</v>
      </c>
      <c r="F435" t="str">
        <f>LEFT(Table2[[#This Row],[Building]],2)</f>
        <v>LA</v>
      </c>
      <c r="G435" t="str">
        <f>LEFT(Table2[[#This Row],[Building]],8)</f>
        <v>LA0070ZZ</v>
      </c>
      <c r="H435" t="str">
        <f>RIGHT(Table2[[#This Row],[Building]],LEN(Table2[[#This Row],[Building]])-9)</f>
        <v>Ellender Fed Bldg/Po</v>
      </c>
    </row>
    <row r="436" spans="1:8" x14ac:dyDescent="0.25">
      <c r="A436" s="39" t="s">
        <v>659</v>
      </c>
      <c r="B436" s="31">
        <v>2049.44</v>
      </c>
      <c r="C436" s="31">
        <v>491.56</v>
      </c>
      <c r="D436" s="31">
        <v>13025.16</v>
      </c>
      <c r="E436" s="30">
        <v>15566.16</v>
      </c>
      <c r="F436" t="str">
        <f>LEFT(Table2[[#This Row],[Building]],2)</f>
        <v>LA</v>
      </c>
      <c r="G436" t="str">
        <f>LEFT(Table2[[#This Row],[Building]],8)</f>
        <v>LA0072ZZ</v>
      </c>
      <c r="H436" t="str">
        <f>RIGHT(Table2[[#This Row],[Building]],LEN(Table2[[#This Row],[Building]])-9)</f>
        <v>St. Charles Parking</v>
      </c>
    </row>
    <row r="437" spans="1:8" ht="22.5" x14ac:dyDescent="0.25">
      <c r="A437" s="39" t="s">
        <v>660</v>
      </c>
      <c r="B437" s="29">
        <v>910803.44</v>
      </c>
      <c r="C437" s="29">
        <v>708890.28</v>
      </c>
      <c r="D437" s="29">
        <v>957676.12</v>
      </c>
      <c r="E437" s="30">
        <v>2577369.84</v>
      </c>
      <c r="F437" t="str">
        <f>LEFT(Table2[[#This Row],[Building]],2)</f>
        <v>LA</v>
      </c>
      <c r="G437" t="str">
        <f>LEFT(Table2[[#This Row],[Building]],8)</f>
        <v>LA0085ZZ</v>
      </c>
      <c r="H437" t="str">
        <f>RIGHT(Table2[[#This Row],[Building]],LEN(Table2[[#This Row],[Building]])-9)</f>
        <v>H Boggs Fed Bldg/Cou</v>
      </c>
    </row>
    <row r="438" spans="1:8" x14ac:dyDescent="0.25">
      <c r="A438" s="39" t="s">
        <v>661</v>
      </c>
      <c r="B438" s="31">
        <v>295845.7</v>
      </c>
      <c r="C438" s="31">
        <v>222960.28</v>
      </c>
      <c r="D438" s="31">
        <v>482824</v>
      </c>
      <c r="E438" s="30">
        <v>1001629.98</v>
      </c>
      <c r="F438" t="str">
        <f>LEFT(Table2[[#This Row],[Building]],2)</f>
        <v>LA</v>
      </c>
      <c r="G438" t="str">
        <f>LEFT(Table2[[#This Row],[Building]],8)</f>
        <v>LA0097BT</v>
      </c>
      <c r="H438" t="str">
        <f>RIGHT(Table2[[#This Row],[Building]],LEN(Table2[[#This Row],[Building]])-9)</f>
        <v>Long Federal Bldg</v>
      </c>
    </row>
    <row r="439" spans="1:8" ht="22.5" x14ac:dyDescent="0.25">
      <c r="A439" s="39" t="s">
        <v>662</v>
      </c>
      <c r="B439" s="29">
        <v>297379.36</v>
      </c>
      <c r="C439" s="29">
        <v>268118.3</v>
      </c>
      <c r="D439" s="29">
        <v>402934.89</v>
      </c>
      <c r="E439" s="30">
        <v>968432.55</v>
      </c>
      <c r="F439" t="str">
        <f>LEFT(Table2[[#This Row],[Building]],2)</f>
        <v>LA</v>
      </c>
      <c r="G439" t="str">
        <f>LEFT(Table2[[#This Row],[Building]],8)</f>
        <v>LA0098ZZ</v>
      </c>
      <c r="H439" t="str">
        <f>RIGHT(Table2[[#This Row],[Building]],LEN(Table2[[#This Row],[Building]])-9)</f>
        <v>Shreveport Courthous</v>
      </c>
    </row>
    <row r="440" spans="1:8" ht="22.5" x14ac:dyDescent="0.25">
      <c r="A440" s="39" t="s">
        <v>663</v>
      </c>
      <c r="B440" s="31">
        <v>367379.52</v>
      </c>
      <c r="C440" s="31">
        <v>203039.29</v>
      </c>
      <c r="D440" s="31">
        <v>516232.29</v>
      </c>
      <c r="E440" s="30">
        <v>1086651.1000000001</v>
      </c>
      <c r="F440" t="str">
        <f>LEFT(Table2[[#This Row],[Building]],2)</f>
        <v>LA</v>
      </c>
      <c r="G440" t="str">
        <f>LEFT(Table2[[#This Row],[Building]],8)</f>
        <v>LA0099ZZ</v>
      </c>
      <c r="H440" t="str">
        <f>RIGHT(Table2[[#This Row],[Building]],LEN(Table2[[#This Row],[Building]])-9)</f>
        <v>Jm Shaw Courthouse</v>
      </c>
    </row>
    <row r="441" spans="1:8" ht="22.5" x14ac:dyDescent="0.25">
      <c r="A441" s="39" t="s">
        <v>664</v>
      </c>
      <c r="B441" s="29">
        <v>47763.91</v>
      </c>
      <c r="C441" s="29">
        <v>32531.5</v>
      </c>
      <c r="D441" s="29">
        <v>283784.11</v>
      </c>
      <c r="E441" s="30">
        <v>364079.52</v>
      </c>
      <c r="F441" t="str">
        <f>LEFT(Table2[[#This Row],[Building]],2)</f>
        <v>LA</v>
      </c>
      <c r="G441" t="str">
        <f>LEFT(Table2[[#This Row],[Building]],8)</f>
        <v>LA0692NL</v>
      </c>
      <c r="H441" t="str">
        <f>RIGHT(Table2[[#This Row],[Building]],LEN(Table2[[#This Row],[Building]])-9)</f>
        <v>Fss Depot Warehouse</v>
      </c>
    </row>
    <row r="442" spans="1:8" ht="22.5" x14ac:dyDescent="0.25">
      <c r="A442" s="39" t="s">
        <v>665</v>
      </c>
      <c r="B442" s="31">
        <v>18884.73</v>
      </c>
      <c r="C442" s="31">
        <v>1154.25</v>
      </c>
      <c r="D442" s="31">
        <v>6789.45</v>
      </c>
      <c r="E442" s="30">
        <v>26828.43</v>
      </c>
      <c r="F442" t="str">
        <f>LEFT(Table2[[#This Row],[Building]],2)</f>
        <v>LA</v>
      </c>
      <c r="G442" t="str">
        <f>LEFT(Table2[[#This Row],[Building]],8)</f>
        <v>LA0693NL</v>
      </c>
      <c r="H442" t="str">
        <f>RIGHT(Table2[[#This Row],[Building]],LEN(Table2[[#This Row],[Building]])-9)</f>
        <v>Fss Depot Office &amp; G</v>
      </c>
    </row>
    <row r="443" spans="1:8" ht="22.5" x14ac:dyDescent="0.25">
      <c r="A443" s="39" t="s">
        <v>667</v>
      </c>
      <c r="B443" s="31">
        <v>16136.95</v>
      </c>
      <c r="C443" s="31">
        <v>2196.2399999999998</v>
      </c>
      <c r="D443" s="31">
        <v>67082.86</v>
      </c>
      <c r="E443" s="30">
        <v>85416.05</v>
      </c>
      <c r="F443" t="str">
        <f>LEFT(Table2[[#This Row],[Building]],2)</f>
        <v>LA</v>
      </c>
      <c r="G443" t="str">
        <f>LEFT(Table2[[#This Row],[Building]],8)</f>
        <v>LA0731BR</v>
      </c>
      <c r="H443" t="str">
        <f>RIGHT(Table2[[#This Row],[Building]],LEN(Table2[[#This Row],[Building]])-9)</f>
        <v>Gsa Pmd Depot Whse 6</v>
      </c>
    </row>
    <row r="444" spans="1:8" ht="22.5" x14ac:dyDescent="0.25">
      <c r="A444" s="39" t="s">
        <v>668</v>
      </c>
      <c r="B444" s="29">
        <v>17901.22</v>
      </c>
      <c r="C444" s="29">
        <v>33389.599999999999</v>
      </c>
      <c r="D444" s="29">
        <v>19702.080000000002</v>
      </c>
      <c r="E444" s="30">
        <v>70992.899999999994</v>
      </c>
      <c r="F444" t="str">
        <f>LEFT(Table2[[#This Row],[Building]],2)</f>
        <v>LA</v>
      </c>
      <c r="G444" t="str">
        <f>LEFT(Table2[[#This Row],[Building]],8)</f>
        <v>LA0811NE</v>
      </c>
      <c r="H444" t="str">
        <f>RIGHT(Table2[[#This Row],[Building]],LEN(Table2[[#This Row],[Building]])-9)</f>
        <v>Bpsh New Orleans Bld</v>
      </c>
    </row>
    <row r="445" spans="1:8" ht="22.5" x14ac:dyDescent="0.25">
      <c r="A445" s="39" t="s">
        <v>671</v>
      </c>
      <c r="B445" s="31">
        <v>5395.59</v>
      </c>
      <c r="C445" s="31">
        <v>3340.72</v>
      </c>
      <c r="D445" s="31">
        <v>1283.52</v>
      </c>
      <c r="E445" s="30">
        <v>10019.83</v>
      </c>
      <c r="F445" t="str">
        <f>LEFT(Table2[[#This Row],[Building]],2)</f>
        <v>LA</v>
      </c>
      <c r="G445" t="str">
        <f>LEFT(Table2[[#This Row],[Building]],8)</f>
        <v>LA0814NE</v>
      </c>
      <c r="H445" t="str">
        <f>RIGHT(Table2[[#This Row],[Building]],LEN(Table2[[#This Row],[Building]])-9)</f>
        <v>Bpsh New Orleans Bld</v>
      </c>
    </row>
    <row r="446" spans="1:8" ht="22.5" x14ac:dyDescent="0.25">
      <c r="A446" s="39" t="s">
        <v>673</v>
      </c>
      <c r="B446" s="31">
        <v>226797.67</v>
      </c>
      <c r="C446" s="31">
        <v>267448.69</v>
      </c>
      <c r="D446" s="31">
        <v>279859.71999999997</v>
      </c>
      <c r="E446" s="30">
        <v>774106.08</v>
      </c>
      <c r="F446" t="str">
        <f>LEFT(Table2[[#This Row],[Building]],2)</f>
        <v>MA</v>
      </c>
      <c r="G446" t="str">
        <f>LEFT(Table2[[#This Row],[Building]],8)</f>
        <v>MA0011ZZ</v>
      </c>
      <c r="H446" t="str">
        <f>RIGHT(Table2[[#This Row],[Building]],LEN(Table2[[#This Row],[Building]])-9)</f>
        <v>Cpt Jf Williams Cg B</v>
      </c>
    </row>
    <row r="447" spans="1:8" ht="22.5" x14ac:dyDescent="0.25">
      <c r="A447" s="39" t="s">
        <v>674</v>
      </c>
      <c r="B447" s="29">
        <v>914321.89</v>
      </c>
      <c r="C447" s="29">
        <v>1199818.45</v>
      </c>
      <c r="D447" s="29">
        <v>1319455.6200000001</v>
      </c>
      <c r="E447" s="30">
        <v>3433595.96</v>
      </c>
      <c r="F447" t="str">
        <f>LEFT(Table2[[#This Row],[Building]],2)</f>
        <v>MA</v>
      </c>
      <c r="G447" t="str">
        <f>LEFT(Table2[[#This Row],[Building]],8)</f>
        <v>MA0013ZZ</v>
      </c>
      <c r="H447" t="str">
        <f>RIGHT(Table2[[#This Row],[Building]],LEN(Table2[[#This Row],[Building]])-9)</f>
        <v>John W. Mccormack Bu</v>
      </c>
    </row>
    <row r="448" spans="1:8" ht="22.5" x14ac:dyDescent="0.25">
      <c r="A448" s="39" t="s">
        <v>675</v>
      </c>
      <c r="B448" s="31">
        <v>1529969.39</v>
      </c>
      <c r="C448" s="31">
        <v>2269101.79</v>
      </c>
      <c r="D448" s="31">
        <v>1926630.87</v>
      </c>
      <c r="E448" s="30">
        <v>5725702.0499999998</v>
      </c>
      <c r="F448" t="str">
        <f>LEFT(Table2[[#This Row],[Building]],2)</f>
        <v>MA</v>
      </c>
      <c r="G448" t="str">
        <f>LEFT(Table2[[#This Row],[Building]],8)</f>
        <v>MA0050ZZ</v>
      </c>
      <c r="H448" t="str">
        <f>RIGHT(Table2[[#This Row],[Building]],LEN(Table2[[#This Row],[Building]])-9)</f>
        <v>John J. Moakley Cour</v>
      </c>
    </row>
    <row r="449" spans="1:8" x14ac:dyDescent="0.25">
      <c r="A449" s="39" t="s">
        <v>676</v>
      </c>
      <c r="B449" s="29">
        <v>243518.84</v>
      </c>
      <c r="C449" s="29">
        <v>235780.99</v>
      </c>
      <c r="D449" s="29">
        <v>254212.15</v>
      </c>
      <c r="E449" s="30">
        <v>733511.98</v>
      </c>
      <c r="F449" t="str">
        <f>LEFT(Table2[[#This Row],[Building]],2)</f>
        <v>MA</v>
      </c>
      <c r="G449" t="str">
        <f>LEFT(Table2[[#This Row],[Building]],8)</f>
        <v>MA0051ZZ</v>
      </c>
      <c r="H449" t="str">
        <f>RIGHT(Table2[[#This Row],[Building]],LEN(Table2[[#This Row],[Building]])-9)</f>
        <v>Springfield Federal</v>
      </c>
    </row>
    <row r="450" spans="1:8" x14ac:dyDescent="0.25">
      <c r="A450" s="39" t="s">
        <v>677</v>
      </c>
      <c r="B450" s="31">
        <v>17204.89</v>
      </c>
      <c r="C450" s="31">
        <v>5505.74</v>
      </c>
      <c r="D450" s="31">
        <v>10790.1</v>
      </c>
      <c r="E450" s="30">
        <v>33500.730000000003</v>
      </c>
      <c r="F450" t="str">
        <f>LEFT(Table2[[#This Row],[Building]],2)</f>
        <v>MA</v>
      </c>
      <c r="G450" t="str">
        <f>LEFT(Table2[[#This Row],[Building]],8)</f>
        <v>MA0076ZZ</v>
      </c>
      <c r="H450" t="str">
        <f>RIGHT(Table2[[#This Row],[Building]],LEN(Table2[[#This Row],[Building]])-9)</f>
        <v>Us Custom House</v>
      </c>
    </row>
    <row r="451" spans="1:8" ht="22.5" x14ac:dyDescent="0.25">
      <c r="A451" s="39" t="s">
        <v>678</v>
      </c>
      <c r="B451" s="29">
        <v>217691.46</v>
      </c>
      <c r="C451" s="29">
        <v>188446.87</v>
      </c>
      <c r="D451" s="29">
        <v>215209.18</v>
      </c>
      <c r="E451" s="30">
        <v>621347.51</v>
      </c>
      <c r="F451" t="str">
        <f>LEFT(Table2[[#This Row],[Building]],2)</f>
        <v>MA</v>
      </c>
      <c r="G451" t="str">
        <f>LEFT(Table2[[#This Row],[Building]],8)</f>
        <v>MA0113ZZ</v>
      </c>
      <c r="H451" t="str">
        <f>RIGHT(Table2[[#This Row],[Building]],LEN(Table2[[#This Row],[Building]])-9)</f>
        <v>Harold D. Donohue Fe</v>
      </c>
    </row>
    <row r="452" spans="1:8" x14ac:dyDescent="0.25">
      <c r="A452" s="39" t="s">
        <v>679</v>
      </c>
      <c r="B452" s="31">
        <v>185919.23</v>
      </c>
      <c r="C452" s="31">
        <v>193559.45</v>
      </c>
      <c r="D452" s="31">
        <v>164986.42000000001</v>
      </c>
      <c r="E452" s="30">
        <v>544465.1</v>
      </c>
      <c r="F452" t="str">
        <f>LEFT(Table2[[#This Row],[Building]],2)</f>
        <v>MA</v>
      </c>
      <c r="G452" t="str">
        <f>LEFT(Table2[[#This Row],[Building]],8)</f>
        <v>MA0129ZZ</v>
      </c>
      <c r="H452" t="str">
        <f>RIGHT(Table2[[#This Row],[Building]],LEN(Table2[[#This Row],[Building]])-9)</f>
        <v>Philip J Philbin Fob</v>
      </c>
    </row>
    <row r="453" spans="1:8" ht="22.5" x14ac:dyDescent="0.25">
      <c r="A453" s="39" t="s">
        <v>680</v>
      </c>
      <c r="B453" s="29">
        <v>1511670.77</v>
      </c>
      <c r="C453" s="29">
        <v>2594253.8199999998</v>
      </c>
      <c r="D453" s="29">
        <v>1814740.4</v>
      </c>
      <c r="E453" s="30">
        <v>5920664.9900000002</v>
      </c>
      <c r="F453" t="str">
        <f>LEFT(Table2[[#This Row],[Building]],2)</f>
        <v>MA</v>
      </c>
      <c r="G453" t="str">
        <f>LEFT(Table2[[#This Row],[Building]],8)</f>
        <v>MA0131ZZ</v>
      </c>
      <c r="H453" t="str">
        <f>RIGHT(Table2[[#This Row],[Building]],LEN(Table2[[#This Row],[Building]])-9)</f>
        <v>Jfk Federal Building</v>
      </c>
    </row>
    <row r="454" spans="1:8" x14ac:dyDescent="0.25">
      <c r="A454" s="39" t="s">
        <v>681</v>
      </c>
      <c r="B454" s="31">
        <v>38975</v>
      </c>
      <c r="C454" s="31">
        <v>25999.75</v>
      </c>
      <c r="D454" s="31">
        <v>12612</v>
      </c>
      <c r="E454" s="30">
        <v>77586.75</v>
      </c>
      <c r="F454" t="str">
        <f>LEFT(Table2[[#This Row],[Building]],2)</f>
        <v>MA</v>
      </c>
      <c r="G454" t="str">
        <f>LEFT(Table2[[#This Row],[Building]],8)</f>
        <v>MA0135ZZ</v>
      </c>
      <c r="H454" t="str">
        <f>RIGHT(Table2[[#This Row],[Building]],LEN(Table2[[#This Row],[Building]])-9)</f>
        <v>Ssa</v>
      </c>
    </row>
    <row r="455" spans="1:8" ht="22.5" x14ac:dyDescent="0.25">
      <c r="A455" s="39" t="s">
        <v>682</v>
      </c>
      <c r="B455" s="29">
        <v>133120.95000000001</v>
      </c>
      <c r="C455" s="29">
        <v>158144.29</v>
      </c>
      <c r="D455" s="29">
        <v>151001.74</v>
      </c>
      <c r="E455" s="30">
        <v>442266.98</v>
      </c>
      <c r="F455" t="str">
        <f>LEFT(Table2[[#This Row],[Building]],2)</f>
        <v>MA</v>
      </c>
      <c r="G455" t="str">
        <f>LEFT(Table2[[#This Row],[Building]],8)</f>
        <v>MA0136ZZ</v>
      </c>
      <c r="H455" t="str">
        <f>RIGHT(Table2[[#This Row],[Building]],LEN(Table2[[#This Row],[Building]])-9)</f>
        <v>Frederick C. Murphy</v>
      </c>
    </row>
    <row r="456" spans="1:8" x14ac:dyDescent="0.25">
      <c r="A456" s="39" t="s">
        <v>683</v>
      </c>
      <c r="B456" s="31">
        <v>38131.86</v>
      </c>
      <c r="C456" s="31">
        <v>15733.89</v>
      </c>
      <c r="D456" s="31">
        <v>9387.8700000000008</v>
      </c>
      <c r="E456" s="30">
        <v>63253.62</v>
      </c>
      <c r="F456" t="str">
        <f>LEFT(Table2[[#This Row],[Building]],2)</f>
        <v>MA</v>
      </c>
      <c r="G456" t="str">
        <f>LEFT(Table2[[#This Row],[Building]],8)</f>
        <v>MA0138ZZ</v>
      </c>
      <c r="H456" t="str">
        <f>RIGHT(Table2[[#This Row],[Building]],LEN(Table2[[#This Row],[Building]])-9)</f>
        <v>Ssa District Office</v>
      </c>
    </row>
    <row r="457" spans="1:8" ht="22.5" x14ac:dyDescent="0.25">
      <c r="A457" s="39" t="s">
        <v>684</v>
      </c>
      <c r="B457" s="29">
        <v>1305124.43</v>
      </c>
      <c r="C457" s="29">
        <v>621054.80000000005</v>
      </c>
      <c r="D457" s="29">
        <v>1277659.8899999999</v>
      </c>
      <c r="E457" s="30">
        <v>3203839.12</v>
      </c>
      <c r="F457" t="str">
        <f>LEFT(Table2[[#This Row],[Building]],2)</f>
        <v>MA</v>
      </c>
      <c r="G457" t="str">
        <f>LEFT(Table2[[#This Row],[Building]],8)</f>
        <v>MA0153ZZ</v>
      </c>
      <c r="H457" t="str">
        <f>RIGHT(Table2[[#This Row],[Building]],LEN(Table2[[#This Row],[Building]])-9)</f>
        <v>Thomas P. O Neill Jr</v>
      </c>
    </row>
    <row r="458" spans="1:8" x14ac:dyDescent="0.25">
      <c r="A458" s="39" t="s">
        <v>685</v>
      </c>
      <c r="B458" s="31">
        <v>73129.58</v>
      </c>
      <c r="C458" s="31">
        <v>107317.31</v>
      </c>
      <c r="D458" s="31">
        <v>74005.649999999994</v>
      </c>
      <c r="E458" s="30">
        <v>254452.54</v>
      </c>
      <c r="F458" t="str">
        <f>LEFT(Table2[[#This Row],[Building]],2)</f>
        <v>MA</v>
      </c>
      <c r="G458" t="str">
        <f>LEFT(Table2[[#This Row],[Building]],8)</f>
        <v>MA0158ZZ</v>
      </c>
      <c r="H458" t="str">
        <f>RIGHT(Table2[[#This Row],[Building]],LEN(Table2[[#This Row],[Building]])-9)</f>
        <v>Hastings Keith Fb</v>
      </c>
    </row>
    <row r="459" spans="1:8" x14ac:dyDescent="0.25">
      <c r="A459" s="39" t="s">
        <v>686</v>
      </c>
      <c r="B459" s="29">
        <v>78984.55</v>
      </c>
      <c r="C459" s="29">
        <v>58678.59</v>
      </c>
      <c r="D459" s="29">
        <v>115818.04</v>
      </c>
      <c r="E459" s="30">
        <v>253481.18</v>
      </c>
      <c r="F459" t="str">
        <f>LEFT(Table2[[#This Row],[Building]],2)</f>
        <v>MA</v>
      </c>
      <c r="G459" t="str">
        <f>LEFT(Table2[[#This Row],[Building]],8)</f>
        <v>MA0180ZZ</v>
      </c>
      <c r="H459" t="str">
        <f>RIGHT(Table2[[#This Row],[Building]],LEN(Table2[[#This Row],[Building]])-9)</f>
        <v>Silvio O. Conte Fb</v>
      </c>
    </row>
    <row r="460" spans="1:8" x14ac:dyDescent="0.25">
      <c r="A460" s="39" t="s">
        <v>687</v>
      </c>
      <c r="B460" s="31">
        <v>50017.54</v>
      </c>
      <c r="C460" s="31">
        <v>274956.71999999997</v>
      </c>
      <c r="D460" s="31">
        <v>233284.79</v>
      </c>
      <c r="E460" s="30">
        <v>558259.05000000005</v>
      </c>
      <c r="F460" t="str">
        <f>LEFT(Table2[[#This Row],[Building]],2)</f>
        <v>MD</v>
      </c>
      <c r="G460" t="str">
        <f>LEFT(Table2[[#This Row],[Building]],8)</f>
        <v>MD0003ZZ</v>
      </c>
      <c r="H460" t="str">
        <f>RIGHT(Table2[[#This Row],[Building]],LEN(Table2[[#This Row],[Building]])-9)</f>
        <v>Appraisers Stores</v>
      </c>
    </row>
    <row r="461" spans="1:8" x14ac:dyDescent="0.25">
      <c r="A461" s="39" t="s">
        <v>688</v>
      </c>
      <c r="B461" s="29">
        <v>332319</v>
      </c>
      <c r="C461" s="29">
        <v>326228.36</v>
      </c>
      <c r="D461" s="29">
        <v>264059.24</v>
      </c>
      <c r="E461" s="30">
        <v>922606.6</v>
      </c>
      <c r="F461" t="str">
        <f>LEFT(Table2[[#This Row],[Building]],2)</f>
        <v>MD</v>
      </c>
      <c r="G461" t="str">
        <f>LEFT(Table2[[#This Row],[Building]],8)</f>
        <v>MD0006ZZ</v>
      </c>
      <c r="H461" t="str">
        <f>RIGHT(Table2[[#This Row],[Building]],LEN(Table2[[#This Row],[Building]])-9)</f>
        <v>Us Customhouse</v>
      </c>
    </row>
    <row r="462" spans="1:8" ht="22.5" x14ac:dyDescent="0.25">
      <c r="A462" s="39" t="s">
        <v>690</v>
      </c>
      <c r="B462" s="29">
        <v>30497.08</v>
      </c>
      <c r="C462" s="29">
        <v>31293.72</v>
      </c>
      <c r="D462" s="29">
        <v>24831.02</v>
      </c>
      <c r="E462" s="30">
        <v>86621.82</v>
      </c>
      <c r="F462" t="str">
        <f>LEFT(Table2[[#This Row],[Building]],2)</f>
        <v>MD</v>
      </c>
      <c r="G462" t="str">
        <f>LEFT(Table2[[#This Row],[Building]],8)</f>
        <v>MD0033ZZ</v>
      </c>
      <c r="H462" t="str">
        <f>RIGHT(Table2[[#This Row],[Building]],LEN(Table2[[#This Row],[Building]])-9)</f>
        <v>Maude R Toulson Fed</v>
      </c>
    </row>
    <row r="463" spans="1:8" x14ac:dyDescent="0.25">
      <c r="A463" s="39" t="s">
        <v>692</v>
      </c>
      <c r="B463" s="31">
        <v>1269456.71</v>
      </c>
      <c r="C463" s="31">
        <v>1490385.05</v>
      </c>
      <c r="D463" s="31">
        <v>1074688.03</v>
      </c>
      <c r="E463" s="30">
        <v>3834529.79</v>
      </c>
      <c r="F463" t="str">
        <f>LEFT(Table2[[#This Row],[Building]],2)</f>
        <v>MD</v>
      </c>
      <c r="G463" t="str">
        <f>LEFT(Table2[[#This Row],[Building]],8)</f>
        <v>MD0055ZZ</v>
      </c>
      <c r="H463" t="str">
        <f>RIGHT(Table2[[#This Row],[Building]],LEN(Table2[[#This Row],[Building]])-9)</f>
        <v>G H Fallon Fed Bldg</v>
      </c>
    </row>
    <row r="464" spans="1:8" ht="22.5" x14ac:dyDescent="0.25">
      <c r="A464" s="39" t="s">
        <v>693</v>
      </c>
      <c r="B464" s="29">
        <v>597471.85</v>
      </c>
      <c r="C464" s="29">
        <v>1512295.23</v>
      </c>
      <c r="D464" s="29">
        <v>1394387.45</v>
      </c>
      <c r="E464" s="30">
        <v>3504154.53</v>
      </c>
      <c r="F464" t="str">
        <f>LEFT(Table2[[#This Row],[Building]],2)</f>
        <v>MD</v>
      </c>
      <c r="G464" t="str">
        <f>LEFT(Table2[[#This Row],[Building]],8)</f>
        <v>MD0056AG</v>
      </c>
      <c r="H464" t="str">
        <f>RIGHT(Table2[[#This Row],[Building]],LEN(Table2[[#This Row],[Building]])-9)</f>
        <v>Wash Nat Records Ct</v>
      </c>
    </row>
    <row r="465" spans="1:8" x14ac:dyDescent="0.25">
      <c r="A465" s="39" t="s">
        <v>694</v>
      </c>
      <c r="B465" s="31">
        <v>74938.320000000007</v>
      </c>
      <c r="C465" s="31">
        <v>465372.52</v>
      </c>
      <c r="D465" s="31">
        <v>728966.79</v>
      </c>
      <c r="E465" s="30">
        <v>1269277.6299999999</v>
      </c>
      <c r="F465" t="str">
        <f>LEFT(Table2[[#This Row],[Building]],2)</f>
        <v>MD</v>
      </c>
      <c r="G465" t="str">
        <f>LEFT(Table2[[#This Row],[Building]],8)</f>
        <v>MD0068ZZ</v>
      </c>
      <c r="H465" t="str">
        <f>RIGHT(Table2[[#This Row],[Building]],LEN(Table2[[#This Row],[Building]])-9)</f>
        <v>Ssa Metro West</v>
      </c>
    </row>
    <row r="466" spans="1:8" x14ac:dyDescent="0.25">
      <c r="A466" s="39" t="s">
        <v>695</v>
      </c>
      <c r="B466" s="29">
        <v>21543.54</v>
      </c>
      <c r="C466" s="29">
        <v>1387.86</v>
      </c>
      <c r="D466" s="29">
        <v>18224.2</v>
      </c>
      <c r="E466" s="30">
        <v>41155.599999999999</v>
      </c>
      <c r="F466" t="str">
        <f>LEFT(Table2[[#This Row],[Building]],2)</f>
        <v>MD</v>
      </c>
      <c r="G466" t="str">
        <f>LEFT(Table2[[#This Row],[Building]],8)</f>
        <v>MD0070AG</v>
      </c>
      <c r="H466" t="str">
        <f>RIGHT(Table2[[#This Row],[Building]],LEN(Table2[[#This Row],[Building]])-9)</f>
        <v>Suitland House</v>
      </c>
    </row>
    <row r="467" spans="1:8" x14ac:dyDescent="0.25">
      <c r="A467" s="39" t="s">
        <v>696</v>
      </c>
      <c r="B467" s="31">
        <v>412148.79</v>
      </c>
      <c r="C467" s="31">
        <v>551666.64</v>
      </c>
      <c r="D467" s="31">
        <v>540431.72</v>
      </c>
      <c r="E467" s="30">
        <v>1504247.15</v>
      </c>
      <c r="F467" t="str">
        <f>LEFT(Table2[[#This Row],[Building]],2)</f>
        <v>MD</v>
      </c>
      <c r="G467" t="str">
        <f>LEFT(Table2[[#This Row],[Building]],8)</f>
        <v>MD0205ZZ</v>
      </c>
      <c r="H467" t="str">
        <f>RIGHT(Table2[[#This Row],[Building]],LEN(Table2[[#This Row],[Building]])-9)</f>
        <v>Ss Metro Center 1</v>
      </c>
    </row>
    <row r="468" spans="1:8" ht="22.5" x14ac:dyDescent="0.25">
      <c r="A468" s="39" t="s">
        <v>697</v>
      </c>
      <c r="B468" s="29">
        <v>753205.61</v>
      </c>
      <c r="C468" s="29">
        <v>529324.14</v>
      </c>
      <c r="D468" s="29">
        <v>1135290.54</v>
      </c>
      <c r="E468" s="30">
        <v>2417820.29</v>
      </c>
      <c r="F468" t="str">
        <f>LEFT(Table2[[#This Row],[Building]],2)</f>
        <v>MD</v>
      </c>
      <c r="G468" t="str">
        <f>LEFT(Table2[[#This Row],[Building]],8)</f>
        <v>MD0232ZZ</v>
      </c>
      <c r="H468" t="str">
        <f>RIGHT(Table2[[#This Row],[Building]],LEN(Table2[[#This Row],[Building]])-9)</f>
        <v>Southern Md Courthse</v>
      </c>
    </row>
    <row r="469" spans="1:8" ht="22.5" x14ac:dyDescent="0.25">
      <c r="A469" s="39" t="s">
        <v>699</v>
      </c>
      <c r="B469" s="31">
        <v>2287437.92</v>
      </c>
      <c r="C469" s="31">
        <v>2520262.0099999998</v>
      </c>
      <c r="D469" s="31">
        <v>1806508.95</v>
      </c>
      <c r="E469" s="30">
        <v>6614208.8799999999</v>
      </c>
      <c r="F469" t="str">
        <f>LEFT(Table2[[#This Row],[Building]],2)</f>
        <v>MD</v>
      </c>
      <c r="G469" t="str">
        <f>LEFT(Table2[[#This Row],[Building]],8)</f>
        <v>MD0278ZZ</v>
      </c>
      <c r="H469" t="str">
        <f>RIGHT(Table2[[#This Row],[Building]],LEN(Table2[[#This Row],[Building]])-9)</f>
        <v>New Carrollton Fed</v>
      </c>
    </row>
    <row r="470" spans="1:8" ht="22.5" x14ac:dyDescent="0.25">
      <c r="A470" s="39" t="s">
        <v>700</v>
      </c>
      <c r="B470" s="29">
        <v>203020.85</v>
      </c>
      <c r="C470" s="32" t="s">
        <v>701</v>
      </c>
      <c r="D470" s="29">
        <v>436346.52</v>
      </c>
      <c r="E470" s="30">
        <v>545063.23</v>
      </c>
      <c r="F470" t="str">
        <f>LEFT(Table2[[#This Row],[Building]],2)</f>
        <v>MD</v>
      </c>
      <c r="G470" t="str">
        <f>LEFT(Table2[[#This Row],[Building]],8)</f>
        <v>MD0325ZZ</v>
      </c>
      <c r="H470" t="str">
        <f>RIGHT(Table2[[#This Row],[Building]],LEN(Table2[[#This Row],[Building]])-9)</f>
        <v>Census Computer Fac.</v>
      </c>
    </row>
    <row r="471" spans="1:8" ht="22.5" x14ac:dyDescent="0.25">
      <c r="A471" s="39" t="s">
        <v>703</v>
      </c>
      <c r="B471" s="29">
        <v>292204.17</v>
      </c>
      <c r="C471" s="29">
        <v>930534.3</v>
      </c>
      <c r="D471" s="29">
        <v>44421.279999999999</v>
      </c>
      <c r="E471" s="30">
        <v>1267159.75</v>
      </c>
      <c r="F471" t="str">
        <f>LEFT(Table2[[#This Row],[Building]],2)</f>
        <v>MD</v>
      </c>
      <c r="G471" t="str">
        <f>LEFT(Table2[[#This Row],[Building]],8)</f>
        <v>MD0334ZZ</v>
      </c>
      <c r="H471" t="str">
        <f>RIGHT(Table2[[#This Row],[Building]],LEN(Table2[[#This Row],[Building]])-9)</f>
        <v>Harvey W. Wiley Fede</v>
      </c>
    </row>
    <row r="472" spans="1:8" ht="22.5" x14ac:dyDescent="0.25">
      <c r="A472" s="39" t="s">
        <v>705</v>
      </c>
      <c r="B472" s="31">
        <v>934738.38</v>
      </c>
      <c r="C472" s="31">
        <v>1602275.82</v>
      </c>
      <c r="D472" s="31">
        <v>513555.02</v>
      </c>
      <c r="E472" s="30">
        <v>3050569.22</v>
      </c>
      <c r="F472" t="str">
        <f>LEFT(Table2[[#This Row],[Building]],2)</f>
        <v>MD</v>
      </c>
      <c r="G472" t="str">
        <f>LEFT(Table2[[#This Row],[Building]],8)</f>
        <v>MD0415HC</v>
      </c>
      <c r="H472" t="str">
        <f>RIGHT(Table2[[#This Row],[Building]],LEN(Table2[[#This Row],[Building]])-9)</f>
        <v>Cms Hdqtrs-Central</v>
      </c>
    </row>
    <row r="473" spans="1:8" x14ac:dyDescent="0.25">
      <c r="A473" s="39" t="s">
        <v>706</v>
      </c>
      <c r="B473" s="29">
        <v>589788.74</v>
      </c>
      <c r="C473" s="32" t="s">
        <v>707</v>
      </c>
      <c r="D473" s="29">
        <v>303095.57</v>
      </c>
      <c r="E473" s="33" t="s">
        <v>708</v>
      </c>
      <c r="F473" t="str">
        <f>LEFT(Table2[[#This Row],[Building]],2)</f>
        <v>MD</v>
      </c>
      <c r="G473" t="str">
        <f>LEFT(Table2[[#This Row],[Building]],8)</f>
        <v>MD0454HC</v>
      </c>
      <c r="H473" t="str">
        <f>RIGHT(Table2[[#This Row],[Building]],LEN(Table2[[#This Row],[Building]])-9)</f>
        <v>Cms Hdqtrs-North</v>
      </c>
    </row>
    <row r="474" spans="1:8" x14ac:dyDescent="0.25">
      <c r="A474" s="39" t="s">
        <v>709</v>
      </c>
      <c r="B474" s="31">
        <v>229142.86</v>
      </c>
      <c r="C474" s="31">
        <v>75242.23</v>
      </c>
      <c r="D474" s="31">
        <v>123075.92</v>
      </c>
      <c r="E474" s="30">
        <v>427461.01</v>
      </c>
      <c r="F474" t="str">
        <f>LEFT(Table2[[#This Row],[Building]],2)</f>
        <v>MD</v>
      </c>
      <c r="G474" t="str">
        <f>LEFT(Table2[[#This Row],[Building]],8)</f>
        <v>MD0455HC</v>
      </c>
      <c r="H474" t="str">
        <f>RIGHT(Table2[[#This Row],[Building]],LEN(Table2[[#This Row],[Building]])-9)</f>
        <v>Cms Hdqtrs-Whse</v>
      </c>
    </row>
    <row r="475" spans="1:8" x14ac:dyDescent="0.25">
      <c r="A475" s="39" t="s">
        <v>710</v>
      </c>
      <c r="B475" s="29">
        <v>606569.76</v>
      </c>
      <c r="C475" s="29">
        <v>64076.32</v>
      </c>
      <c r="D475" s="29">
        <v>295755.90000000002</v>
      </c>
      <c r="E475" s="30">
        <v>966401.98</v>
      </c>
      <c r="F475" t="str">
        <f>LEFT(Table2[[#This Row],[Building]],2)</f>
        <v>MD</v>
      </c>
      <c r="G475" t="str">
        <f>LEFT(Table2[[#This Row],[Building]],8)</f>
        <v>MD0456HC</v>
      </c>
      <c r="H475" t="str">
        <f>RIGHT(Table2[[#This Row],[Building]],LEN(Table2[[#This Row],[Building]])-9)</f>
        <v>Cms Hdqtrs-South</v>
      </c>
    </row>
    <row r="476" spans="1:8" ht="22.5" x14ac:dyDescent="0.25">
      <c r="A476" s="39" t="s">
        <v>718</v>
      </c>
      <c r="B476" s="34" t="s">
        <v>719</v>
      </c>
      <c r="C476" s="34" t="s">
        <v>720</v>
      </c>
      <c r="D476" s="34" t="s">
        <v>721</v>
      </c>
      <c r="E476" s="33" t="s">
        <v>722</v>
      </c>
      <c r="F476" t="str">
        <f>LEFT(Table2[[#This Row],[Building]],2)</f>
        <v>MD</v>
      </c>
      <c r="G476" t="str">
        <f>LEFT(Table2[[#This Row],[Building]],8)</f>
        <v>MD0709WT</v>
      </c>
      <c r="H476" t="str">
        <f>RIGHT(Table2[[#This Row],[Building]],LEN(Table2[[#This Row],[Building]])-9)</f>
        <v>Frc Bldg 405 Office</v>
      </c>
    </row>
    <row r="477" spans="1:8" ht="22.5" x14ac:dyDescent="0.25">
      <c r="A477" s="39" t="s">
        <v>730</v>
      </c>
      <c r="B477" s="29">
        <v>570144.75</v>
      </c>
      <c r="C477" s="29">
        <v>127755.23</v>
      </c>
      <c r="D477" s="29">
        <v>927785.71</v>
      </c>
      <c r="E477" s="30">
        <v>1625685.69</v>
      </c>
      <c r="F477" t="str">
        <f>LEFT(Table2[[#This Row],[Building]],2)</f>
        <v>MD</v>
      </c>
      <c r="G477" t="str">
        <f>LEFT(Table2[[#This Row],[Building]],8)</f>
        <v>MD0767AG</v>
      </c>
      <c r="H477" t="str">
        <f>RIGHT(Table2[[#This Row],[Building]],LEN(Table2[[#This Row],[Building]])-9)</f>
        <v>Noaa Satellite Opera</v>
      </c>
    </row>
    <row r="478" spans="1:8" ht="22.5" x14ac:dyDescent="0.25">
      <c r="A478" s="39" t="s">
        <v>731</v>
      </c>
      <c r="B478" s="31">
        <v>3626616.21</v>
      </c>
      <c r="C478" s="31">
        <v>2439613.37</v>
      </c>
      <c r="D478" s="31">
        <v>3444038.85</v>
      </c>
      <c r="E478" s="30">
        <v>9510268.4299999997</v>
      </c>
      <c r="F478" t="str">
        <f>LEFT(Table2[[#This Row],[Building]],2)</f>
        <v>MD</v>
      </c>
      <c r="G478" t="str">
        <f>LEFT(Table2[[#This Row],[Building]],8)</f>
        <v>MD0778AG</v>
      </c>
      <c r="H478" t="str">
        <f>RIGHT(Table2[[#This Row],[Building]],LEN(Table2[[#This Row],[Building]])-9)</f>
        <v>Census Bureau Office</v>
      </c>
    </row>
    <row r="479" spans="1:8" ht="22.5" x14ac:dyDescent="0.25">
      <c r="A479" s="39" t="s">
        <v>733</v>
      </c>
      <c r="B479" s="31">
        <v>84154.76</v>
      </c>
      <c r="C479" s="31">
        <v>2024.07</v>
      </c>
      <c r="D479" s="31">
        <v>25289.96</v>
      </c>
      <c r="E479" s="30">
        <v>111468.79</v>
      </c>
      <c r="F479" t="str">
        <f>LEFT(Table2[[#This Row],[Building]],2)</f>
        <v>MD</v>
      </c>
      <c r="G479" t="str">
        <f>LEFT(Table2[[#This Row],[Building]],8)</f>
        <v>MD0796ZZ</v>
      </c>
      <c r="H479" t="str">
        <f>RIGHT(Table2[[#This Row],[Building]],LEN(Table2[[#This Row],[Building]])-9)</f>
        <v>Frc Building 300 Off</v>
      </c>
    </row>
    <row r="480" spans="1:8" ht="22.5" x14ac:dyDescent="0.25">
      <c r="A480" s="39" t="s">
        <v>740</v>
      </c>
      <c r="B480" s="31">
        <v>948070.25</v>
      </c>
      <c r="C480" s="34" t="s">
        <v>741</v>
      </c>
      <c r="D480" s="34" t="s">
        <v>742</v>
      </c>
      <c r="E480" s="33" t="s">
        <v>743</v>
      </c>
      <c r="F480" t="str">
        <f>LEFT(Table2[[#This Row],[Building]],2)</f>
        <v>MD</v>
      </c>
      <c r="G480" t="str">
        <f>LEFT(Table2[[#This Row],[Building]],8)</f>
        <v>MD0819WO</v>
      </c>
      <c r="H480" t="str">
        <f>RIGHT(Table2[[#This Row],[Building]],LEN(Table2[[#This Row],[Building]])-9)</f>
        <v>Frc Facility-Wide Si</v>
      </c>
    </row>
    <row r="481" spans="1:8" ht="22.5" x14ac:dyDescent="0.25">
      <c r="A481" s="39" t="s">
        <v>750</v>
      </c>
      <c r="B481" s="31">
        <v>749607.25</v>
      </c>
      <c r="C481" s="31">
        <v>990101.69</v>
      </c>
      <c r="D481" s="31">
        <v>546384.34</v>
      </c>
      <c r="E481" s="30">
        <v>2286093.2799999998</v>
      </c>
      <c r="F481" t="str">
        <f>LEFT(Table2[[#This Row],[Building]],2)</f>
        <v>MD</v>
      </c>
      <c r="G481" t="str">
        <f>LEFT(Table2[[#This Row],[Building]],8)</f>
        <v>MD1440ZZ</v>
      </c>
      <c r="H481" t="str">
        <f>RIGHT(Table2[[#This Row],[Building]],LEN(Table2[[#This Row],[Building]])-9)</f>
        <v>Edward A Garmatz Us</v>
      </c>
    </row>
    <row r="482" spans="1:8" x14ac:dyDescent="0.25">
      <c r="A482" s="39" t="s">
        <v>758</v>
      </c>
      <c r="B482" s="29">
        <v>137294.26</v>
      </c>
      <c r="C482" s="29">
        <v>3318</v>
      </c>
      <c r="D482" s="29">
        <v>137154</v>
      </c>
      <c r="E482" s="30">
        <v>277766.26</v>
      </c>
      <c r="F482" t="str">
        <f>LEFT(Table2[[#This Row],[Building]],2)</f>
        <v>MD</v>
      </c>
      <c r="G482" t="str">
        <f>LEFT(Table2[[#This Row],[Building]],8)</f>
        <v>MD1872ZZ</v>
      </c>
      <c r="H482" t="str">
        <f>RIGHT(Table2[[#This Row],[Building]],LEN(Table2[[#This Row],[Building]])-9)</f>
        <v>4700 River Road</v>
      </c>
    </row>
    <row r="483" spans="1:8" x14ac:dyDescent="0.25">
      <c r="A483" s="39" t="s">
        <v>760</v>
      </c>
      <c r="B483" s="31">
        <v>531.94999999999902</v>
      </c>
      <c r="C483" s="31">
        <v>2302.38</v>
      </c>
      <c r="D483" s="31">
        <v>4391.0600000000004</v>
      </c>
      <c r="E483" s="30">
        <v>7225.39</v>
      </c>
      <c r="F483" t="str">
        <f>LEFT(Table2[[#This Row],[Building]],2)</f>
        <v>ME</v>
      </c>
      <c r="G483" t="str">
        <f>LEFT(Table2[[#This Row],[Building]],8)</f>
        <v>ME0012BP</v>
      </c>
      <c r="H483" t="str">
        <f>RIGHT(Table2[[#This Row],[Building]],LEN(Table2[[#This Row],[Building]])-9)</f>
        <v>Lpoe, St. Pamphile</v>
      </c>
    </row>
    <row r="484" spans="1:8" ht="22.5" x14ac:dyDescent="0.25">
      <c r="A484" s="39" t="s">
        <v>761</v>
      </c>
      <c r="B484" s="29">
        <v>237170.5</v>
      </c>
      <c r="C484" s="29">
        <v>168294.2</v>
      </c>
      <c r="D484" s="29">
        <v>192003.9</v>
      </c>
      <c r="E484" s="30">
        <v>597468.6</v>
      </c>
      <c r="F484" t="str">
        <f>LEFT(Table2[[#This Row],[Building]],2)</f>
        <v>ME</v>
      </c>
      <c r="G484" t="str">
        <f>LEFT(Table2[[#This Row],[Building]],8)</f>
        <v>ME0034ZZ</v>
      </c>
      <c r="H484" t="str">
        <f>RIGHT(Table2[[#This Row],[Building]],LEN(Table2[[#This Row],[Building]])-9)</f>
        <v>Edward T. Gignoux Co</v>
      </c>
    </row>
    <row r="485" spans="1:8" x14ac:dyDescent="0.25">
      <c r="A485" s="39" t="s">
        <v>762</v>
      </c>
      <c r="B485" s="31">
        <v>36085.440000000002</v>
      </c>
      <c r="C485" s="31">
        <v>39728.32</v>
      </c>
      <c r="D485" s="31">
        <v>60767.24</v>
      </c>
      <c r="E485" s="30">
        <v>136581</v>
      </c>
      <c r="F485" t="str">
        <f>LEFT(Table2[[#This Row],[Building]],2)</f>
        <v>ME</v>
      </c>
      <c r="G485" t="str">
        <f>LEFT(Table2[[#This Row],[Building]],8)</f>
        <v>ME0035ZZ</v>
      </c>
      <c r="H485" t="str">
        <f>RIGHT(Table2[[#This Row],[Building]],LEN(Table2[[#This Row],[Building]])-9)</f>
        <v>Us Custom House</v>
      </c>
    </row>
    <row r="486" spans="1:8" x14ac:dyDescent="0.25">
      <c r="A486" s="39" t="s">
        <v>763</v>
      </c>
      <c r="B486" s="29">
        <v>15964.18</v>
      </c>
      <c r="C486" s="29">
        <v>21453.55</v>
      </c>
      <c r="D486" s="29">
        <v>3196.27</v>
      </c>
      <c r="E486" s="30">
        <v>40614</v>
      </c>
      <c r="F486" t="str">
        <f>LEFT(Table2[[#This Row],[Building]],2)</f>
        <v>ME</v>
      </c>
      <c r="G486" t="str">
        <f>LEFT(Table2[[#This Row],[Building]],8)</f>
        <v>ME0051ZZ</v>
      </c>
      <c r="H486" t="str">
        <f>RIGHT(Table2[[#This Row],[Building]],LEN(Table2[[#This Row],[Building]])-9)</f>
        <v>Lpoe, Madawaska</v>
      </c>
    </row>
    <row r="487" spans="1:8" x14ac:dyDescent="0.25">
      <c r="A487" s="39" t="s">
        <v>764</v>
      </c>
      <c r="B487" s="31">
        <v>264386.02</v>
      </c>
      <c r="C487" s="31">
        <v>348515.81</v>
      </c>
      <c r="D487" s="31">
        <v>212093.34</v>
      </c>
      <c r="E487" s="30">
        <v>824995.17</v>
      </c>
      <c r="F487" t="str">
        <f>LEFT(Table2[[#This Row],[Building]],2)</f>
        <v>ME</v>
      </c>
      <c r="G487" t="str">
        <f>LEFT(Table2[[#This Row],[Building]],8)</f>
        <v>ME0061ZZ</v>
      </c>
      <c r="H487" t="str">
        <f>RIGHT(Table2[[#This Row],[Building]],LEN(Table2[[#This Row],[Building]])-9)</f>
        <v>M.C. Smith Fb Poch</v>
      </c>
    </row>
    <row r="488" spans="1:8" ht="22.5" x14ac:dyDescent="0.25">
      <c r="A488" s="39" t="s">
        <v>765</v>
      </c>
      <c r="B488" s="29">
        <v>211720.54</v>
      </c>
      <c r="C488" s="29">
        <v>192191.91</v>
      </c>
      <c r="D488" s="29">
        <v>192864.17</v>
      </c>
      <c r="E488" s="30">
        <v>596776.62</v>
      </c>
      <c r="F488" t="str">
        <f>LEFT(Table2[[#This Row],[Building]],2)</f>
        <v>ME</v>
      </c>
      <c r="G488" t="str">
        <f>LEFT(Table2[[#This Row],[Building]],8)</f>
        <v>ME0068ZZ</v>
      </c>
      <c r="H488" t="str">
        <f>RIGHT(Table2[[#This Row],[Building]],LEN(Table2[[#This Row],[Building]])-9)</f>
        <v>Edmund S Muskie Fb</v>
      </c>
    </row>
    <row r="489" spans="1:8" ht="22.5" x14ac:dyDescent="0.25">
      <c r="A489" s="39" t="s">
        <v>766</v>
      </c>
      <c r="B489" s="31">
        <v>59678.6</v>
      </c>
      <c r="C489" s="31">
        <v>38209.620000000003</v>
      </c>
      <c r="D489" s="31">
        <v>61066.080000000002</v>
      </c>
      <c r="E489" s="30">
        <v>158954.29999999999</v>
      </c>
      <c r="F489" t="str">
        <f>LEFT(Table2[[#This Row],[Building]],2)</f>
        <v>ME</v>
      </c>
      <c r="G489" t="str">
        <f>LEFT(Table2[[#This Row],[Building]],8)</f>
        <v>ME0074HO</v>
      </c>
      <c r="H489" t="str">
        <f>RIGHT(Table2[[#This Row],[Building]],LEN(Table2[[#This Row],[Building]])-9)</f>
        <v>Usbp Houlton Sector</v>
      </c>
    </row>
    <row r="490" spans="1:8" x14ac:dyDescent="0.25">
      <c r="A490" s="39" t="s">
        <v>767</v>
      </c>
      <c r="B490" s="29">
        <v>21446.33</v>
      </c>
      <c r="C490" s="29">
        <v>19988.310000000001</v>
      </c>
      <c r="D490" s="29">
        <v>15722.63</v>
      </c>
      <c r="E490" s="30">
        <v>57157.27</v>
      </c>
      <c r="F490" t="str">
        <f>LEFT(Table2[[#This Row],[Building]],2)</f>
        <v>ME</v>
      </c>
      <c r="G490" t="str">
        <f>LEFT(Table2[[#This Row],[Building]],8)</f>
        <v>ME0078ZZ</v>
      </c>
      <c r="H490" t="str">
        <f>RIGHT(Table2[[#This Row],[Building]],LEN(Table2[[#This Row],[Building]])-9)</f>
        <v>Ssa</v>
      </c>
    </row>
    <row r="491" spans="1:8" x14ac:dyDescent="0.25">
      <c r="A491" s="39" t="s">
        <v>769</v>
      </c>
      <c r="B491" s="31">
        <v>13009.72</v>
      </c>
      <c r="C491" s="31">
        <v>28756.66</v>
      </c>
      <c r="D491" s="31">
        <v>3196.99</v>
      </c>
      <c r="E491" s="30">
        <v>44963.37</v>
      </c>
      <c r="F491" t="str">
        <f>LEFT(Table2[[#This Row],[Building]],2)</f>
        <v>ME</v>
      </c>
      <c r="G491" t="str">
        <f>LEFT(Table2[[#This Row],[Building]],8)</f>
        <v>ME0088ZZ</v>
      </c>
      <c r="H491" t="str">
        <f>RIGHT(Table2[[#This Row],[Building]],LEN(Table2[[#This Row],[Building]])-9)</f>
        <v>Lpoe, Fort Kent</v>
      </c>
    </row>
    <row r="492" spans="1:8" ht="22.5" x14ac:dyDescent="0.25">
      <c r="A492" s="39" t="s">
        <v>770</v>
      </c>
      <c r="B492" s="32" t="s">
        <v>771</v>
      </c>
      <c r="C492" s="32" t="s">
        <v>772</v>
      </c>
      <c r="D492" s="32" t="s">
        <v>773</v>
      </c>
      <c r="E492" s="33" t="s">
        <v>774</v>
      </c>
      <c r="F492" t="str">
        <f>LEFT(Table2[[#This Row],[Building]],2)</f>
        <v>ME</v>
      </c>
      <c r="G492" t="str">
        <f>LEFT(Table2[[#This Row],[Building]],8)</f>
        <v>ME0089HO</v>
      </c>
      <c r="H492" t="str">
        <f>RIGHT(Table2[[#This Row],[Building]],LEN(Table2[[#This Row],[Building]])-9)</f>
        <v>Usbp Houlton Intel.</v>
      </c>
    </row>
    <row r="493" spans="1:8" x14ac:dyDescent="0.25">
      <c r="A493" s="39" t="s">
        <v>775</v>
      </c>
      <c r="B493" s="31">
        <v>1317.5</v>
      </c>
      <c r="C493" s="34" t="s">
        <v>776</v>
      </c>
      <c r="D493" s="31">
        <v>475.58</v>
      </c>
      <c r="E493" s="33" t="s">
        <v>777</v>
      </c>
      <c r="F493" t="str">
        <f>LEFT(Table2[[#This Row],[Building]],2)</f>
        <v>ME</v>
      </c>
      <c r="G493" t="str">
        <f>LEFT(Table2[[#This Row],[Building]],8)</f>
        <v>ME0091ZZ</v>
      </c>
      <c r="H493" t="str">
        <f>RIGHT(Table2[[#This Row],[Building]],LEN(Table2[[#This Row],[Building]])-9)</f>
        <v>Lpoe, Milltown</v>
      </c>
    </row>
    <row r="494" spans="1:8" x14ac:dyDescent="0.25">
      <c r="A494" s="39" t="s">
        <v>778</v>
      </c>
      <c r="B494" s="29">
        <v>23053.33</v>
      </c>
      <c r="C494" s="29">
        <v>18381.73</v>
      </c>
      <c r="D494" s="29">
        <v>8145.62</v>
      </c>
      <c r="E494" s="30">
        <v>49580.68</v>
      </c>
      <c r="F494" t="str">
        <f>LEFT(Table2[[#This Row],[Building]],2)</f>
        <v>ME</v>
      </c>
      <c r="G494" t="str">
        <f>LEFT(Table2[[#This Row],[Building]],8)</f>
        <v>ME0501BC</v>
      </c>
      <c r="H494" t="str">
        <f>RIGHT(Table2[[#This Row],[Building]],LEN(Table2[[#This Row],[Building]])-9)</f>
        <v>Lpoe, Ferry Point</v>
      </c>
    </row>
    <row r="495" spans="1:8" x14ac:dyDescent="0.25">
      <c r="A495" s="39" t="s">
        <v>780</v>
      </c>
      <c r="B495" s="29">
        <v>11672.8</v>
      </c>
      <c r="C495" s="32" t="s">
        <v>781</v>
      </c>
      <c r="D495" s="32" t="s">
        <v>782</v>
      </c>
      <c r="E495" s="33" t="s">
        <v>783</v>
      </c>
      <c r="F495" t="str">
        <f>LEFT(Table2[[#This Row],[Building]],2)</f>
        <v>ME</v>
      </c>
      <c r="G495" t="str">
        <f>LEFT(Table2[[#This Row],[Building]],8)</f>
        <v>ME0551BE</v>
      </c>
      <c r="H495" t="str">
        <f>RIGHT(Table2[[#This Row],[Building]],LEN(Table2[[#This Row],[Building]])-9)</f>
        <v>Lpoe, Coburn Gore</v>
      </c>
    </row>
    <row r="496" spans="1:8" x14ac:dyDescent="0.25">
      <c r="A496" s="39" t="s">
        <v>788</v>
      </c>
      <c r="B496" s="31">
        <v>6373.31</v>
      </c>
      <c r="C496" s="34" t="s">
        <v>789</v>
      </c>
      <c r="D496" s="31">
        <v>9713.51</v>
      </c>
      <c r="E496" s="30">
        <v>11184.02</v>
      </c>
      <c r="F496" t="str">
        <f>LEFT(Table2[[#This Row],[Building]],2)</f>
        <v>ME</v>
      </c>
      <c r="G496" t="str">
        <f>LEFT(Table2[[#This Row],[Building]],8)</f>
        <v>ME0601BF</v>
      </c>
      <c r="H496" t="str">
        <f>RIGHT(Table2[[#This Row],[Building]],LEN(Table2[[#This Row],[Building]])-9)</f>
        <v>Lpoe, Fort Fairfield</v>
      </c>
    </row>
    <row r="497" spans="1:8" x14ac:dyDescent="0.25">
      <c r="A497" s="39" t="s">
        <v>790</v>
      </c>
      <c r="B497" s="32" t="s">
        <v>791</v>
      </c>
      <c r="C497" s="32" t="s">
        <v>792</v>
      </c>
      <c r="D497" s="29">
        <v>32187.27</v>
      </c>
      <c r="E497" s="33" t="s">
        <v>793</v>
      </c>
      <c r="F497" t="str">
        <f>LEFT(Table2[[#This Row],[Building]],2)</f>
        <v>ME</v>
      </c>
      <c r="G497" t="str">
        <f>LEFT(Table2[[#This Row],[Building]],8)</f>
        <v>ME0661BH</v>
      </c>
      <c r="H497" t="str">
        <f>RIGHT(Table2[[#This Row],[Building]],LEN(Table2[[#This Row],[Building]])-9)</f>
        <v>Lpoe, Houlton</v>
      </c>
    </row>
    <row r="498" spans="1:8" x14ac:dyDescent="0.25">
      <c r="A498" s="39" t="s">
        <v>796</v>
      </c>
      <c r="B498" s="31">
        <v>3757.88</v>
      </c>
      <c r="C498" s="34" t="s">
        <v>797</v>
      </c>
      <c r="D498" s="31">
        <v>3915.93</v>
      </c>
      <c r="E498" s="30">
        <v>5022.83</v>
      </c>
      <c r="F498" t="str">
        <f>LEFT(Table2[[#This Row],[Building]],2)</f>
        <v>ME</v>
      </c>
      <c r="G498" t="str">
        <f>LEFT(Table2[[#This Row],[Building]],8)</f>
        <v>ME0701BL</v>
      </c>
      <c r="H498" t="str">
        <f>RIGHT(Table2[[#This Row],[Building]],LEN(Table2[[#This Row],[Building]])-9)</f>
        <v>Lpoe, Limestone</v>
      </c>
    </row>
    <row r="499" spans="1:8" x14ac:dyDescent="0.25">
      <c r="A499" s="39" t="s">
        <v>798</v>
      </c>
      <c r="B499" s="29">
        <v>2163.0500000000002</v>
      </c>
      <c r="C499" s="29">
        <v>2020.31</v>
      </c>
      <c r="D499" s="29">
        <v>5727.02</v>
      </c>
      <c r="E499" s="30">
        <v>9910.3799999999992</v>
      </c>
      <c r="F499" t="str">
        <f>LEFT(Table2[[#This Row],[Building]],2)</f>
        <v>ME</v>
      </c>
      <c r="G499" t="str">
        <f>LEFT(Table2[[#This Row],[Building]],8)</f>
        <v>ME0751BT</v>
      </c>
      <c r="H499" t="str">
        <f>RIGHT(Table2[[#This Row],[Building]],LEN(Table2[[#This Row],[Building]])-9)</f>
        <v>Lpoe, Orient</v>
      </c>
    </row>
    <row r="500" spans="1:8" x14ac:dyDescent="0.25">
      <c r="A500" s="39" t="s">
        <v>799</v>
      </c>
      <c r="B500" s="31">
        <v>23098.32</v>
      </c>
      <c r="C500" s="34" t="s">
        <v>800</v>
      </c>
      <c r="D500" s="34" t="s">
        <v>801</v>
      </c>
      <c r="E500" s="33" t="s">
        <v>802</v>
      </c>
      <c r="F500" t="str">
        <f>LEFT(Table2[[#This Row],[Building]],2)</f>
        <v>ME</v>
      </c>
      <c r="G500" t="str">
        <f>LEFT(Table2[[#This Row],[Building]],8)</f>
        <v>ME0823BJ</v>
      </c>
      <c r="H500" t="str">
        <f>RIGHT(Table2[[#This Row],[Building]],LEN(Table2[[#This Row],[Building]])-9)</f>
        <v>Lpoe, Jackman</v>
      </c>
    </row>
    <row r="501" spans="1:8" x14ac:dyDescent="0.25">
      <c r="A501" s="39" t="s">
        <v>804</v>
      </c>
      <c r="B501" s="29">
        <v>14765.99</v>
      </c>
      <c r="C501" s="29">
        <v>2870.28</v>
      </c>
      <c r="D501" s="29">
        <v>3953.67</v>
      </c>
      <c r="E501" s="30">
        <v>21589.94</v>
      </c>
      <c r="F501" t="str">
        <f>LEFT(Table2[[#This Row],[Building]],2)</f>
        <v>ME</v>
      </c>
      <c r="G501" t="str">
        <f>LEFT(Table2[[#This Row],[Building]],8)</f>
        <v>ME0831BV</v>
      </c>
      <c r="H501" t="str">
        <f>RIGHT(Table2[[#This Row],[Building]],LEN(Table2[[#This Row],[Building]])-9)</f>
        <v>Lpoe, Vanceboro</v>
      </c>
    </row>
    <row r="502" spans="1:8" x14ac:dyDescent="0.25">
      <c r="A502" s="39" t="s">
        <v>806</v>
      </c>
      <c r="B502" s="31">
        <v>54503.08</v>
      </c>
      <c r="C502" s="31">
        <v>114925.55</v>
      </c>
      <c r="D502" s="31">
        <v>31572.71</v>
      </c>
      <c r="E502" s="30">
        <v>201001.34</v>
      </c>
      <c r="F502" t="str">
        <f>LEFT(Table2[[#This Row],[Building]],2)</f>
        <v>ME</v>
      </c>
      <c r="G502" t="str">
        <f>LEFT(Table2[[#This Row],[Building]],8)</f>
        <v>ME0843BX</v>
      </c>
      <c r="H502" t="str">
        <f>RIGHT(Table2[[#This Row],[Building]],LEN(Table2[[#This Row],[Building]])-9)</f>
        <v>Lpoe, Van Buren</v>
      </c>
    </row>
    <row r="503" spans="1:8" x14ac:dyDescent="0.25">
      <c r="A503" s="39" t="s">
        <v>808</v>
      </c>
      <c r="B503" s="29">
        <v>86440.61</v>
      </c>
      <c r="C503" s="29">
        <v>21315.68</v>
      </c>
      <c r="D503" s="29">
        <v>29444.48</v>
      </c>
      <c r="E503" s="30">
        <v>137200.76999999999</v>
      </c>
      <c r="F503" t="str">
        <f>LEFT(Table2[[#This Row],[Building]],2)</f>
        <v>ME</v>
      </c>
      <c r="G503" t="str">
        <f>LEFT(Table2[[#This Row],[Building]],8)</f>
        <v>ME0851BI</v>
      </c>
      <c r="H503" t="str">
        <f>RIGHT(Table2[[#This Row],[Building]],LEN(Table2[[#This Row],[Building]])-9)</f>
        <v>Lpoe, Calais Int'L A</v>
      </c>
    </row>
    <row r="504" spans="1:8" ht="22.5" x14ac:dyDescent="0.25">
      <c r="A504" s="39" t="s">
        <v>809</v>
      </c>
      <c r="B504" s="31">
        <v>1047280.55</v>
      </c>
      <c r="C504" s="31">
        <v>1096272.52</v>
      </c>
      <c r="D504" s="31">
        <v>1120162.75</v>
      </c>
      <c r="E504" s="30">
        <v>3263715.82</v>
      </c>
      <c r="F504" t="str">
        <f>LEFT(Table2[[#This Row],[Building]],2)</f>
        <v>MI</v>
      </c>
      <c r="G504" t="str">
        <f>LEFT(Table2[[#This Row],[Building]],8)</f>
        <v>MI0029ZZ</v>
      </c>
      <c r="H504" t="str">
        <f>RIGHT(Table2[[#This Row],[Building]],LEN(Table2[[#This Row],[Building]])-9)</f>
        <v>Theodore Levin Us Co</v>
      </c>
    </row>
    <row r="505" spans="1:8" x14ac:dyDescent="0.25">
      <c r="A505" s="39" t="s">
        <v>810</v>
      </c>
      <c r="B505" s="29">
        <v>128852.71</v>
      </c>
      <c r="C505" s="29">
        <v>103806.97</v>
      </c>
      <c r="D505" s="29">
        <v>104098.91</v>
      </c>
      <c r="E505" s="30">
        <v>336758.59</v>
      </c>
      <c r="F505" t="str">
        <f>LEFT(Table2[[#This Row],[Building]],2)</f>
        <v>MI</v>
      </c>
      <c r="G505" t="str">
        <f>LEFT(Table2[[#This Row],[Building]],8)</f>
        <v>MI0048ZZ</v>
      </c>
      <c r="H505" t="str">
        <f>RIGHT(Table2[[#This Row],[Building]],LEN(Table2[[#This Row],[Building]])-9)</f>
        <v>Federal Bldg</v>
      </c>
    </row>
    <row r="506" spans="1:8" x14ac:dyDescent="0.25">
      <c r="A506" s="39" t="s">
        <v>811</v>
      </c>
      <c r="B506" s="31">
        <v>116512.76</v>
      </c>
      <c r="C506" s="31">
        <v>81734.62</v>
      </c>
      <c r="D506" s="31">
        <v>109206.8</v>
      </c>
      <c r="E506" s="30">
        <v>307454.18</v>
      </c>
      <c r="F506" t="str">
        <f>LEFT(Table2[[#This Row],[Building]],2)</f>
        <v>MI</v>
      </c>
      <c r="G506" t="str">
        <f>LEFT(Table2[[#This Row],[Building]],8)</f>
        <v>MI0072ZZ</v>
      </c>
      <c r="H506" t="str">
        <f>RIGHT(Table2[[#This Row],[Building]],LEN(Table2[[#This Row],[Building]])-9)</f>
        <v>Fob Us Post Off Cths</v>
      </c>
    </row>
    <row r="507" spans="1:8" ht="22.5" x14ac:dyDescent="0.25">
      <c r="A507" s="39" t="s">
        <v>812</v>
      </c>
      <c r="B507" s="29">
        <v>208612.28</v>
      </c>
      <c r="C507" s="29">
        <v>234686.14</v>
      </c>
      <c r="D507" s="29">
        <v>179431.55</v>
      </c>
      <c r="E507" s="30">
        <v>622729.97</v>
      </c>
      <c r="F507" t="str">
        <f>LEFT(Table2[[#This Row],[Building]],2)</f>
        <v>MI</v>
      </c>
      <c r="G507" t="str">
        <f>LEFT(Table2[[#This Row],[Building]],8)</f>
        <v>MI0073ZZ</v>
      </c>
      <c r="H507" t="str">
        <f>RIGHT(Table2[[#This Row],[Building]],LEN(Table2[[#This Row],[Building]])-9)</f>
        <v>Charles Chamberlain</v>
      </c>
    </row>
    <row r="508" spans="1:8" ht="22.5" x14ac:dyDescent="0.25">
      <c r="A508" s="39" t="s">
        <v>813</v>
      </c>
      <c r="B508" s="31">
        <v>101004.06</v>
      </c>
      <c r="C508" s="31">
        <v>29636.18</v>
      </c>
      <c r="D508" s="31">
        <v>186593.55</v>
      </c>
      <c r="E508" s="30">
        <v>317233.78999999998</v>
      </c>
      <c r="F508" t="str">
        <f>LEFT(Table2[[#This Row],[Building]],2)</f>
        <v>MI</v>
      </c>
      <c r="G508" t="str">
        <f>LEFT(Table2[[#This Row],[Building]],8)</f>
        <v>MI0097ZZ</v>
      </c>
      <c r="H508" t="str">
        <f>RIGHT(Table2[[#This Row],[Building]],LEN(Table2[[#This Row],[Building]])-9)</f>
        <v>Federal Bldg &amp; Us Co</v>
      </c>
    </row>
    <row r="509" spans="1:8" x14ac:dyDescent="0.25">
      <c r="A509" s="39" t="s">
        <v>814</v>
      </c>
      <c r="B509" s="29">
        <v>159792.62</v>
      </c>
      <c r="C509" s="29">
        <v>107568.24</v>
      </c>
      <c r="D509" s="29">
        <v>203244.2</v>
      </c>
      <c r="E509" s="30">
        <v>470605.06</v>
      </c>
      <c r="F509" t="str">
        <f>LEFT(Table2[[#This Row],[Building]],2)</f>
        <v>MI</v>
      </c>
      <c r="G509" t="str">
        <f>LEFT(Table2[[#This Row],[Building]],8)</f>
        <v>MI0118ZZ</v>
      </c>
      <c r="H509" t="str">
        <f>RIGHT(Table2[[#This Row],[Building]],LEN(Table2[[#This Row],[Building]])-9)</f>
        <v>Federal Bldg</v>
      </c>
    </row>
    <row r="510" spans="1:8" x14ac:dyDescent="0.25">
      <c r="A510" s="39" t="s">
        <v>815</v>
      </c>
      <c r="B510" s="31">
        <v>1687672.48</v>
      </c>
      <c r="C510" s="31">
        <v>2834171.65</v>
      </c>
      <c r="D510" s="31">
        <v>1445201.91</v>
      </c>
      <c r="E510" s="30">
        <v>5967046.04</v>
      </c>
      <c r="F510" t="str">
        <f>LEFT(Table2[[#This Row],[Building]],2)</f>
        <v>MI</v>
      </c>
      <c r="G510" t="str">
        <f>LEFT(Table2[[#This Row],[Building]],8)</f>
        <v>MI0131MC</v>
      </c>
      <c r="H510" t="str">
        <f>RIGHT(Table2[[#This Row],[Building]],LEN(Table2[[#This Row],[Building]])-9)</f>
        <v>P V Mcnamara F B</v>
      </c>
    </row>
    <row r="511" spans="1:8" x14ac:dyDescent="0.25">
      <c r="A511" s="39" t="s">
        <v>817</v>
      </c>
      <c r="B511" s="31">
        <v>412330.62</v>
      </c>
      <c r="C511" s="31">
        <v>277101.68</v>
      </c>
      <c r="D511" s="31">
        <v>290879.27</v>
      </c>
      <c r="E511" s="30">
        <v>980311.57</v>
      </c>
      <c r="F511" t="str">
        <f>LEFT(Table2[[#This Row],[Building]],2)</f>
        <v>MI</v>
      </c>
      <c r="G511" t="str">
        <f>LEFT(Table2[[#This Row],[Building]],8)</f>
        <v>MI0137ZZ</v>
      </c>
      <c r="H511" t="str">
        <f>RIGHT(Table2[[#This Row],[Building]],LEN(Table2[[#This Row],[Building]])-9)</f>
        <v>Gerald R. Ford Build</v>
      </c>
    </row>
    <row r="512" spans="1:8" x14ac:dyDescent="0.25">
      <c r="A512" s="39" t="s">
        <v>818</v>
      </c>
      <c r="B512" s="29">
        <v>73917.259999999995</v>
      </c>
      <c r="C512" s="29">
        <v>2093</v>
      </c>
      <c r="D512" s="29">
        <v>16031.2</v>
      </c>
      <c r="E512" s="30">
        <v>92041.46</v>
      </c>
      <c r="F512" t="str">
        <f>LEFT(Table2[[#This Row],[Building]],2)</f>
        <v>MI</v>
      </c>
      <c r="G512" t="str">
        <f>LEFT(Table2[[#This Row],[Building]],8)</f>
        <v>MI0143ZZ</v>
      </c>
      <c r="H512" t="str">
        <f>RIGHT(Table2[[#This Row],[Building]],LEN(Table2[[#This Row],[Building]])-9)</f>
        <v>Fed Parking Facility</v>
      </c>
    </row>
    <row r="513" spans="1:8" x14ac:dyDescent="0.25">
      <c r="A513" s="39" t="s">
        <v>820</v>
      </c>
      <c r="B513" s="34" t="s">
        <v>821</v>
      </c>
      <c r="C513" s="34" t="s">
        <v>822</v>
      </c>
      <c r="D513" s="34" t="s">
        <v>823</v>
      </c>
      <c r="E513" s="33" t="s">
        <v>824</v>
      </c>
      <c r="F513" t="str">
        <f>LEFT(Table2[[#This Row],[Building]],2)</f>
        <v>MI</v>
      </c>
      <c r="G513" t="str">
        <f>LEFT(Table2[[#This Row],[Building]],8)</f>
        <v>MI0401CI</v>
      </c>
      <c r="H513" t="str">
        <f>RIGHT(Table2[[#This Row],[Building]],LEN(Table2[[#This Row],[Building]])-9)</f>
        <v>Cust Cargo Insp Fac</v>
      </c>
    </row>
    <row r="514" spans="1:8" x14ac:dyDescent="0.25">
      <c r="A514" s="39" t="s">
        <v>825</v>
      </c>
      <c r="B514" s="29">
        <v>52263.34</v>
      </c>
      <c r="C514" s="29">
        <v>42327</v>
      </c>
      <c r="D514" s="29">
        <v>43930.29</v>
      </c>
      <c r="E514" s="30">
        <v>138520.63</v>
      </c>
      <c r="F514" t="str">
        <f>LEFT(Table2[[#This Row],[Building]],2)</f>
        <v>MI</v>
      </c>
      <c r="G514" t="str">
        <f>LEFT(Table2[[#This Row],[Building]],8)</f>
        <v>MI0402ZZ</v>
      </c>
      <c r="H514" t="str">
        <f>RIGHT(Table2[[#This Row],[Building]],LEN(Table2[[#This Row],[Building]])-9)</f>
        <v>Ssa Building</v>
      </c>
    </row>
    <row r="515" spans="1:8" x14ac:dyDescent="0.25">
      <c r="A515" s="39" t="s">
        <v>826</v>
      </c>
      <c r="B515" s="31">
        <v>24414.49</v>
      </c>
      <c r="C515" s="31">
        <v>12133.54</v>
      </c>
      <c r="D515" s="31">
        <v>37201.46</v>
      </c>
      <c r="E515" s="30">
        <v>73749.490000000005</v>
      </c>
      <c r="F515" t="str">
        <f>LEFT(Table2[[#This Row],[Building]],2)</f>
        <v>MI</v>
      </c>
      <c r="G515" t="str">
        <f>LEFT(Table2[[#This Row],[Building]],8)</f>
        <v>MI0403CI</v>
      </c>
      <c r="H515" t="str">
        <f>RIGHT(Table2[[#This Row],[Building]],LEN(Table2[[#This Row],[Building]])-9)</f>
        <v>Cargo Inspection - V</v>
      </c>
    </row>
    <row r="516" spans="1:8" x14ac:dyDescent="0.25">
      <c r="A516" s="39" t="s">
        <v>827</v>
      </c>
      <c r="B516" s="29">
        <v>77344.149999999994</v>
      </c>
      <c r="C516" s="29">
        <v>42362.71</v>
      </c>
      <c r="D516" s="29">
        <v>135142.25</v>
      </c>
      <c r="E516" s="30">
        <v>254849.11</v>
      </c>
      <c r="F516" t="str">
        <f>LEFT(Table2[[#This Row],[Building]],2)</f>
        <v>MI</v>
      </c>
      <c r="G516" t="str">
        <f>LEFT(Table2[[#This Row],[Building]],8)</f>
        <v>MI0404CI</v>
      </c>
      <c r="H516" t="str">
        <f>RIGHT(Table2[[#This Row],[Building]],LEN(Table2[[#This Row],[Building]])-9)</f>
        <v>Cargo Inspection - B</v>
      </c>
    </row>
    <row r="517" spans="1:8" ht="22.5" x14ac:dyDescent="0.25">
      <c r="A517" s="39" t="s">
        <v>828</v>
      </c>
      <c r="B517" s="31">
        <v>17335.63</v>
      </c>
      <c r="C517" s="31">
        <v>5777.4</v>
      </c>
      <c r="D517" s="31">
        <v>20233.060000000001</v>
      </c>
      <c r="E517" s="30">
        <v>43346.09</v>
      </c>
      <c r="F517" t="str">
        <f>LEFT(Table2[[#This Row],[Building]],2)</f>
        <v>MI</v>
      </c>
      <c r="G517" t="str">
        <f>LEFT(Table2[[#This Row],[Building]],8)</f>
        <v>MI0405CI</v>
      </c>
      <c r="H517" t="str">
        <f>RIGHT(Table2[[#This Row],[Building]],LEN(Table2[[#This Row],[Building]])-9)</f>
        <v>Cargo Inspection Can</v>
      </c>
    </row>
    <row r="518" spans="1:8" ht="22.5" x14ac:dyDescent="0.25">
      <c r="A518" s="39" t="s">
        <v>829</v>
      </c>
      <c r="B518" s="29">
        <v>19533.97</v>
      </c>
      <c r="C518" s="29">
        <v>1184.1500000000001</v>
      </c>
      <c r="D518" s="29">
        <v>580.01</v>
      </c>
      <c r="E518" s="30">
        <v>21298.13</v>
      </c>
      <c r="F518" t="str">
        <f>LEFT(Table2[[#This Row],[Building]],2)</f>
        <v>MI</v>
      </c>
      <c r="G518" t="str">
        <f>LEFT(Table2[[#This Row],[Building]],8)</f>
        <v>MI0407CI</v>
      </c>
      <c r="H518" t="str">
        <f>RIGHT(Table2[[#This Row],[Building]],LEN(Table2[[#This Row],[Building]])-9)</f>
        <v>Non-Intrusive Inspec</v>
      </c>
    </row>
    <row r="519" spans="1:8" ht="22.5" x14ac:dyDescent="0.25">
      <c r="A519" s="39" t="s">
        <v>830</v>
      </c>
      <c r="B519" s="31">
        <v>502179.72</v>
      </c>
      <c r="C519" s="31">
        <v>234101.52</v>
      </c>
      <c r="D519" s="31">
        <v>250623.24</v>
      </c>
      <c r="E519" s="30">
        <v>986904.48</v>
      </c>
      <c r="F519" t="str">
        <f>LEFT(Table2[[#This Row],[Building]],2)</f>
        <v>MI</v>
      </c>
      <c r="G519" t="str">
        <f>LEFT(Table2[[#This Row],[Building]],8)</f>
        <v>MI0501BC</v>
      </c>
      <c r="H519" t="str">
        <f>RIGHT(Table2[[#This Row],[Building]],LEN(Table2[[#This Row],[Building]])-9)</f>
        <v>Hart-Dole-Inouye Bld</v>
      </c>
    </row>
    <row r="520" spans="1:8" x14ac:dyDescent="0.25">
      <c r="A520" s="39" t="s">
        <v>831</v>
      </c>
      <c r="B520" s="29">
        <v>234731.98</v>
      </c>
      <c r="C520" s="29">
        <v>59180.92</v>
      </c>
      <c r="D520" s="29">
        <v>114720.2</v>
      </c>
      <c r="E520" s="30">
        <v>408633.1</v>
      </c>
      <c r="F520" t="str">
        <f>LEFT(Table2[[#This Row],[Building]],2)</f>
        <v>MI</v>
      </c>
      <c r="G520" t="str">
        <f>LEFT(Table2[[#This Row],[Building]],8)</f>
        <v>MI0502BC</v>
      </c>
      <c r="H520" t="str">
        <f>RIGHT(Table2[[#This Row],[Building]],LEN(Table2[[#This Row],[Building]])-9)</f>
        <v>Fed Ctr Bldg No 1a</v>
      </c>
    </row>
    <row r="521" spans="1:8" x14ac:dyDescent="0.25">
      <c r="A521" s="39" t="s">
        <v>832</v>
      </c>
      <c r="B521" s="31">
        <v>488861.97</v>
      </c>
      <c r="C521" s="31">
        <v>242815.2</v>
      </c>
      <c r="D521" s="31">
        <v>241294.19</v>
      </c>
      <c r="E521" s="30">
        <v>972971.36</v>
      </c>
      <c r="F521" t="str">
        <f>LEFT(Table2[[#This Row],[Building]],2)</f>
        <v>MI</v>
      </c>
      <c r="G521" t="str">
        <f>LEFT(Table2[[#This Row],[Building]],8)</f>
        <v>MI0503BC</v>
      </c>
      <c r="H521" t="str">
        <f>RIGHT(Table2[[#This Row],[Building]],LEN(Table2[[#This Row],[Building]])-9)</f>
        <v>Fed Ctr Bldg No 2</v>
      </c>
    </row>
    <row r="522" spans="1:8" x14ac:dyDescent="0.25">
      <c r="A522" s="39" t="s">
        <v>833</v>
      </c>
      <c r="B522" s="29">
        <v>80375.73</v>
      </c>
      <c r="C522" s="29">
        <v>20326.45</v>
      </c>
      <c r="D522" s="29">
        <v>38927.64</v>
      </c>
      <c r="E522" s="30">
        <v>139629.82</v>
      </c>
      <c r="F522" t="str">
        <f>LEFT(Table2[[#This Row],[Building]],2)</f>
        <v>MI</v>
      </c>
      <c r="G522" t="str">
        <f>LEFT(Table2[[#This Row],[Building]],8)</f>
        <v>MI0504BC</v>
      </c>
      <c r="H522" t="str">
        <f>RIGHT(Table2[[#This Row],[Building]],LEN(Table2[[#This Row],[Building]])-9)</f>
        <v>Fed Ctr Bldg No 2a</v>
      </c>
    </row>
    <row r="523" spans="1:8" ht="22.5" x14ac:dyDescent="0.25">
      <c r="A523" s="39" t="s">
        <v>834</v>
      </c>
      <c r="B523" s="31">
        <v>44675.08</v>
      </c>
      <c r="C523" s="31">
        <v>10631.81</v>
      </c>
      <c r="D523" s="31">
        <v>21664.85</v>
      </c>
      <c r="E523" s="30">
        <v>76971.740000000005</v>
      </c>
      <c r="F523" t="str">
        <f>LEFT(Table2[[#This Row],[Building]],2)</f>
        <v>MI</v>
      </c>
      <c r="G523" t="str">
        <f>LEFT(Table2[[#This Row],[Building]],8)</f>
        <v>MI0505BC</v>
      </c>
      <c r="H523" t="str">
        <f>RIGHT(Table2[[#This Row],[Building]],LEN(Table2[[#This Row],[Building]])-9)</f>
        <v>Bldg 2b Federal Cts.</v>
      </c>
    </row>
    <row r="524" spans="1:8" ht="22.5" x14ac:dyDescent="0.25">
      <c r="A524" s="39" t="s">
        <v>835</v>
      </c>
      <c r="B524" s="29">
        <v>82517.240000000005</v>
      </c>
      <c r="C524" s="29">
        <v>20868.099999999999</v>
      </c>
      <c r="D524" s="29">
        <v>43781.47</v>
      </c>
      <c r="E524" s="30">
        <v>147166.81</v>
      </c>
      <c r="F524" t="str">
        <f>LEFT(Table2[[#This Row],[Building]],2)</f>
        <v>MI</v>
      </c>
      <c r="G524" t="str">
        <f>LEFT(Table2[[#This Row],[Building]],8)</f>
        <v>MI0506BC</v>
      </c>
      <c r="H524" t="str">
        <f>RIGHT(Table2[[#This Row],[Building]],LEN(Table2[[#This Row],[Building]])-9)</f>
        <v>Bldg No 2-C Fed Cntr</v>
      </c>
    </row>
    <row r="525" spans="1:8" x14ac:dyDescent="0.25">
      <c r="A525" s="39" t="s">
        <v>836</v>
      </c>
      <c r="B525" s="31">
        <v>67314.789999999994</v>
      </c>
      <c r="C525" s="31">
        <v>17023.45</v>
      </c>
      <c r="D525" s="31">
        <v>32594.31</v>
      </c>
      <c r="E525" s="30">
        <v>116932.55</v>
      </c>
      <c r="F525" t="str">
        <f>LEFT(Table2[[#This Row],[Building]],2)</f>
        <v>MI</v>
      </c>
      <c r="G525" t="str">
        <f>LEFT(Table2[[#This Row],[Building]],8)</f>
        <v>MI0507BC</v>
      </c>
      <c r="H525" t="str">
        <f>RIGHT(Table2[[#This Row],[Building]],LEN(Table2[[#This Row],[Building]])-9)</f>
        <v>Bldg 4 Fed Center</v>
      </c>
    </row>
    <row r="526" spans="1:8" x14ac:dyDescent="0.25">
      <c r="A526" s="39" t="s">
        <v>837</v>
      </c>
      <c r="B526" s="29">
        <v>21511.599999999999</v>
      </c>
      <c r="C526" s="29">
        <v>5440.15</v>
      </c>
      <c r="D526" s="29">
        <v>10665.27</v>
      </c>
      <c r="E526" s="30">
        <v>37617.019999999997</v>
      </c>
      <c r="F526" t="str">
        <f>LEFT(Table2[[#This Row],[Building]],2)</f>
        <v>MI</v>
      </c>
      <c r="G526" t="str">
        <f>LEFT(Table2[[#This Row],[Building]],8)</f>
        <v>MI0508BC</v>
      </c>
      <c r="H526" t="str">
        <f>RIGHT(Table2[[#This Row],[Building]],LEN(Table2[[#This Row],[Building]])-9)</f>
        <v>Bldg 4a Federal Ctr</v>
      </c>
    </row>
    <row r="527" spans="1:8" x14ac:dyDescent="0.25">
      <c r="A527" s="39" t="s">
        <v>838</v>
      </c>
      <c r="B527" s="31">
        <v>72370.39</v>
      </c>
      <c r="C527" s="31">
        <v>164501.12</v>
      </c>
      <c r="D527" s="31">
        <v>43237.07</v>
      </c>
      <c r="E527" s="30">
        <v>280108.58</v>
      </c>
      <c r="F527" t="str">
        <f>LEFT(Table2[[#This Row],[Building]],2)</f>
        <v>MI</v>
      </c>
      <c r="G527" t="str">
        <f>LEFT(Table2[[#This Row],[Building]],8)</f>
        <v>MI0509BC</v>
      </c>
      <c r="H527" t="str">
        <f>RIGHT(Table2[[#This Row],[Building]],LEN(Table2[[#This Row],[Building]])-9)</f>
        <v>Bldg 5 Fed Center</v>
      </c>
    </row>
    <row r="528" spans="1:8" x14ac:dyDescent="0.25">
      <c r="A528" s="39" t="s">
        <v>839</v>
      </c>
      <c r="B528" s="29">
        <v>20597.3</v>
      </c>
      <c r="C528" s="29">
        <v>5208.8900000000003</v>
      </c>
      <c r="D528" s="29">
        <v>12266.45</v>
      </c>
      <c r="E528" s="30">
        <v>38072.639999999999</v>
      </c>
      <c r="F528" t="str">
        <f>LEFT(Table2[[#This Row],[Building]],2)</f>
        <v>MI</v>
      </c>
      <c r="G528" t="str">
        <f>LEFT(Table2[[#This Row],[Building]],8)</f>
        <v>MI0510BC</v>
      </c>
      <c r="H528" t="str">
        <f>RIGHT(Table2[[#This Row],[Building]],LEN(Table2[[#This Row],[Building]])-9)</f>
        <v>Bldg 6 Federal Ctr</v>
      </c>
    </row>
    <row r="529" spans="1:8" x14ac:dyDescent="0.25">
      <c r="A529" s="39" t="s">
        <v>840</v>
      </c>
      <c r="B529" s="31">
        <v>11049.26</v>
      </c>
      <c r="C529" s="31">
        <v>2794.3</v>
      </c>
      <c r="D529" s="31">
        <v>5304.06</v>
      </c>
      <c r="E529" s="30">
        <v>19147.62</v>
      </c>
      <c r="F529" t="str">
        <f>LEFT(Table2[[#This Row],[Building]],2)</f>
        <v>MI</v>
      </c>
      <c r="G529" t="str">
        <f>LEFT(Table2[[#This Row],[Building]],8)</f>
        <v>MI0524BC</v>
      </c>
      <c r="H529" t="str">
        <f>RIGHT(Table2[[#This Row],[Building]],LEN(Table2[[#This Row],[Building]])-9)</f>
        <v>Bldg 28 Federal Ctr</v>
      </c>
    </row>
    <row r="530" spans="1:8" x14ac:dyDescent="0.25">
      <c r="A530" s="39" t="s">
        <v>841</v>
      </c>
      <c r="B530" s="29">
        <v>4378.07</v>
      </c>
      <c r="C530" s="29">
        <v>1107.2</v>
      </c>
      <c r="D530" s="29">
        <v>2101.54</v>
      </c>
      <c r="E530" s="30">
        <v>7586.81</v>
      </c>
      <c r="F530" t="str">
        <f>LEFT(Table2[[#This Row],[Building]],2)</f>
        <v>MI</v>
      </c>
      <c r="G530" t="str">
        <f>LEFT(Table2[[#This Row],[Building]],8)</f>
        <v>MI0525BC</v>
      </c>
      <c r="H530" t="str">
        <f>RIGHT(Table2[[#This Row],[Building]],LEN(Table2[[#This Row],[Building]])-9)</f>
        <v>Bldg 30 Fed Ctr</v>
      </c>
    </row>
    <row r="531" spans="1:8" x14ac:dyDescent="0.25">
      <c r="A531" s="39" t="s">
        <v>842</v>
      </c>
      <c r="B531" s="31">
        <v>9826.8799999999992</v>
      </c>
      <c r="C531" s="31">
        <v>2485.13</v>
      </c>
      <c r="D531" s="31">
        <v>4717.32</v>
      </c>
      <c r="E531" s="30">
        <v>17029.330000000002</v>
      </c>
      <c r="F531" t="str">
        <f>LEFT(Table2[[#This Row],[Building]],2)</f>
        <v>MI</v>
      </c>
      <c r="G531" t="str">
        <f>LEFT(Table2[[#This Row],[Building]],8)</f>
        <v>MI0526BC</v>
      </c>
      <c r="H531" t="str">
        <f>RIGHT(Table2[[#This Row],[Building]],LEN(Table2[[#This Row],[Building]])-9)</f>
        <v>Bldg 7 Fed Ctr</v>
      </c>
    </row>
    <row r="532" spans="1:8" x14ac:dyDescent="0.25">
      <c r="A532" s="39" t="s">
        <v>843</v>
      </c>
      <c r="B532" s="29">
        <v>54905.57</v>
      </c>
      <c r="C532" s="29">
        <v>13885.15</v>
      </c>
      <c r="D532" s="29">
        <v>26356.79</v>
      </c>
      <c r="E532" s="30">
        <v>95147.51</v>
      </c>
      <c r="F532" t="str">
        <f>LEFT(Table2[[#This Row],[Building]],2)</f>
        <v>MI</v>
      </c>
      <c r="G532" t="str">
        <f>LEFT(Table2[[#This Row],[Building]],8)</f>
        <v>MI0527BC</v>
      </c>
      <c r="H532" t="str">
        <f>RIGHT(Table2[[#This Row],[Building]],LEN(Table2[[#This Row],[Building]])-9)</f>
        <v>Bldg 8 Federal Ctr</v>
      </c>
    </row>
    <row r="533" spans="1:8" x14ac:dyDescent="0.25">
      <c r="A533" s="39" t="s">
        <v>844</v>
      </c>
      <c r="B533" s="31">
        <v>3322.01</v>
      </c>
      <c r="C533" s="31">
        <v>840.05</v>
      </c>
      <c r="D533" s="31">
        <v>3527.71</v>
      </c>
      <c r="E533" s="30">
        <v>7689.77</v>
      </c>
      <c r="F533" t="str">
        <f>LEFT(Table2[[#This Row],[Building]],2)</f>
        <v>MI</v>
      </c>
      <c r="G533" t="str">
        <f>LEFT(Table2[[#This Row],[Building]],8)</f>
        <v>MI0528BC</v>
      </c>
      <c r="H533" t="str">
        <f>RIGHT(Table2[[#This Row],[Building]],LEN(Table2[[#This Row],[Building]])-9)</f>
        <v>Bldg 20 Fed Center</v>
      </c>
    </row>
    <row r="534" spans="1:8" x14ac:dyDescent="0.25">
      <c r="A534" s="39" t="s">
        <v>845</v>
      </c>
      <c r="B534" s="29">
        <v>460.18</v>
      </c>
      <c r="C534" s="29">
        <v>116.43</v>
      </c>
      <c r="D534" s="29">
        <v>220.96</v>
      </c>
      <c r="E534" s="30">
        <v>797.57</v>
      </c>
      <c r="F534" t="str">
        <f>LEFT(Table2[[#This Row],[Building]],2)</f>
        <v>MI</v>
      </c>
      <c r="G534" t="str">
        <f>LEFT(Table2[[#This Row],[Building]],8)</f>
        <v>MI0529BC</v>
      </c>
      <c r="H534" t="str">
        <f>RIGHT(Table2[[#This Row],[Building]],LEN(Table2[[#This Row],[Building]])-9)</f>
        <v>Bldg 22 Fed Center</v>
      </c>
    </row>
    <row r="535" spans="1:8" x14ac:dyDescent="0.25">
      <c r="A535" s="39" t="s">
        <v>846</v>
      </c>
      <c r="B535" s="31">
        <v>931.61</v>
      </c>
      <c r="C535" s="31">
        <v>235.61</v>
      </c>
      <c r="D535" s="31">
        <v>447.15</v>
      </c>
      <c r="E535" s="30">
        <v>1614.37</v>
      </c>
      <c r="F535" t="str">
        <f>LEFT(Table2[[#This Row],[Building]],2)</f>
        <v>MI</v>
      </c>
      <c r="G535" t="str">
        <f>LEFT(Table2[[#This Row],[Building]],8)</f>
        <v>MI0531BC</v>
      </c>
      <c r="H535" t="str">
        <f>RIGHT(Table2[[#This Row],[Building]],LEN(Table2[[#This Row],[Building]])-9)</f>
        <v>Bldg 24 Fed Center</v>
      </c>
    </row>
    <row r="536" spans="1:8" x14ac:dyDescent="0.25">
      <c r="A536" s="39" t="s">
        <v>847</v>
      </c>
      <c r="B536" s="29">
        <v>222.24</v>
      </c>
      <c r="C536" s="29">
        <v>56.21</v>
      </c>
      <c r="D536" s="29">
        <v>106.73</v>
      </c>
      <c r="E536" s="30">
        <v>385.18</v>
      </c>
      <c r="F536" t="str">
        <f>LEFT(Table2[[#This Row],[Building]],2)</f>
        <v>MI</v>
      </c>
      <c r="G536" t="str">
        <f>LEFT(Table2[[#This Row],[Building]],8)</f>
        <v>MI0532BC</v>
      </c>
      <c r="H536" t="str">
        <f>RIGHT(Table2[[#This Row],[Building]],LEN(Table2[[#This Row],[Building]])-9)</f>
        <v>Bldg 31 Fed Center</v>
      </c>
    </row>
    <row r="537" spans="1:8" x14ac:dyDescent="0.25">
      <c r="A537" s="39" t="s">
        <v>848</v>
      </c>
      <c r="B537" s="31">
        <v>73273.14</v>
      </c>
      <c r="C537" s="31">
        <v>18530.240000000002</v>
      </c>
      <c r="D537" s="31">
        <v>39712.769999999997</v>
      </c>
      <c r="E537" s="30">
        <v>131516.15</v>
      </c>
      <c r="F537" t="str">
        <f>LEFT(Table2[[#This Row],[Building]],2)</f>
        <v>MI</v>
      </c>
      <c r="G537" t="str">
        <f>LEFT(Table2[[#This Row],[Building]],8)</f>
        <v>MI0538BC</v>
      </c>
      <c r="H537" t="str">
        <f>RIGHT(Table2[[#This Row],[Building]],LEN(Table2[[#This Row],[Building]])-9)</f>
        <v>Bldg 1b Federal Ctr</v>
      </c>
    </row>
    <row r="538" spans="1:8" x14ac:dyDescent="0.25">
      <c r="A538" s="39" t="s">
        <v>849</v>
      </c>
      <c r="B538" s="29">
        <v>163023.01</v>
      </c>
      <c r="C538" s="29">
        <v>36800.06</v>
      </c>
      <c r="D538" s="29">
        <v>45891.4</v>
      </c>
      <c r="E538" s="30">
        <v>245714.47</v>
      </c>
      <c r="F538" t="str">
        <f>LEFT(Table2[[#This Row],[Building]],2)</f>
        <v>MI</v>
      </c>
      <c r="G538" t="str">
        <f>LEFT(Table2[[#This Row],[Building]],8)</f>
        <v>MI0539BC</v>
      </c>
      <c r="H538" t="str">
        <f>RIGHT(Table2[[#This Row],[Building]],LEN(Table2[[#This Row],[Building]])-9)</f>
        <v>Child Care Facility</v>
      </c>
    </row>
    <row r="539" spans="1:8" ht="22.5" x14ac:dyDescent="0.25">
      <c r="A539" s="39" t="s">
        <v>850</v>
      </c>
      <c r="B539" s="31">
        <v>89888.89</v>
      </c>
      <c r="C539" s="31">
        <v>62313.79</v>
      </c>
      <c r="D539" s="31">
        <v>222976.22</v>
      </c>
      <c r="E539" s="30">
        <v>375178.9</v>
      </c>
      <c r="F539" t="str">
        <f>LEFT(Table2[[#This Row],[Building]],2)</f>
        <v>MI</v>
      </c>
      <c r="G539" t="str">
        <f>LEFT(Table2[[#This Row],[Building]],8)</f>
        <v>MI0601DI</v>
      </c>
      <c r="H539" t="str">
        <f>RIGHT(Table2[[#This Row],[Building]],LEN(Table2[[#This Row],[Building]])-9)</f>
        <v>Rosa Parks Federal B</v>
      </c>
    </row>
    <row r="540" spans="1:8" x14ac:dyDescent="0.25">
      <c r="A540" s="39" t="s">
        <v>854</v>
      </c>
      <c r="B540" s="29">
        <v>17599.689999999999</v>
      </c>
      <c r="C540" s="29">
        <v>1267.9000000000001</v>
      </c>
      <c r="D540" s="29">
        <v>23583.200000000001</v>
      </c>
      <c r="E540" s="30">
        <v>42450.79</v>
      </c>
      <c r="F540" t="str">
        <f>LEFT(Table2[[#This Row],[Building]],2)</f>
        <v>MI</v>
      </c>
      <c r="G540" t="str">
        <f>LEFT(Table2[[#This Row],[Building]],8)</f>
        <v>MI0724SB</v>
      </c>
      <c r="H540" t="str">
        <f>RIGHT(Table2[[#This Row],[Building]],LEN(Table2[[#This Row],[Building]])-9)</f>
        <v>Land Port Of Entry</v>
      </c>
    </row>
    <row r="541" spans="1:8" ht="22.5" x14ac:dyDescent="0.25">
      <c r="A541" s="39" t="s">
        <v>855</v>
      </c>
      <c r="B541" s="31">
        <v>208049.42</v>
      </c>
      <c r="C541" s="31">
        <v>173075</v>
      </c>
      <c r="D541" s="31">
        <v>321491.57</v>
      </c>
      <c r="E541" s="30">
        <v>702615.99</v>
      </c>
      <c r="F541" t="str">
        <f>LEFT(Table2[[#This Row],[Building]],2)</f>
        <v>MN</v>
      </c>
      <c r="G541" t="str">
        <f>LEFT(Table2[[#This Row],[Building]],8)</f>
        <v>MN0015ZZ</v>
      </c>
      <c r="H541" t="str">
        <f>RIGHT(Table2[[#This Row],[Building]],LEN(Table2[[#This Row],[Building]])-9)</f>
        <v>G W Heaney F.B. &amp; Us</v>
      </c>
    </row>
    <row r="542" spans="1:8" ht="22.5" x14ac:dyDescent="0.25">
      <c r="A542" s="39" t="s">
        <v>856</v>
      </c>
      <c r="B542" s="29">
        <v>63240.72</v>
      </c>
      <c r="C542" s="29">
        <v>38285.9</v>
      </c>
      <c r="D542" s="29">
        <v>100580.98</v>
      </c>
      <c r="E542" s="30">
        <v>202107.6</v>
      </c>
      <c r="F542" t="str">
        <f>LEFT(Table2[[#This Row],[Building]],2)</f>
        <v>MN</v>
      </c>
      <c r="G542" t="str">
        <f>LEFT(Table2[[#This Row],[Building]],8)</f>
        <v>MN0021ZZ</v>
      </c>
      <c r="H542" t="str">
        <f>RIGHT(Table2[[#This Row],[Building]],LEN(Table2[[#This Row],[Building]])-9)</f>
        <v>Edward J. Devitt U.S</v>
      </c>
    </row>
    <row r="543" spans="1:8" x14ac:dyDescent="0.25">
      <c r="A543" s="39" t="s">
        <v>857</v>
      </c>
      <c r="B543" s="31">
        <v>176636.51</v>
      </c>
      <c r="C543" s="31">
        <v>112479.89</v>
      </c>
      <c r="D543" s="31">
        <v>167182.29</v>
      </c>
      <c r="E543" s="30">
        <v>456298.69</v>
      </c>
      <c r="F543" t="str">
        <f>LEFT(Table2[[#This Row],[Building]],2)</f>
        <v>MN</v>
      </c>
      <c r="G543" t="str">
        <f>LEFT(Table2[[#This Row],[Building]],8)</f>
        <v>MN0036ZZ</v>
      </c>
      <c r="H543" t="str">
        <f>RIGHT(Table2[[#This Row],[Building]],LEN(Table2[[#This Row],[Building]])-9)</f>
        <v>Federal Building</v>
      </c>
    </row>
    <row r="544" spans="1:8" x14ac:dyDescent="0.25">
      <c r="A544" s="39" t="s">
        <v>858</v>
      </c>
      <c r="B544" s="29">
        <v>122267.16</v>
      </c>
      <c r="C544" s="29">
        <v>75025.72</v>
      </c>
      <c r="D544" s="29">
        <v>144840.16</v>
      </c>
      <c r="E544" s="30">
        <v>342133.04</v>
      </c>
      <c r="F544" t="str">
        <f>LEFT(Table2[[#This Row],[Building]],2)</f>
        <v>MN</v>
      </c>
      <c r="G544" t="str">
        <f>LEFT(Table2[[#This Row],[Building]],8)</f>
        <v>MN0076ZZ</v>
      </c>
      <c r="H544" t="str">
        <f>RIGHT(Table2[[#This Row],[Building]],LEN(Table2[[#This Row],[Building]])-9)</f>
        <v>Federal Building</v>
      </c>
    </row>
    <row r="545" spans="1:8" ht="22.5" x14ac:dyDescent="0.25">
      <c r="A545" s="39" t="s">
        <v>859</v>
      </c>
      <c r="B545" s="31">
        <v>98567.03</v>
      </c>
      <c r="C545" s="31">
        <v>52020.05</v>
      </c>
      <c r="D545" s="31">
        <v>55604.9</v>
      </c>
      <c r="E545" s="30">
        <v>206191.98</v>
      </c>
      <c r="F545" t="str">
        <f>LEFT(Table2[[#This Row],[Building]],2)</f>
        <v>MN</v>
      </c>
      <c r="G545" t="str">
        <f>LEFT(Table2[[#This Row],[Building]],8)</f>
        <v>MN0084ZZ</v>
      </c>
      <c r="H545" t="str">
        <f>RIGHT(Table2[[#This Row],[Building]],LEN(Table2[[#This Row],[Building]])-9)</f>
        <v>Social Security Adm</v>
      </c>
    </row>
    <row r="546" spans="1:8" ht="22.5" x14ac:dyDescent="0.25">
      <c r="A546" s="39" t="s">
        <v>860</v>
      </c>
      <c r="B546" s="29">
        <v>1144869.8400000001</v>
      </c>
      <c r="C546" s="29">
        <v>415009.79</v>
      </c>
      <c r="D546" s="29">
        <v>778077.03</v>
      </c>
      <c r="E546" s="30">
        <v>2337956.66</v>
      </c>
      <c r="F546" t="str">
        <f>LEFT(Table2[[#This Row],[Building]],2)</f>
        <v>MN</v>
      </c>
      <c r="G546" t="str">
        <f>LEFT(Table2[[#This Row],[Building]],8)</f>
        <v>MN0086TC</v>
      </c>
      <c r="H546" t="str">
        <f>RIGHT(Table2[[#This Row],[Building]],LEN(Table2[[#This Row],[Building]])-9)</f>
        <v>Bishop Henry Whipple</v>
      </c>
    </row>
    <row r="547" spans="1:8" ht="22.5" x14ac:dyDescent="0.25">
      <c r="A547" s="39" t="s">
        <v>861</v>
      </c>
      <c r="B547" s="31">
        <v>789802.12</v>
      </c>
      <c r="C547" s="31">
        <v>649714.88</v>
      </c>
      <c r="D547" s="31">
        <v>364276.77</v>
      </c>
      <c r="E547" s="30">
        <v>1803793.77</v>
      </c>
      <c r="F547" t="str">
        <f>LEFT(Table2[[#This Row],[Building]],2)</f>
        <v>MN</v>
      </c>
      <c r="G547" t="str">
        <f>LEFT(Table2[[#This Row],[Building]],8)</f>
        <v>MN0087ZZ</v>
      </c>
      <c r="H547" t="str">
        <f>RIGHT(Table2[[#This Row],[Building]],LEN(Table2[[#This Row],[Building]])-9)</f>
        <v>W E Burger Fb &amp; Us C</v>
      </c>
    </row>
    <row r="548" spans="1:8" ht="22.5" x14ac:dyDescent="0.25">
      <c r="A548" s="39" t="s">
        <v>862</v>
      </c>
      <c r="B548" s="29">
        <v>39380.519999999997</v>
      </c>
      <c r="C548" s="29">
        <v>12320.82</v>
      </c>
      <c r="D548" s="29">
        <v>19444.259999999998</v>
      </c>
      <c r="E548" s="30">
        <v>71145.600000000006</v>
      </c>
      <c r="F548" t="str">
        <f>LEFT(Table2[[#This Row],[Building]],2)</f>
        <v>MN</v>
      </c>
      <c r="G548" t="str">
        <f>LEFT(Table2[[#This Row],[Building]],8)</f>
        <v>MN0088ZZ</v>
      </c>
      <c r="H548" t="str">
        <f>RIGHT(Table2[[#This Row],[Building]],LEN(Table2[[#This Row],[Building]])-9)</f>
        <v>Social Security Adm</v>
      </c>
    </row>
    <row r="549" spans="1:8" x14ac:dyDescent="0.25">
      <c r="A549" s="39" t="s">
        <v>863</v>
      </c>
      <c r="B549" s="34" t="s">
        <v>864</v>
      </c>
      <c r="C549" s="31">
        <v>1292.67</v>
      </c>
      <c r="D549" s="31">
        <v>9823.09</v>
      </c>
      <c r="E549" s="33" t="s">
        <v>865</v>
      </c>
      <c r="F549" t="str">
        <f>LEFT(Table2[[#This Row],[Building]],2)</f>
        <v>MN</v>
      </c>
      <c r="G549" t="str">
        <f>LEFT(Table2[[#This Row],[Building]],8)</f>
        <v>MN0089GP</v>
      </c>
      <c r="H549" t="str">
        <f>RIGHT(Table2[[#This Row],[Building]],LEN(Table2[[#This Row],[Building]])-9)</f>
        <v>Border Station</v>
      </c>
    </row>
    <row r="550" spans="1:8" x14ac:dyDescent="0.25">
      <c r="A550" s="39" t="s">
        <v>866</v>
      </c>
      <c r="B550" s="29">
        <v>941288.24</v>
      </c>
      <c r="C550" s="29">
        <v>1342994.5</v>
      </c>
      <c r="D550" s="29">
        <v>783002.67</v>
      </c>
      <c r="E550" s="30">
        <v>3067285.41</v>
      </c>
      <c r="F550" t="str">
        <f>LEFT(Table2[[#This Row],[Building]],2)</f>
        <v>MN</v>
      </c>
      <c r="G550" t="str">
        <f>LEFT(Table2[[#This Row],[Building]],8)</f>
        <v>MN0092ZZ</v>
      </c>
      <c r="H550" t="str">
        <f>RIGHT(Table2[[#This Row],[Building]],LEN(Table2[[#This Row],[Building]])-9)</f>
        <v>U.S. Courthouse</v>
      </c>
    </row>
    <row r="551" spans="1:8" x14ac:dyDescent="0.25">
      <c r="A551" s="39" t="s">
        <v>867</v>
      </c>
      <c r="B551" s="34" t="s">
        <v>868</v>
      </c>
      <c r="C551" s="31">
        <v>1215.6400000000001</v>
      </c>
      <c r="D551" s="34" t="s">
        <v>869</v>
      </c>
      <c r="E551" s="33" t="s">
        <v>870</v>
      </c>
      <c r="F551" t="str">
        <f>LEFT(Table2[[#This Row],[Building]],2)</f>
        <v>MN</v>
      </c>
      <c r="G551" t="str">
        <f>LEFT(Table2[[#This Row],[Building]],8)</f>
        <v>MN0300ZZ</v>
      </c>
      <c r="H551" t="str">
        <f>RIGHT(Table2[[#This Row],[Building]],LEN(Table2[[#This Row],[Building]])-9)</f>
        <v>U.S. Border Station</v>
      </c>
    </row>
    <row r="552" spans="1:8" x14ac:dyDescent="0.25">
      <c r="A552" s="39" t="s">
        <v>871</v>
      </c>
      <c r="B552" s="32" t="s">
        <v>872</v>
      </c>
      <c r="C552" s="29">
        <v>2533.84</v>
      </c>
      <c r="D552" s="32" t="s">
        <v>873</v>
      </c>
      <c r="E552" s="33" t="s">
        <v>874</v>
      </c>
      <c r="F552" t="str">
        <f>LEFT(Table2[[#This Row],[Building]],2)</f>
        <v>MN</v>
      </c>
      <c r="G552" t="str">
        <f>LEFT(Table2[[#This Row],[Building]],8)</f>
        <v>MN0600ZZ</v>
      </c>
      <c r="H552" t="str">
        <f>RIGHT(Table2[[#This Row],[Building]],LEN(Table2[[#This Row],[Building]])-9)</f>
        <v>Border Station</v>
      </c>
    </row>
    <row r="553" spans="1:8" ht="22.5" x14ac:dyDescent="0.25">
      <c r="A553" s="39" t="s">
        <v>875</v>
      </c>
      <c r="B553" s="34" t="s">
        <v>876</v>
      </c>
      <c r="C553" s="31">
        <v>19408.66</v>
      </c>
      <c r="D553" s="34" t="s">
        <v>877</v>
      </c>
      <c r="E553" s="33" t="s">
        <v>878</v>
      </c>
      <c r="F553" t="str">
        <f>LEFT(Table2[[#This Row],[Building]],2)</f>
        <v>MN</v>
      </c>
      <c r="G553" t="str">
        <f>LEFT(Table2[[#This Row],[Building]],8)</f>
        <v>MN0650WB</v>
      </c>
      <c r="H553" t="str">
        <f>RIGHT(Table2[[#This Row],[Building]],LEN(Table2[[#This Row],[Building]])-9)</f>
        <v>Warroad Port Of Entr</v>
      </c>
    </row>
    <row r="554" spans="1:8" ht="22.5" x14ac:dyDescent="0.25">
      <c r="A554" s="39" t="s">
        <v>879</v>
      </c>
      <c r="B554" s="29">
        <v>264334.84999999998</v>
      </c>
      <c r="C554" s="29">
        <v>85214.6</v>
      </c>
      <c r="D554" s="29">
        <v>231575.85</v>
      </c>
      <c r="E554" s="30">
        <v>581125.30000000005</v>
      </c>
      <c r="F554" t="str">
        <f>LEFT(Table2[[#This Row],[Building]],2)</f>
        <v>MO</v>
      </c>
      <c r="G554" t="str">
        <f>LEFT(Table2[[#This Row],[Building]],8)</f>
        <v>MO0022ZZ</v>
      </c>
      <c r="H554" t="str">
        <f>RIGHT(Table2[[#This Row],[Building]],LEN(Table2[[#This Row],[Building]])-9)</f>
        <v>Christopher Bond Cth</v>
      </c>
    </row>
    <row r="555" spans="1:8" ht="22.5" x14ac:dyDescent="0.25">
      <c r="A555" s="39" t="s">
        <v>880</v>
      </c>
      <c r="B555" s="31">
        <v>83113.37</v>
      </c>
      <c r="C555" s="31">
        <v>74271.37</v>
      </c>
      <c r="D555" s="31">
        <v>62619.6</v>
      </c>
      <c r="E555" s="30">
        <v>220004.34</v>
      </c>
      <c r="F555" t="str">
        <f>LEFT(Table2[[#This Row],[Building]],2)</f>
        <v>MO</v>
      </c>
      <c r="G555" t="str">
        <f>LEFT(Table2[[#This Row],[Building]],8)</f>
        <v>MO0033AD</v>
      </c>
      <c r="H555" t="str">
        <f>RIGHT(Table2[[#This Row],[Building]],LEN(Table2[[#This Row],[Building]])-9)</f>
        <v>Federal Building 41</v>
      </c>
    </row>
    <row r="556" spans="1:8" x14ac:dyDescent="0.25">
      <c r="A556" s="39" t="s">
        <v>882</v>
      </c>
      <c r="B556" s="31">
        <v>520158.28</v>
      </c>
      <c r="C556" s="31">
        <v>779142.18</v>
      </c>
      <c r="D556" s="31">
        <v>264059.93</v>
      </c>
      <c r="E556" s="30">
        <v>1563360.39</v>
      </c>
      <c r="F556" t="str">
        <f>LEFT(Table2[[#This Row],[Building]],2)</f>
        <v>MO</v>
      </c>
      <c r="G556" t="str">
        <f>LEFT(Table2[[#This Row],[Building]],8)</f>
        <v>MO0039ZZ</v>
      </c>
      <c r="H556" t="str">
        <f>RIGHT(Table2[[#This Row],[Building]],LEN(Table2[[#This Row],[Building]])-9)</f>
        <v>Federal Bg</v>
      </c>
    </row>
    <row r="557" spans="1:8" ht="22.5" x14ac:dyDescent="0.25">
      <c r="A557" s="39" t="s">
        <v>883</v>
      </c>
      <c r="B557" s="29">
        <v>803159.88</v>
      </c>
      <c r="C557" s="29">
        <v>1013584.34</v>
      </c>
      <c r="D557" s="29">
        <v>847960.46</v>
      </c>
      <c r="E557" s="30">
        <v>2664704.6800000002</v>
      </c>
      <c r="F557" t="str">
        <f>LEFT(Table2[[#This Row],[Building]],2)</f>
        <v>MO</v>
      </c>
      <c r="G557" t="str">
        <f>LEFT(Table2[[#This Row],[Building]],8)</f>
        <v>MO0050ZZ</v>
      </c>
      <c r="H557" t="str">
        <f>RIGHT(Table2[[#This Row],[Building]],LEN(Table2[[#This Row],[Building]])-9)</f>
        <v>Charles Evans Whitta</v>
      </c>
    </row>
    <row r="558" spans="1:8" ht="22.5" x14ac:dyDescent="0.25">
      <c r="A558" s="39" t="s">
        <v>884</v>
      </c>
      <c r="B558" s="31">
        <v>1058580.3500000001</v>
      </c>
      <c r="C558" s="31">
        <v>1575553.84</v>
      </c>
      <c r="D558" s="31">
        <v>1539751.59</v>
      </c>
      <c r="E558" s="30">
        <v>4173885.78</v>
      </c>
      <c r="F558" t="str">
        <f>LEFT(Table2[[#This Row],[Building]],2)</f>
        <v>MO</v>
      </c>
      <c r="G558" t="str">
        <f>LEFT(Table2[[#This Row],[Building]],8)</f>
        <v>MO0095ZZ</v>
      </c>
      <c r="H558" t="str">
        <f>RIGHT(Table2[[#This Row],[Building]],LEN(Table2[[#This Row],[Building]])-9)</f>
        <v>Thomas F. Eagleton C</v>
      </c>
    </row>
    <row r="559" spans="1:8" ht="22.5" x14ac:dyDescent="0.25">
      <c r="A559" s="39" t="s">
        <v>886</v>
      </c>
      <c r="B559" s="29">
        <v>1892261.07</v>
      </c>
      <c r="C559" s="29">
        <v>944709.54</v>
      </c>
      <c r="D559" s="29">
        <v>1199764.68</v>
      </c>
      <c r="E559" s="30">
        <v>4036735.29</v>
      </c>
      <c r="F559" t="str">
        <f>LEFT(Table2[[#This Row],[Building]],2)</f>
        <v>MO</v>
      </c>
      <c r="G559" t="str">
        <f>LEFT(Table2[[#This Row],[Building]],8)</f>
        <v>MO0106ZZ</v>
      </c>
      <c r="H559" t="str">
        <f>RIGHT(Table2[[#This Row],[Building]],LEN(Table2[[#This Row],[Building]])-9)</f>
        <v>Robt A Young Fed Bld</v>
      </c>
    </row>
    <row r="560" spans="1:8" x14ac:dyDescent="0.25">
      <c r="A560" s="39" t="s">
        <v>887</v>
      </c>
      <c r="B560" s="31">
        <v>99458.74</v>
      </c>
      <c r="C560" s="31">
        <v>36960.06</v>
      </c>
      <c r="D560" s="31">
        <v>141102.13</v>
      </c>
      <c r="E560" s="30">
        <v>277520.93</v>
      </c>
      <c r="F560" t="str">
        <f>LEFT(Table2[[#This Row],[Building]],2)</f>
        <v>MO</v>
      </c>
      <c r="G560" t="str">
        <f>LEFT(Table2[[#This Row],[Building]],8)</f>
        <v>MO0121ZZ</v>
      </c>
      <c r="H560" t="str">
        <f>RIGHT(Table2[[#This Row],[Building]],LEN(Table2[[#This Row],[Building]])-9)</f>
        <v>Federal Bg Uspo Ct</v>
      </c>
    </row>
    <row r="561" spans="1:8" x14ac:dyDescent="0.25">
      <c r="A561" s="39" t="s">
        <v>888</v>
      </c>
      <c r="B561" s="29">
        <v>1871148.38</v>
      </c>
      <c r="C561" s="29">
        <v>2446661.66</v>
      </c>
      <c r="D561" s="29">
        <v>2052259.43</v>
      </c>
      <c r="E561" s="30">
        <v>6370069.4699999997</v>
      </c>
      <c r="F561" t="str">
        <f>LEFT(Table2[[#This Row],[Building]],2)</f>
        <v>MO</v>
      </c>
      <c r="G561" t="str">
        <f>LEFT(Table2[[#This Row],[Building]],8)</f>
        <v>MO0127ZZ</v>
      </c>
      <c r="H561" t="str">
        <f>RIGHT(Table2[[#This Row],[Building]],LEN(Table2[[#This Row],[Building]])-9)</f>
        <v>Richard Bolling Fb</v>
      </c>
    </row>
    <row r="562" spans="1:8" ht="22.5" x14ac:dyDescent="0.25">
      <c r="A562" s="39" t="s">
        <v>889</v>
      </c>
      <c r="B562" s="31">
        <v>463928.08</v>
      </c>
      <c r="C562" s="31">
        <v>190699.42</v>
      </c>
      <c r="D562" s="31">
        <v>210979.25</v>
      </c>
      <c r="E562" s="30">
        <v>865606.75</v>
      </c>
      <c r="F562" t="str">
        <f>LEFT(Table2[[#This Row],[Building]],2)</f>
        <v>MO</v>
      </c>
      <c r="G562" t="str">
        <f>LEFT(Table2[[#This Row],[Building]],8)</f>
        <v>MO0134ZZ</v>
      </c>
      <c r="H562" t="str">
        <f>RIGHT(Table2[[#This Row],[Building]],LEN(Table2[[#This Row],[Building]])-9)</f>
        <v>8930 Ward Pky Federa</v>
      </c>
    </row>
    <row r="563" spans="1:8" ht="22.5" x14ac:dyDescent="0.25">
      <c r="A563" s="39" t="s">
        <v>890</v>
      </c>
      <c r="B563" s="29">
        <v>295463.43</v>
      </c>
      <c r="C563" s="29">
        <v>158435.92000000001</v>
      </c>
      <c r="D563" s="29">
        <v>278720.01</v>
      </c>
      <c r="E563" s="30">
        <v>732619.36</v>
      </c>
      <c r="F563" t="str">
        <f>LEFT(Table2[[#This Row],[Building]],2)</f>
        <v>MO</v>
      </c>
      <c r="G563" t="str">
        <f>LEFT(Table2[[#This Row],[Building]],8)</f>
        <v>MO0147ZZ</v>
      </c>
      <c r="H563" t="str">
        <f>RIGHT(Table2[[#This Row],[Building]],LEN(Table2[[#This Row],[Building]])-9)</f>
        <v>Rush Hudson Limbaugh</v>
      </c>
    </row>
    <row r="564" spans="1:8" x14ac:dyDescent="0.25">
      <c r="A564" s="39" t="s">
        <v>891</v>
      </c>
      <c r="B564" s="31">
        <v>341674.93</v>
      </c>
      <c r="C564" s="31">
        <v>192330.49</v>
      </c>
      <c r="D564" s="31">
        <v>157900.6</v>
      </c>
      <c r="E564" s="30">
        <v>691906.02</v>
      </c>
      <c r="F564" t="str">
        <f>LEFT(Table2[[#This Row],[Building]],2)</f>
        <v>MO</v>
      </c>
      <c r="G564" t="str">
        <f>LEFT(Table2[[#This Row],[Building]],8)</f>
        <v>MO0531AD</v>
      </c>
      <c r="H564" t="str">
        <f>RIGHT(Table2[[#This Row],[Building]],LEN(Table2[[#This Row],[Building]])-9)</f>
        <v>Fed Bldg No 2</v>
      </c>
    </row>
    <row r="565" spans="1:8" x14ac:dyDescent="0.25">
      <c r="A565" s="39" t="s">
        <v>892</v>
      </c>
      <c r="B565" s="29">
        <v>16864.79</v>
      </c>
      <c r="C565" s="29">
        <v>8495.34</v>
      </c>
      <c r="D565" s="29">
        <v>6633.57</v>
      </c>
      <c r="E565" s="30">
        <v>31993.7</v>
      </c>
      <c r="F565" t="str">
        <f>LEFT(Table2[[#This Row],[Building]],2)</f>
        <v>MO</v>
      </c>
      <c r="G565" t="str">
        <f>LEFT(Table2[[#This Row],[Building]],8)</f>
        <v>MO0532AD</v>
      </c>
      <c r="H565" t="str">
        <f>RIGHT(Table2[[#This Row],[Building]],LEN(Table2[[#This Row],[Building]])-9)</f>
        <v>Fed Bldg No 4</v>
      </c>
    </row>
    <row r="566" spans="1:8" x14ac:dyDescent="0.25">
      <c r="A566" s="39" t="s">
        <v>896</v>
      </c>
      <c r="B566" s="31">
        <v>765441.16</v>
      </c>
      <c r="C566" s="31">
        <v>731084.88</v>
      </c>
      <c r="D566" s="31">
        <v>702511.76</v>
      </c>
      <c r="E566" s="30">
        <v>2199037.7999999998</v>
      </c>
      <c r="F566" t="str">
        <f>LEFT(Table2[[#This Row],[Building]],2)</f>
        <v>MO</v>
      </c>
      <c r="G566" t="str">
        <f>LEFT(Table2[[#This Row],[Building]],8)</f>
        <v>MO0544AD</v>
      </c>
      <c r="H566" t="str">
        <f>RIGHT(Table2[[#This Row],[Building]],LEN(Table2[[#This Row],[Building]])-9)</f>
        <v>Fed Bldg No 1</v>
      </c>
    </row>
    <row r="567" spans="1:8" ht="22.5" x14ac:dyDescent="0.25">
      <c r="A567" s="39" t="s">
        <v>897</v>
      </c>
      <c r="B567" s="29">
        <v>7697.12</v>
      </c>
      <c r="C567" s="29">
        <v>7974.21</v>
      </c>
      <c r="D567" s="29">
        <v>5839.26</v>
      </c>
      <c r="E567" s="30">
        <v>21510.59</v>
      </c>
      <c r="F567" t="str">
        <f>LEFT(Table2[[#This Row],[Building]],2)</f>
        <v>MO</v>
      </c>
      <c r="G567" t="str">
        <f>LEFT(Table2[[#This Row],[Building]],8)</f>
        <v>MO0546AD</v>
      </c>
      <c r="H567" t="str">
        <f>RIGHT(Table2[[#This Row],[Building]],LEN(Table2[[#This Row],[Building]])-9)</f>
        <v>Federal Building 52</v>
      </c>
    </row>
    <row r="568" spans="1:8" x14ac:dyDescent="0.25">
      <c r="A568" s="39" t="s">
        <v>898</v>
      </c>
      <c r="B568" s="31">
        <v>25585.5</v>
      </c>
      <c r="C568" s="31">
        <v>13794.68</v>
      </c>
      <c r="D568" s="31">
        <v>11433.3</v>
      </c>
      <c r="E568" s="30">
        <v>50813.48</v>
      </c>
      <c r="F568" t="str">
        <f>LEFT(Table2[[#This Row],[Building]],2)</f>
        <v>MO</v>
      </c>
      <c r="G568" t="str">
        <f>LEFT(Table2[[#This Row],[Building]],8)</f>
        <v>MO0547AD</v>
      </c>
      <c r="H568" t="str">
        <f>RIGHT(Table2[[#This Row],[Building]],LEN(Table2[[#This Row],[Building]])-9)</f>
        <v>Fed Bldg, No.6</v>
      </c>
    </row>
    <row r="569" spans="1:8" x14ac:dyDescent="0.25">
      <c r="A569" s="39" t="s">
        <v>900</v>
      </c>
      <c r="B569" s="29">
        <v>59727.71</v>
      </c>
      <c r="C569" s="29">
        <v>467116.22</v>
      </c>
      <c r="D569" s="29">
        <v>534684.67000000004</v>
      </c>
      <c r="E569" s="30">
        <v>1061528.6000000001</v>
      </c>
      <c r="F569" t="str">
        <f>LEFT(Table2[[#This Row],[Building]],2)</f>
        <v>MO</v>
      </c>
      <c r="G569" t="str">
        <f>LEFT(Table2[[#This Row],[Building]],8)</f>
        <v>MO0551AG</v>
      </c>
      <c r="H569" t="str">
        <f>RIGHT(Table2[[#This Row],[Building]],LEN(Table2[[#This Row],[Building]])-9)</f>
        <v>Frc Bldg 100</v>
      </c>
    </row>
    <row r="570" spans="1:8" ht="22.5" x14ac:dyDescent="0.25">
      <c r="A570" s="39" t="s">
        <v>901</v>
      </c>
      <c r="B570" s="31">
        <v>6235.39</v>
      </c>
      <c r="C570" s="31">
        <v>24140.639999999999</v>
      </c>
      <c r="D570" s="31">
        <v>30545.47</v>
      </c>
      <c r="E570" s="30">
        <v>60921.5</v>
      </c>
      <c r="F570" t="str">
        <f>LEFT(Table2[[#This Row],[Building]],2)</f>
        <v>MO</v>
      </c>
      <c r="G570" t="str">
        <f>LEFT(Table2[[#This Row],[Building]],8)</f>
        <v>MO0552AG</v>
      </c>
      <c r="H570" t="str">
        <f>RIGHT(Table2[[#This Row],[Building]],LEN(Table2[[#This Row],[Building]])-9)</f>
        <v>Fed Rcds Ctr Bg 101</v>
      </c>
    </row>
    <row r="571" spans="1:8" ht="22.5" x14ac:dyDescent="0.25">
      <c r="A571" s="39" t="s">
        <v>903</v>
      </c>
      <c r="B571" s="29">
        <v>232214.51</v>
      </c>
      <c r="C571" s="29">
        <v>208018.32</v>
      </c>
      <c r="D571" s="29">
        <v>187950.4</v>
      </c>
      <c r="E571" s="30">
        <v>628183.23</v>
      </c>
      <c r="F571" t="str">
        <f>LEFT(Table2[[#This Row],[Building]],2)</f>
        <v>MO</v>
      </c>
      <c r="G571" t="str">
        <f>LEFT(Table2[[#This Row],[Building]],8)</f>
        <v>MO0559AJ</v>
      </c>
      <c r="H571" t="str">
        <f>RIGHT(Table2[[#This Row],[Building]],LEN(Table2[[#This Row],[Building]])-9)</f>
        <v>Sammy L. Davis Feder</v>
      </c>
    </row>
    <row r="572" spans="1:8" ht="22.5" x14ac:dyDescent="0.25">
      <c r="A572" s="39" t="s">
        <v>904</v>
      </c>
      <c r="B572" s="31">
        <v>3700.17</v>
      </c>
      <c r="C572" s="31">
        <v>6241.01</v>
      </c>
      <c r="D572" s="31">
        <v>6981.93</v>
      </c>
      <c r="E572" s="30">
        <v>16923.11</v>
      </c>
      <c r="F572" t="str">
        <f>LEFT(Table2[[#This Row],[Building]],2)</f>
        <v>MO</v>
      </c>
      <c r="G572" t="str">
        <f>LEFT(Table2[[#This Row],[Building]],8)</f>
        <v>MO0562AJ</v>
      </c>
      <c r="H572" t="str">
        <f>RIGHT(Table2[[#This Row],[Building]],LEN(Table2[[#This Row],[Building]])-9)</f>
        <v>Sammy L. Davis Feder</v>
      </c>
    </row>
    <row r="573" spans="1:8" ht="22.5" x14ac:dyDescent="0.25">
      <c r="A573" s="39" t="s">
        <v>905</v>
      </c>
      <c r="B573" s="29">
        <v>426111.18</v>
      </c>
      <c r="C573" s="29">
        <v>46653.66</v>
      </c>
      <c r="D573" s="29">
        <v>460960.37</v>
      </c>
      <c r="E573" s="30">
        <v>933725.21</v>
      </c>
      <c r="F573" t="str">
        <f>LEFT(Table2[[#This Row],[Building]],2)</f>
        <v>MO</v>
      </c>
      <c r="G573" t="str">
        <f>LEFT(Table2[[#This Row],[Building]],8)</f>
        <v>MO0570AG</v>
      </c>
      <c r="H573" t="str">
        <f>RIGHT(Table2[[#This Row],[Building]],LEN(Table2[[#This Row],[Building]])-9)</f>
        <v>Chas F Prevedel Fb</v>
      </c>
    </row>
    <row r="574" spans="1:8" x14ac:dyDescent="0.25">
      <c r="A574" s="39" t="s">
        <v>906</v>
      </c>
      <c r="B574" s="31">
        <v>12201.6</v>
      </c>
      <c r="C574" s="31">
        <v>50377.22</v>
      </c>
      <c r="D574" s="31">
        <v>126601</v>
      </c>
      <c r="E574" s="30">
        <v>189179.82</v>
      </c>
      <c r="F574" t="str">
        <f>LEFT(Table2[[#This Row],[Building]],2)</f>
        <v>MO</v>
      </c>
      <c r="G574" t="str">
        <f>LEFT(Table2[[#This Row],[Building]],8)</f>
        <v>MO0601AF</v>
      </c>
      <c r="H574" t="str">
        <f>RIGHT(Table2[[#This Row],[Building]],LEN(Table2[[#This Row],[Building]])-9)</f>
        <v>Federal Ctr Bg 101</v>
      </c>
    </row>
    <row r="575" spans="1:8" x14ac:dyDescent="0.25">
      <c r="A575" s="39" t="s">
        <v>907</v>
      </c>
      <c r="B575" s="29">
        <v>38898.58</v>
      </c>
      <c r="C575" s="29">
        <v>23816.52</v>
      </c>
      <c r="D575" s="29">
        <v>244225.61</v>
      </c>
      <c r="E575" s="30">
        <v>306940.71000000002</v>
      </c>
      <c r="F575" t="str">
        <f>LEFT(Table2[[#This Row],[Building]],2)</f>
        <v>MO</v>
      </c>
      <c r="G575" t="str">
        <f>LEFT(Table2[[#This Row],[Building]],8)</f>
        <v>MO0602AF</v>
      </c>
      <c r="H575" t="str">
        <f>RIGHT(Table2[[#This Row],[Building]],LEN(Table2[[#This Row],[Building]])-9)</f>
        <v>Federal Ctr Bg 107</v>
      </c>
    </row>
    <row r="576" spans="1:8" x14ac:dyDescent="0.25">
      <c r="A576" s="39" t="s">
        <v>908</v>
      </c>
      <c r="B576" s="31">
        <v>20359.68</v>
      </c>
      <c r="C576" s="31">
        <v>9597.4500000000007</v>
      </c>
      <c r="D576" s="31">
        <v>17745.38</v>
      </c>
      <c r="E576" s="30">
        <v>47702.51</v>
      </c>
      <c r="F576" t="str">
        <f>LEFT(Table2[[#This Row],[Building]],2)</f>
        <v>MO</v>
      </c>
      <c r="G576" t="str">
        <f>LEFT(Table2[[#This Row],[Building]],8)</f>
        <v>MO0605AF</v>
      </c>
      <c r="H576" t="str">
        <f>RIGHT(Table2[[#This Row],[Building]],LEN(Table2[[#This Row],[Building]])-9)</f>
        <v>Fed Ctr Bg 102e</v>
      </c>
    </row>
    <row r="577" spans="1:8" x14ac:dyDescent="0.25">
      <c r="A577" s="39" t="s">
        <v>909</v>
      </c>
      <c r="B577" s="29">
        <v>382737.22</v>
      </c>
      <c r="C577" s="32" t="s">
        <v>910</v>
      </c>
      <c r="D577" s="29">
        <v>291082.02</v>
      </c>
      <c r="E577" s="30">
        <v>241452.56</v>
      </c>
      <c r="F577" t="str">
        <f>LEFT(Table2[[#This Row],[Building]],2)</f>
        <v>MO</v>
      </c>
      <c r="G577" t="str">
        <f>LEFT(Table2[[#This Row],[Building]],8)</f>
        <v>MO0606AF</v>
      </c>
      <c r="H577" t="str">
        <f>RIGHT(Table2[[#This Row],[Building]],LEN(Table2[[#This Row],[Building]])-9)</f>
        <v>Federal Ctr Bg 103</v>
      </c>
    </row>
    <row r="578" spans="1:8" x14ac:dyDescent="0.25">
      <c r="A578" s="39" t="s">
        <v>911</v>
      </c>
      <c r="B578" s="31">
        <v>7201.63</v>
      </c>
      <c r="C578" s="31">
        <v>6932.75</v>
      </c>
      <c r="D578" s="31">
        <v>19323.91</v>
      </c>
      <c r="E578" s="30">
        <v>33458.29</v>
      </c>
      <c r="F578" t="str">
        <f>LEFT(Table2[[#This Row],[Building]],2)</f>
        <v>MO</v>
      </c>
      <c r="G578" t="str">
        <f>LEFT(Table2[[#This Row],[Building]],8)</f>
        <v>MO0607AF</v>
      </c>
      <c r="H578" t="str">
        <f>RIGHT(Table2[[#This Row],[Building]],LEN(Table2[[#This Row],[Building]])-9)</f>
        <v>Fed Ctr Bg 103d</v>
      </c>
    </row>
    <row r="579" spans="1:8" x14ac:dyDescent="0.25">
      <c r="A579" s="39" t="s">
        <v>912</v>
      </c>
      <c r="B579" s="29">
        <v>2672.75</v>
      </c>
      <c r="C579" s="29">
        <v>6772.82</v>
      </c>
      <c r="D579" s="29">
        <v>16559.73</v>
      </c>
      <c r="E579" s="30">
        <v>26005.3</v>
      </c>
      <c r="F579" t="str">
        <f>LEFT(Table2[[#This Row],[Building]],2)</f>
        <v>MO</v>
      </c>
      <c r="G579" t="str">
        <f>LEFT(Table2[[#This Row],[Building]],8)</f>
        <v>MO0608AF</v>
      </c>
      <c r="H579" t="str">
        <f>RIGHT(Table2[[#This Row],[Building]],LEN(Table2[[#This Row],[Building]])-9)</f>
        <v>Fed Ctr Bg 103e</v>
      </c>
    </row>
    <row r="580" spans="1:8" x14ac:dyDescent="0.25">
      <c r="A580" s="39" t="s">
        <v>913</v>
      </c>
      <c r="B580" s="31">
        <v>427579.5</v>
      </c>
      <c r="C580" s="34" t="s">
        <v>914</v>
      </c>
      <c r="D580" s="31">
        <v>391137.95</v>
      </c>
      <c r="E580" s="30">
        <v>804075.97</v>
      </c>
      <c r="F580" t="str">
        <f>LEFT(Table2[[#This Row],[Building]],2)</f>
        <v>MO</v>
      </c>
      <c r="G580" t="str">
        <f>LEFT(Table2[[#This Row],[Building]],8)</f>
        <v>MO0609AF</v>
      </c>
      <c r="H580" t="str">
        <f>RIGHT(Table2[[#This Row],[Building]],LEN(Table2[[#This Row],[Building]])-9)</f>
        <v>Federal Ctr Bg 104</v>
      </c>
    </row>
    <row r="581" spans="1:8" x14ac:dyDescent="0.25">
      <c r="A581" s="39" t="s">
        <v>915</v>
      </c>
      <c r="B581" s="29">
        <v>26716.48</v>
      </c>
      <c r="C581" s="29">
        <v>1323.52</v>
      </c>
      <c r="D581" s="29">
        <v>21556.52</v>
      </c>
      <c r="E581" s="30">
        <v>49596.52</v>
      </c>
      <c r="F581" t="str">
        <f>LEFT(Table2[[#This Row],[Building]],2)</f>
        <v>MO</v>
      </c>
      <c r="G581" t="str">
        <f>LEFT(Table2[[#This Row],[Building]],8)</f>
        <v>MO0610AF</v>
      </c>
      <c r="H581" t="str">
        <f>RIGHT(Table2[[#This Row],[Building]],LEN(Table2[[#This Row],[Building]])-9)</f>
        <v>Fed Ctr Bg 104e</v>
      </c>
    </row>
    <row r="582" spans="1:8" x14ac:dyDescent="0.25">
      <c r="A582" s="39" t="s">
        <v>916</v>
      </c>
      <c r="B582" s="31">
        <v>19417.73</v>
      </c>
      <c r="C582" s="31">
        <v>8122.82</v>
      </c>
      <c r="D582" s="31">
        <v>18969.86</v>
      </c>
      <c r="E582" s="30">
        <v>46510.41</v>
      </c>
      <c r="F582" t="str">
        <f>LEFT(Table2[[#This Row],[Building]],2)</f>
        <v>MO</v>
      </c>
      <c r="G582" t="str">
        <f>LEFT(Table2[[#This Row],[Building]],8)</f>
        <v>MO0611AF</v>
      </c>
      <c r="H582" t="str">
        <f>RIGHT(Table2[[#This Row],[Building]],LEN(Table2[[#This Row],[Building]])-9)</f>
        <v>Fed Ctr Bg 104f</v>
      </c>
    </row>
    <row r="583" spans="1:8" x14ac:dyDescent="0.25">
      <c r="A583" s="39" t="s">
        <v>917</v>
      </c>
      <c r="B583" s="29">
        <v>500759.47</v>
      </c>
      <c r="C583" s="29">
        <v>297188.27</v>
      </c>
      <c r="D583" s="29">
        <v>392320</v>
      </c>
      <c r="E583" s="30">
        <v>1190267.74</v>
      </c>
      <c r="F583" t="str">
        <f>LEFT(Table2[[#This Row],[Building]],2)</f>
        <v>MO</v>
      </c>
      <c r="G583" t="str">
        <f>LEFT(Table2[[#This Row],[Building]],8)</f>
        <v>MO0612AF</v>
      </c>
      <c r="H583" t="str">
        <f>RIGHT(Table2[[#This Row],[Building]],LEN(Table2[[#This Row],[Building]])-9)</f>
        <v>Federal Ctr Bg 105</v>
      </c>
    </row>
    <row r="584" spans="1:8" x14ac:dyDescent="0.25">
      <c r="A584" s="39" t="s">
        <v>918</v>
      </c>
      <c r="B584" s="31">
        <v>26865.11</v>
      </c>
      <c r="C584" s="31">
        <v>9240.6299999999992</v>
      </c>
      <c r="D584" s="31">
        <v>21067.24</v>
      </c>
      <c r="E584" s="30">
        <v>57172.98</v>
      </c>
      <c r="F584" t="str">
        <f>LEFT(Table2[[#This Row],[Building]],2)</f>
        <v>MO</v>
      </c>
      <c r="G584" t="str">
        <f>LEFT(Table2[[#This Row],[Building]],8)</f>
        <v>MO0613AF</v>
      </c>
      <c r="H584" t="str">
        <f>RIGHT(Table2[[#This Row],[Building]],LEN(Table2[[#This Row],[Building]])-9)</f>
        <v>Fed Ctr Bg 105e</v>
      </c>
    </row>
    <row r="585" spans="1:8" x14ac:dyDescent="0.25">
      <c r="A585" s="39" t="s">
        <v>919</v>
      </c>
      <c r="B585" s="29">
        <v>21472.86</v>
      </c>
      <c r="C585" s="29">
        <v>8460.4599999999991</v>
      </c>
      <c r="D585" s="29">
        <v>20130.09</v>
      </c>
      <c r="E585" s="30">
        <v>50063.41</v>
      </c>
      <c r="F585" t="str">
        <f>LEFT(Table2[[#This Row],[Building]],2)</f>
        <v>MO</v>
      </c>
      <c r="G585" t="str">
        <f>LEFT(Table2[[#This Row],[Building]],8)</f>
        <v>MO0614AF</v>
      </c>
      <c r="H585" t="str">
        <f>RIGHT(Table2[[#This Row],[Building]],LEN(Table2[[#This Row],[Building]])-9)</f>
        <v>Fed Ctr Bg 105f</v>
      </c>
    </row>
    <row r="586" spans="1:8" ht="22.5" x14ac:dyDescent="0.25">
      <c r="A586" s="39" t="s">
        <v>920</v>
      </c>
      <c r="B586" s="31">
        <v>27216.5</v>
      </c>
      <c r="C586" s="31">
        <v>8789.84</v>
      </c>
      <c r="D586" s="31">
        <v>22792.58</v>
      </c>
      <c r="E586" s="30">
        <v>58798.92</v>
      </c>
      <c r="F586" t="str">
        <f>LEFT(Table2[[#This Row],[Building]],2)</f>
        <v>MO</v>
      </c>
      <c r="G586" t="str">
        <f>LEFT(Table2[[#This Row],[Building]],8)</f>
        <v>MO0615AF</v>
      </c>
      <c r="H586" t="str">
        <f>RIGHT(Table2[[#This Row],[Building]],LEN(Table2[[#This Row],[Building]])-9)</f>
        <v>Federal Ctr Bg 105l</v>
      </c>
    </row>
    <row r="587" spans="1:8" x14ac:dyDescent="0.25">
      <c r="A587" s="39" t="s">
        <v>921</v>
      </c>
      <c r="B587" s="29">
        <v>32894.06</v>
      </c>
      <c r="C587" s="29">
        <v>11921.49</v>
      </c>
      <c r="D587" s="29">
        <v>27578.49</v>
      </c>
      <c r="E587" s="30">
        <v>72394.039999999994</v>
      </c>
      <c r="F587" t="str">
        <f>LEFT(Table2[[#This Row],[Building]],2)</f>
        <v>MO</v>
      </c>
      <c r="G587" t="str">
        <f>LEFT(Table2[[#This Row],[Building]],8)</f>
        <v>MO0616AF</v>
      </c>
      <c r="H587" t="str">
        <f>RIGHT(Table2[[#This Row],[Building]],LEN(Table2[[#This Row],[Building]])-9)</f>
        <v>Fed Ctr Bg 103f</v>
      </c>
    </row>
    <row r="588" spans="1:8" x14ac:dyDescent="0.25">
      <c r="A588" s="39" t="s">
        <v>922</v>
      </c>
      <c r="B588" s="31">
        <v>17410.48</v>
      </c>
      <c r="C588" s="31">
        <v>5116.87</v>
      </c>
      <c r="D588" s="31">
        <v>24290.37</v>
      </c>
      <c r="E588" s="30">
        <v>46817.72</v>
      </c>
      <c r="F588" t="str">
        <f>LEFT(Table2[[#This Row],[Building]],2)</f>
        <v>MO</v>
      </c>
      <c r="G588" t="str">
        <f>LEFT(Table2[[#This Row],[Building]],8)</f>
        <v>MO0617AF</v>
      </c>
      <c r="H588" t="str">
        <f>RIGHT(Table2[[#This Row],[Building]],LEN(Table2[[#This Row],[Building]])-9)</f>
        <v>Federal Ctr Bg 115</v>
      </c>
    </row>
    <row r="589" spans="1:8" x14ac:dyDescent="0.25">
      <c r="A589" s="39" t="s">
        <v>923</v>
      </c>
      <c r="B589" s="29">
        <v>136794.49</v>
      </c>
      <c r="C589" s="29">
        <v>121022.79</v>
      </c>
      <c r="D589" s="29">
        <v>225707.44</v>
      </c>
      <c r="E589" s="30">
        <v>483524.72</v>
      </c>
      <c r="F589" t="str">
        <f>LEFT(Table2[[#This Row],[Building]],2)</f>
        <v>MO</v>
      </c>
      <c r="G589" t="str">
        <f>LEFT(Table2[[#This Row],[Building]],8)</f>
        <v>MO0618AF</v>
      </c>
      <c r="H589" t="str">
        <f>RIGHT(Table2[[#This Row],[Building]],LEN(Table2[[#This Row],[Building]])-9)</f>
        <v>Federal Ctr Bg 110</v>
      </c>
    </row>
    <row r="590" spans="1:8" ht="22.5" x14ac:dyDescent="0.25">
      <c r="A590" s="39" t="s">
        <v>927</v>
      </c>
      <c r="B590" s="29">
        <v>49.53</v>
      </c>
      <c r="C590" s="29">
        <v>255.19</v>
      </c>
      <c r="D590" s="29">
        <v>664.85</v>
      </c>
      <c r="E590" s="30">
        <v>969.57</v>
      </c>
      <c r="F590" t="str">
        <f>LEFT(Table2[[#This Row],[Building]],2)</f>
        <v>MO</v>
      </c>
      <c r="G590" t="str">
        <f>LEFT(Table2[[#This Row],[Building]],8)</f>
        <v>MO0625AF</v>
      </c>
      <c r="H590" t="str">
        <f>RIGHT(Table2[[#This Row],[Building]],LEN(Table2[[#This Row],[Building]])-9)</f>
        <v>Federal Ctr Bg 141c</v>
      </c>
    </row>
    <row r="591" spans="1:8" x14ac:dyDescent="0.25">
      <c r="A591" s="39" t="s">
        <v>928</v>
      </c>
      <c r="B591" s="31">
        <v>1260.03</v>
      </c>
      <c r="C591" s="31">
        <v>494.15</v>
      </c>
      <c r="D591" s="31">
        <v>1022.73</v>
      </c>
      <c r="E591" s="30">
        <v>2776.91</v>
      </c>
      <c r="F591" t="str">
        <f>LEFT(Table2[[#This Row],[Building]],2)</f>
        <v>MO</v>
      </c>
      <c r="G591" t="str">
        <f>LEFT(Table2[[#This Row],[Building]],8)</f>
        <v>MO0626AF</v>
      </c>
      <c r="H591" t="str">
        <f>RIGHT(Table2[[#This Row],[Building]],LEN(Table2[[#This Row],[Building]])-9)</f>
        <v>Federal Ctr Bg 106</v>
      </c>
    </row>
    <row r="592" spans="1:8" x14ac:dyDescent="0.25">
      <c r="A592" s="39" t="s">
        <v>929</v>
      </c>
      <c r="B592" s="29">
        <v>284.17</v>
      </c>
      <c r="C592" s="29">
        <v>3276.72</v>
      </c>
      <c r="D592" s="29">
        <v>3215.91</v>
      </c>
      <c r="E592" s="30">
        <v>6776.8</v>
      </c>
      <c r="F592" t="str">
        <f>LEFT(Table2[[#This Row],[Building]],2)</f>
        <v>MO</v>
      </c>
      <c r="G592" t="str">
        <f>LEFT(Table2[[#This Row],[Building]],8)</f>
        <v>MO0628AF</v>
      </c>
      <c r="H592" t="str">
        <f>RIGHT(Table2[[#This Row],[Building]],LEN(Table2[[#This Row],[Building]])-9)</f>
        <v>Bldg 208b</v>
      </c>
    </row>
    <row r="593" spans="1:8" ht="22.5" x14ac:dyDescent="0.25">
      <c r="A593" s="39" t="s">
        <v>930</v>
      </c>
      <c r="B593" s="31">
        <v>436969.82</v>
      </c>
      <c r="C593" s="31">
        <v>436347.58</v>
      </c>
      <c r="D593" s="31">
        <v>303956.49</v>
      </c>
      <c r="E593" s="30">
        <v>1177273.8899999999</v>
      </c>
      <c r="F593" t="str">
        <f>LEFT(Table2[[#This Row],[Building]],2)</f>
        <v>MS</v>
      </c>
      <c r="G593" t="str">
        <f>LEFT(Table2[[#This Row],[Building]],8)</f>
        <v>MS0006AA</v>
      </c>
      <c r="H593" t="str">
        <f>RIGHT(Table2[[#This Row],[Building]],LEN(Table2[[#This Row],[Building]])-9)</f>
        <v>Dan M. Russell Jr U.</v>
      </c>
    </row>
    <row r="594" spans="1:8" x14ac:dyDescent="0.25">
      <c r="A594" s="39" t="s">
        <v>931</v>
      </c>
      <c r="B594" s="29">
        <v>587753.84</v>
      </c>
      <c r="C594" s="29">
        <v>342730.4</v>
      </c>
      <c r="D594" s="29">
        <v>665921.41</v>
      </c>
      <c r="E594" s="30">
        <v>1596405.65</v>
      </c>
      <c r="F594" t="str">
        <f>LEFT(Table2[[#This Row],[Building]],2)</f>
        <v>MS</v>
      </c>
      <c r="G594" t="str">
        <f>LEFT(Table2[[#This Row],[Building]],8)</f>
        <v>MS0007ZZ</v>
      </c>
      <c r="H594" t="str">
        <f>RIGHT(Table2[[#This Row],[Building]],LEN(Table2[[#This Row],[Building]])-9)</f>
        <v>U.S. Courthouse</v>
      </c>
    </row>
    <row r="595" spans="1:8" ht="22.5" x14ac:dyDescent="0.25">
      <c r="A595" s="39" t="s">
        <v>932</v>
      </c>
      <c r="B595" s="31">
        <v>46801.35</v>
      </c>
      <c r="C595" s="31">
        <v>41445.54</v>
      </c>
      <c r="D595" s="31">
        <v>74780.479999999996</v>
      </c>
      <c r="E595" s="30">
        <v>163027.37</v>
      </c>
      <c r="F595" t="str">
        <f>LEFT(Table2[[#This Row],[Building]],2)</f>
        <v>MS</v>
      </c>
      <c r="G595" t="str">
        <f>LEFT(Table2[[#This Row],[Building]],8)</f>
        <v>MS0008ZZ</v>
      </c>
      <c r="H595" t="str">
        <f>RIGHT(Table2[[#This Row],[Building]],LEN(Table2[[#This Row],[Building]])-9)</f>
        <v>United States Courth</v>
      </c>
    </row>
    <row r="596" spans="1:8" ht="22.5" x14ac:dyDescent="0.25">
      <c r="A596" s="39" t="s">
        <v>933</v>
      </c>
      <c r="B596" s="29">
        <v>67654.64</v>
      </c>
      <c r="C596" s="32" t="s">
        <v>934</v>
      </c>
      <c r="D596" s="29">
        <v>28047.46</v>
      </c>
      <c r="E596" s="30">
        <v>90782.96</v>
      </c>
      <c r="F596" t="str">
        <f>LEFT(Table2[[#This Row],[Building]],2)</f>
        <v>MS</v>
      </c>
      <c r="G596" t="str">
        <f>LEFT(Table2[[#This Row],[Building]],8)</f>
        <v>MS0009AA</v>
      </c>
      <c r="H596" t="str">
        <f>RIGHT(Table2[[#This Row],[Building]],LEN(Table2[[#This Row],[Building]])-9)</f>
        <v>Dan M. Russell Jr Ch</v>
      </c>
    </row>
    <row r="597" spans="1:8" x14ac:dyDescent="0.25">
      <c r="A597" s="39" t="s">
        <v>935</v>
      </c>
      <c r="B597" s="31">
        <v>200008.88</v>
      </c>
      <c r="C597" s="31">
        <v>102097.28</v>
      </c>
      <c r="D597" s="31">
        <v>195760.41</v>
      </c>
      <c r="E597" s="30">
        <v>497866.57</v>
      </c>
      <c r="F597" t="str">
        <f>LEFT(Table2[[#This Row],[Building]],2)</f>
        <v>MS</v>
      </c>
      <c r="G597" t="str">
        <f>LEFT(Table2[[#This Row],[Building]],8)</f>
        <v>MS0065ZZ</v>
      </c>
      <c r="H597" t="str">
        <f>RIGHT(Table2[[#This Row],[Building]],LEN(Table2[[#This Row],[Building]])-9)</f>
        <v>Fb-Po-Ct</v>
      </c>
    </row>
    <row r="598" spans="1:8" ht="22.5" x14ac:dyDescent="0.25">
      <c r="A598" s="39" t="s">
        <v>936</v>
      </c>
      <c r="B598" s="29">
        <v>90444.93</v>
      </c>
      <c r="C598" s="29">
        <v>106298.98</v>
      </c>
      <c r="D598" s="29">
        <v>130902.26</v>
      </c>
      <c r="E598" s="30">
        <v>327646.17</v>
      </c>
      <c r="F598" t="str">
        <f>LEFT(Table2[[#This Row],[Building]],2)</f>
        <v>MS</v>
      </c>
      <c r="G598" t="str">
        <f>LEFT(Table2[[#This Row],[Building]],8)</f>
        <v>MS0072ZZ</v>
      </c>
      <c r="H598" t="str">
        <f>RIGHT(Table2[[#This Row],[Building]],LEN(Table2[[#This Row],[Building]])-9)</f>
        <v>Wm M. Colmer Fb-Ct</v>
      </c>
    </row>
    <row r="599" spans="1:8" ht="22.5" x14ac:dyDescent="0.25">
      <c r="A599" s="39" t="s">
        <v>937</v>
      </c>
      <c r="B599" s="31">
        <v>146755.92000000001</v>
      </c>
      <c r="C599" s="31">
        <v>149591.28</v>
      </c>
      <c r="D599" s="31">
        <v>192285.16</v>
      </c>
      <c r="E599" s="30">
        <v>488632.36</v>
      </c>
      <c r="F599" t="str">
        <f>LEFT(Table2[[#This Row],[Building]],2)</f>
        <v>MS</v>
      </c>
      <c r="G599" t="str">
        <f>LEFT(Table2[[#This Row],[Building]],8)</f>
        <v>MS0079ZZ</v>
      </c>
      <c r="H599" t="str">
        <f>RIGHT(Table2[[#This Row],[Building]],LEN(Table2[[#This Row],[Building]])-9)</f>
        <v>United States Courth</v>
      </c>
    </row>
    <row r="600" spans="1:8" x14ac:dyDescent="0.25">
      <c r="A600" s="39" t="s">
        <v>938</v>
      </c>
      <c r="B600" s="29">
        <v>110219.39</v>
      </c>
      <c r="C600" s="29">
        <v>115482.95</v>
      </c>
      <c r="D600" s="29">
        <v>186462.66</v>
      </c>
      <c r="E600" s="30">
        <v>412165</v>
      </c>
      <c r="F600" t="str">
        <f>LEFT(Table2[[#This Row],[Building]],2)</f>
        <v>MS</v>
      </c>
      <c r="G600" t="str">
        <f>LEFT(Table2[[#This Row],[Building]],8)</f>
        <v>MS0082ZZ</v>
      </c>
      <c r="H600" t="str">
        <f>RIGHT(Table2[[#This Row],[Building]],LEN(Table2[[#This Row],[Building]])-9)</f>
        <v>T. G. Abernethy Fb</v>
      </c>
    </row>
    <row r="601" spans="1:8" x14ac:dyDescent="0.25">
      <c r="A601" s="39" t="s">
        <v>939</v>
      </c>
      <c r="B601" s="31">
        <v>595246</v>
      </c>
      <c r="C601" s="31">
        <v>305336.64</v>
      </c>
      <c r="D601" s="31">
        <v>579698.53</v>
      </c>
      <c r="E601" s="30">
        <v>1480281.17</v>
      </c>
      <c r="F601" t="str">
        <f>LEFT(Table2[[#This Row],[Building]],2)</f>
        <v>MS</v>
      </c>
      <c r="G601" t="str">
        <f>LEFT(Table2[[#This Row],[Building]],8)</f>
        <v>MS0083ZZ</v>
      </c>
      <c r="H601" t="str">
        <f>RIGHT(Table2[[#This Row],[Building]],LEN(Table2[[#This Row],[Building]])-9)</f>
        <v>Dr. A. H. Mc Coy Fb</v>
      </c>
    </row>
    <row r="602" spans="1:8" ht="22.5" x14ac:dyDescent="0.25">
      <c r="A602" s="39" t="s">
        <v>940</v>
      </c>
      <c r="B602" s="29">
        <v>116947.81</v>
      </c>
      <c r="C602" s="29">
        <v>55967.59</v>
      </c>
      <c r="D602" s="29">
        <v>209961.01</v>
      </c>
      <c r="E602" s="30">
        <v>382876.41</v>
      </c>
      <c r="F602" t="str">
        <f>LEFT(Table2[[#This Row],[Building]],2)</f>
        <v>MT</v>
      </c>
      <c r="G602" t="str">
        <f>LEFT(Table2[[#This Row],[Building]],8)</f>
        <v>MT0004ZZ</v>
      </c>
      <c r="H602" t="str">
        <f>RIGHT(Table2[[#This Row],[Building]],LEN(Table2[[#This Row],[Building]])-9)</f>
        <v>Mike Mansfield Fb /</v>
      </c>
    </row>
    <row r="603" spans="1:8" x14ac:dyDescent="0.25">
      <c r="A603" s="39" t="s">
        <v>941</v>
      </c>
      <c r="B603" s="31">
        <v>466297.61</v>
      </c>
      <c r="C603" s="31">
        <v>99374.28</v>
      </c>
      <c r="D603" s="31">
        <v>125649.28</v>
      </c>
      <c r="E603" s="30">
        <v>691321.17</v>
      </c>
      <c r="F603" t="str">
        <f>LEFT(Table2[[#This Row],[Building]],2)</f>
        <v>MT</v>
      </c>
      <c r="G603" t="str">
        <f>LEFT(Table2[[#This Row],[Building]],8)</f>
        <v>MT0017ZZ</v>
      </c>
      <c r="H603" t="str">
        <f>RIGHT(Table2[[#This Row],[Building]],LEN(Table2[[#This Row],[Building]])-9)</f>
        <v>Fb-Po-Ct</v>
      </c>
    </row>
    <row r="604" spans="1:8" ht="22.5" x14ac:dyDescent="0.25">
      <c r="A604" s="39" t="s">
        <v>942</v>
      </c>
      <c r="B604" s="29">
        <v>66899.73</v>
      </c>
      <c r="C604" s="29">
        <v>24766.95</v>
      </c>
      <c r="D604" s="29">
        <v>92384.21</v>
      </c>
      <c r="E604" s="30">
        <v>184050.89</v>
      </c>
      <c r="F604" t="str">
        <f>LEFT(Table2[[#This Row],[Building]],2)</f>
        <v>MT</v>
      </c>
      <c r="G604" t="str">
        <f>LEFT(Table2[[#This Row],[Building]],8)</f>
        <v>MT0042ZZ</v>
      </c>
      <c r="H604" t="str">
        <f>RIGHT(Table2[[#This Row],[Building]],LEN(Table2[[#This Row],[Building]])-9)</f>
        <v>Bdr Patrol Sector Hq</v>
      </c>
    </row>
    <row r="605" spans="1:8" x14ac:dyDescent="0.25">
      <c r="A605" s="39" t="s">
        <v>943</v>
      </c>
      <c r="B605" s="31">
        <v>348771.16</v>
      </c>
      <c r="C605" s="31">
        <v>96044.86</v>
      </c>
      <c r="D605" s="31">
        <v>208804.83</v>
      </c>
      <c r="E605" s="30">
        <v>653620.85</v>
      </c>
      <c r="F605" t="str">
        <f>LEFT(Table2[[#This Row],[Building]],2)</f>
        <v>MT</v>
      </c>
      <c r="G605" t="str">
        <f>LEFT(Table2[[#This Row],[Building]],8)</f>
        <v>MT0046ZZ</v>
      </c>
      <c r="H605" t="str">
        <f>RIGHT(Table2[[#This Row],[Building]],LEN(Table2[[#This Row],[Building]])-9)</f>
        <v>Fb/Po Bozeman, Mt</v>
      </c>
    </row>
    <row r="606" spans="1:8" ht="22.5" x14ac:dyDescent="0.25">
      <c r="A606" s="39" t="s">
        <v>944</v>
      </c>
      <c r="B606" s="29">
        <v>218818.8</v>
      </c>
      <c r="C606" s="29">
        <v>132611.49</v>
      </c>
      <c r="D606" s="29">
        <v>272556.53000000003</v>
      </c>
      <c r="E606" s="30">
        <v>623986.81999999995</v>
      </c>
      <c r="F606" t="str">
        <f>LEFT(Table2[[#This Row],[Building]],2)</f>
        <v>MT</v>
      </c>
      <c r="G606" t="str">
        <f>LEFT(Table2[[#This Row],[Building]],8)</f>
        <v>MT0050ZZ</v>
      </c>
      <c r="H606" t="str">
        <f>RIGHT(Table2[[#This Row],[Building]],LEN(Table2[[#This Row],[Building]])-9)</f>
        <v>James F. Battin U..S</v>
      </c>
    </row>
    <row r="607" spans="1:8" ht="22.5" x14ac:dyDescent="0.25">
      <c r="A607" s="39" t="s">
        <v>945</v>
      </c>
      <c r="B607" s="31">
        <v>7652.72</v>
      </c>
      <c r="C607" s="34" t="s">
        <v>946</v>
      </c>
      <c r="D607" s="34" t="s">
        <v>947</v>
      </c>
      <c r="E607" s="33" t="s">
        <v>948</v>
      </c>
      <c r="F607" t="str">
        <f>LEFT(Table2[[#This Row],[Building]],2)</f>
        <v>MT</v>
      </c>
      <c r="G607" t="str">
        <f>LEFT(Table2[[#This Row],[Building]],8)</f>
        <v>MT0055AW</v>
      </c>
      <c r="H607" t="str">
        <f>RIGHT(Table2[[#This Row],[Building]],LEN(Table2[[#This Row],[Building]])-9)</f>
        <v>Turner Port Of Entry</v>
      </c>
    </row>
    <row r="608" spans="1:8" ht="22.5" x14ac:dyDescent="0.25">
      <c r="A608" s="39" t="s">
        <v>949</v>
      </c>
      <c r="B608" s="29">
        <v>1450.33</v>
      </c>
      <c r="C608" s="32" t="s">
        <v>950</v>
      </c>
      <c r="D608" s="32" t="s">
        <v>951</v>
      </c>
      <c r="E608" s="30">
        <v>990.06000000000097</v>
      </c>
      <c r="F608" t="str">
        <f>LEFT(Table2[[#This Row],[Building]],2)</f>
        <v>MT</v>
      </c>
      <c r="G608" t="str">
        <f>LEFT(Table2[[#This Row],[Building]],8)</f>
        <v>MT0056AW</v>
      </c>
      <c r="H608" t="str">
        <f>RIGHT(Table2[[#This Row],[Building]],LEN(Table2[[#This Row],[Building]])-9)</f>
        <v>Turner Port Of Entry</v>
      </c>
    </row>
    <row r="609" spans="1:8" ht="22.5" x14ac:dyDescent="0.25">
      <c r="A609" s="39" t="s">
        <v>952</v>
      </c>
      <c r="B609" s="31">
        <v>958.92</v>
      </c>
      <c r="C609" s="34" t="s">
        <v>953</v>
      </c>
      <c r="D609" s="31">
        <v>981.72</v>
      </c>
      <c r="E609" s="30">
        <v>1555.46</v>
      </c>
      <c r="F609" t="str">
        <f>LEFT(Table2[[#This Row],[Building]],2)</f>
        <v>MT</v>
      </c>
      <c r="G609" t="str">
        <f>LEFT(Table2[[#This Row],[Building]],8)</f>
        <v>MT0057AW</v>
      </c>
      <c r="H609" t="str">
        <f>RIGHT(Table2[[#This Row],[Building]],LEN(Table2[[#This Row],[Building]])-9)</f>
        <v>Turner Port Of Entry</v>
      </c>
    </row>
    <row r="610" spans="1:8" ht="22.5" x14ac:dyDescent="0.25">
      <c r="A610" s="39" t="s">
        <v>954</v>
      </c>
      <c r="B610" s="32" t="s">
        <v>955</v>
      </c>
      <c r="C610" s="32" t="s">
        <v>956</v>
      </c>
      <c r="D610" s="32" t="s">
        <v>957</v>
      </c>
      <c r="E610" s="33" t="s">
        <v>958</v>
      </c>
      <c r="F610" t="str">
        <f>LEFT(Table2[[#This Row],[Building]],2)</f>
        <v>MT</v>
      </c>
      <c r="G610" t="str">
        <f>LEFT(Table2[[#This Row],[Building]],8)</f>
        <v>MT0501AD</v>
      </c>
      <c r="H610" t="str">
        <f>RIGHT(Table2[[#This Row],[Building]],LEN(Table2[[#This Row],[Building]])-9)</f>
        <v>Chief Mountain Poe</v>
      </c>
    </row>
    <row r="611" spans="1:8" ht="22.5" x14ac:dyDescent="0.25">
      <c r="A611" s="39" t="s">
        <v>959</v>
      </c>
      <c r="B611" s="31">
        <v>1047.17</v>
      </c>
      <c r="C611" s="31">
        <v>1111.28</v>
      </c>
      <c r="D611" s="31">
        <v>3251.66</v>
      </c>
      <c r="E611" s="30">
        <v>5410.11</v>
      </c>
      <c r="F611" t="str">
        <f>LEFT(Table2[[#This Row],[Building]],2)</f>
        <v>MT</v>
      </c>
      <c r="G611" t="str">
        <f>LEFT(Table2[[#This Row],[Building]],8)</f>
        <v>MT0502AD</v>
      </c>
      <c r="H611" t="str">
        <f>RIGHT(Table2[[#This Row],[Building]],LEN(Table2[[#This Row],[Building]])-9)</f>
        <v>Chief Mtn Port Of En</v>
      </c>
    </row>
    <row r="612" spans="1:8" ht="22.5" x14ac:dyDescent="0.25">
      <c r="A612" s="39" t="s">
        <v>960</v>
      </c>
      <c r="B612" s="29">
        <v>297.97000000000003</v>
      </c>
      <c r="C612" s="29">
        <v>316.25</v>
      </c>
      <c r="D612" s="29">
        <v>925.37</v>
      </c>
      <c r="E612" s="30">
        <v>1539.59</v>
      </c>
      <c r="F612" t="str">
        <f>LEFT(Table2[[#This Row],[Building]],2)</f>
        <v>MT</v>
      </c>
      <c r="G612" t="str">
        <f>LEFT(Table2[[#This Row],[Building]],8)</f>
        <v>MT0503AD</v>
      </c>
      <c r="H612" t="str">
        <f>RIGHT(Table2[[#This Row],[Building]],LEN(Table2[[#This Row],[Building]])-9)</f>
        <v>Chief Mountain Port</v>
      </c>
    </row>
    <row r="613" spans="1:8" x14ac:dyDescent="0.25">
      <c r="A613" s="39" t="s">
        <v>962</v>
      </c>
      <c r="B613" s="34" t="s">
        <v>963</v>
      </c>
      <c r="C613" s="34" t="s">
        <v>964</v>
      </c>
      <c r="D613" s="34" t="s">
        <v>965</v>
      </c>
      <c r="E613" s="33" t="s">
        <v>966</v>
      </c>
      <c r="F613" t="str">
        <f>LEFT(Table2[[#This Row],[Building]],2)</f>
        <v>MT</v>
      </c>
      <c r="G613" t="str">
        <f>LEFT(Table2[[#This Row],[Building]],8)</f>
        <v>MT0555AE</v>
      </c>
      <c r="H613" t="str">
        <f>RIGHT(Table2[[#This Row],[Building]],LEN(Table2[[#This Row],[Building]])-9)</f>
        <v>Piegan Poe</v>
      </c>
    </row>
    <row r="614" spans="1:8" ht="22.5" x14ac:dyDescent="0.25">
      <c r="A614" s="39" t="s">
        <v>967</v>
      </c>
      <c r="B614" s="29">
        <v>11562.8</v>
      </c>
      <c r="C614" s="29">
        <v>6913.37</v>
      </c>
      <c r="D614" s="29">
        <v>31575.13</v>
      </c>
      <c r="E614" s="30">
        <v>50051.3</v>
      </c>
      <c r="F614" t="str">
        <f>LEFT(Table2[[#This Row],[Building]],2)</f>
        <v>MT</v>
      </c>
      <c r="G614" t="str">
        <f>LEFT(Table2[[#This Row],[Building]],8)</f>
        <v>MT0557AE</v>
      </c>
      <c r="H614" t="str">
        <f>RIGHT(Table2[[#This Row],[Building]],LEN(Table2[[#This Row],[Building]])-9)</f>
        <v>Piegan Port Of Entry</v>
      </c>
    </row>
    <row r="615" spans="1:8" ht="22.5" x14ac:dyDescent="0.25">
      <c r="A615" s="39" t="s">
        <v>968</v>
      </c>
      <c r="B615" s="31">
        <v>7829.13</v>
      </c>
      <c r="C615" s="31">
        <v>4681.03</v>
      </c>
      <c r="D615" s="31">
        <v>21379.4</v>
      </c>
      <c r="E615" s="30">
        <v>33889.56</v>
      </c>
      <c r="F615" t="str">
        <f>LEFT(Table2[[#This Row],[Building]],2)</f>
        <v>MT</v>
      </c>
      <c r="G615" t="str">
        <f>LEFT(Table2[[#This Row],[Building]],8)</f>
        <v>MT0559AE</v>
      </c>
      <c r="H615" t="str">
        <f>RIGHT(Table2[[#This Row],[Building]],LEN(Table2[[#This Row],[Building]])-9)</f>
        <v>Piegan Port Of Entry</v>
      </c>
    </row>
    <row r="616" spans="1:8" x14ac:dyDescent="0.25">
      <c r="A616" s="39" t="s">
        <v>969</v>
      </c>
      <c r="B616" s="29">
        <v>11058.01</v>
      </c>
      <c r="C616" s="29">
        <v>6611.54</v>
      </c>
      <c r="D616" s="29">
        <v>30196.639999999999</v>
      </c>
      <c r="E616" s="30">
        <v>47866.19</v>
      </c>
      <c r="F616" t="str">
        <f>LEFT(Table2[[#This Row],[Building]],2)</f>
        <v>MT</v>
      </c>
      <c r="G616" t="str">
        <f>LEFT(Table2[[#This Row],[Building]],8)</f>
        <v>MT0560AE</v>
      </c>
      <c r="H616" t="str">
        <f>RIGHT(Table2[[#This Row],[Building]],LEN(Table2[[#This Row],[Building]])-9)</f>
        <v>Piegan Poe</v>
      </c>
    </row>
    <row r="617" spans="1:8" ht="22.5" x14ac:dyDescent="0.25">
      <c r="A617" s="39" t="s">
        <v>970</v>
      </c>
      <c r="B617" s="31">
        <v>952.46</v>
      </c>
      <c r="C617" s="31">
        <v>552.21</v>
      </c>
      <c r="D617" s="31">
        <v>2831.95</v>
      </c>
      <c r="E617" s="30">
        <v>4336.62</v>
      </c>
      <c r="F617" t="str">
        <f>LEFT(Table2[[#This Row],[Building]],2)</f>
        <v>MT</v>
      </c>
      <c r="G617" t="str">
        <f>LEFT(Table2[[#This Row],[Building]],8)</f>
        <v>MT0561AE</v>
      </c>
      <c r="H617" t="str">
        <f>RIGHT(Table2[[#This Row],[Building]],LEN(Table2[[#This Row],[Building]])-9)</f>
        <v>Piegan Port Of Entry</v>
      </c>
    </row>
    <row r="618" spans="1:8" ht="22.5" x14ac:dyDescent="0.25">
      <c r="A618" s="39" t="s">
        <v>973</v>
      </c>
      <c r="B618" s="32" t="s">
        <v>974</v>
      </c>
      <c r="C618" s="32" t="s">
        <v>975</v>
      </c>
      <c r="D618" s="32" t="s">
        <v>976</v>
      </c>
      <c r="E618" s="33" t="s">
        <v>977</v>
      </c>
      <c r="F618" t="str">
        <f>LEFT(Table2[[#This Row],[Building]],2)</f>
        <v>MT</v>
      </c>
      <c r="G618" t="str">
        <f>LEFT(Table2[[#This Row],[Building]],8)</f>
        <v>MT0653AF</v>
      </c>
      <c r="H618" t="str">
        <f>RIGHT(Table2[[#This Row],[Building]],LEN(Table2[[#This Row],[Building]])-9)</f>
        <v>Raymond Port Of Entr</v>
      </c>
    </row>
    <row r="619" spans="1:8" ht="22.5" x14ac:dyDescent="0.25">
      <c r="A619" s="39" t="s">
        <v>978</v>
      </c>
      <c r="B619" s="31">
        <v>17181.490000000002</v>
      </c>
      <c r="C619" s="31">
        <v>17349.099999999999</v>
      </c>
      <c r="D619" s="31">
        <v>15312.29</v>
      </c>
      <c r="E619" s="30">
        <v>49842.879999999997</v>
      </c>
      <c r="F619" t="str">
        <f>LEFT(Table2[[#This Row],[Building]],2)</f>
        <v>MT</v>
      </c>
      <c r="G619" t="str">
        <f>LEFT(Table2[[#This Row],[Building]],8)</f>
        <v>MT0654AF</v>
      </c>
      <c r="H619" t="str">
        <f>RIGHT(Table2[[#This Row],[Building]],LEN(Table2[[#This Row],[Building]])-9)</f>
        <v>Raymond Port Of Entr</v>
      </c>
    </row>
    <row r="620" spans="1:8" ht="22.5" x14ac:dyDescent="0.25">
      <c r="A620" s="39" t="s">
        <v>979</v>
      </c>
      <c r="B620" s="29">
        <v>22111.61</v>
      </c>
      <c r="C620" s="29">
        <v>22327.48</v>
      </c>
      <c r="D620" s="29">
        <v>19705.099999999999</v>
      </c>
      <c r="E620" s="30">
        <v>64144.19</v>
      </c>
      <c r="F620" t="str">
        <f>LEFT(Table2[[#This Row],[Building]],2)</f>
        <v>MT</v>
      </c>
      <c r="G620" t="str">
        <f>LEFT(Table2[[#This Row],[Building]],8)</f>
        <v>MT0655AF</v>
      </c>
      <c r="H620" t="str">
        <f>RIGHT(Table2[[#This Row],[Building]],LEN(Table2[[#This Row],[Building]])-9)</f>
        <v>Raymond Port Of Entr</v>
      </c>
    </row>
    <row r="621" spans="1:8" ht="22.5" x14ac:dyDescent="0.25">
      <c r="A621" s="39" t="s">
        <v>980</v>
      </c>
      <c r="B621" s="34" t="s">
        <v>981</v>
      </c>
      <c r="C621" s="34" t="s">
        <v>982</v>
      </c>
      <c r="D621" s="34" t="s">
        <v>983</v>
      </c>
      <c r="E621" s="33" t="s">
        <v>984</v>
      </c>
      <c r="F621" t="str">
        <f>LEFT(Table2[[#This Row],[Building]],2)</f>
        <v>MT</v>
      </c>
      <c r="G621" t="str">
        <f>LEFT(Table2[[#This Row],[Building]],8)</f>
        <v>MT0705AG</v>
      </c>
      <c r="H621" t="str">
        <f>RIGHT(Table2[[#This Row],[Building]],LEN(Table2[[#This Row],[Building]])-9)</f>
        <v>Roosville Port Of En</v>
      </c>
    </row>
    <row r="622" spans="1:8" ht="22.5" x14ac:dyDescent="0.25">
      <c r="A622" s="39" t="s">
        <v>985</v>
      </c>
      <c r="B622" s="29">
        <v>14364.28</v>
      </c>
      <c r="C622" s="29">
        <v>12080.13</v>
      </c>
      <c r="D622" s="29">
        <v>19075.66</v>
      </c>
      <c r="E622" s="30">
        <v>45520.07</v>
      </c>
      <c r="F622" t="str">
        <f>LEFT(Table2[[#This Row],[Building]],2)</f>
        <v>MT</v>
      </c>
      <c r="G622" t="str">
        <f>LEFT(Table2[[#This Row],[Building]],8)</f>
        <v>MT0706AG</v>
      </c>
      <c r="H622" t="str">
        <f>RIGHT(Table2[[#This Row],[Building]],LEN(Table2[[#This Row],[Building]])-9)</f>
        <v>Roosville Port Of En</v>
      </c>
    </row>
    <row r="623" spans="1:8" ht="22.5" x14ac:dyDescent="0.25">
      <c r="A623" s="39" t="s">
        <v>986</v>
      </c>
      <c r="B623" s="31">
        <v>31651</v>
      </c>
      <c r="C623" s="31">
        <v>26618.04</v>
      </c>
      <c r="D623" s="31">
        <v>42032.24</v>
      </c>
      <c r="E623" s="30">
        <v>100301.28</v>
      </c>
      <c r="F623" t="str">
        <f>LEFT(Table2[[#This Row],[Building]],2)</f>
        <v>MT</v>
      </c>
      <c r="G623" t="str">
        <f>LEFT(Table2[[#This Row],[Building]],8)</f>
        <v>MT0707AG</v>
      </c>
      <c r="H623" t="str">
        <f>RIGHT(Table2[[#This Row],[Building]],LEN(Table2[[#This Row],[Building]])-9)</f>
        <v>Roosville Port Of En</v>
      </c>
    </row>
    <row r="624" spans="1:8" ht="22.5" x14ac:dyDescent="0.25">
      <c r="A624" s="39" t="s">
        <v>987</v>
      </c>
      <c r="B624" s="29">
        <v>6309.93</v>
      </c>
      <c r="C624" s="29">
        <v>5306.53</v>
      </c>
      <c r="D624" s="29">
        <v>8379.5</v>
      </c>
      <c r="E624" s="30">
        <v>19995.96</v>
      </c>
      <c r="F624" t="str">
        <f>LEFT(Table2[[#This Row],[Building]],2)</f>
        <v>MT</v>
      </c>
      <c r="G624" t="str">
        <f>LEFT(Table2[[#This Row],[Building]],8)</f>
        <v>MT0708AG</v>
      </c>
      <c r="H624" t="str">
        <f>RIGHT(Table2[[#This Row],[Building]],LEN(Table2[[#This Row],[Building]])-9)</f>
        <v>Roosville Port Of En</v>
      </c>
    </row>
    <row r="625" spans="1:8" ht="22.5" x14ac:dyDescent="0.25">
      <c r="A625" s="39" t="s">
        <v>988</v>
      </c>
      <c r="B625" s="34" t="s">
        <v>989</v>
      </c>
      <c r="C625" s="34" t="s">
        <v>990</v>
      </c>
      <c r="D625" s="34" t="s">
        <v>991</v>
      </c>
      <c r="E625" s="33" t="s">
        <v>992</v>
      </c>
      <c r="F625" t="str">
        <f>LEFT(Table2[[#This Row],[Building]],2)</f>
        <v>MT</v>
      </c>
      <c r="G625" t="str">
        <f>LEFT(Table2[[#This Row],[Building]],8)</f>
        <v>MT0767AI</v>
      </c>
      <c r="H625" t="str">
        <f>RIGHT(Table2[[#This Row],[Building]],LEN(Table2[[#This Row],[Building]])-9)</f>
        <v>Sweetgrass Port Of E</v>
      </c>
    </row>
    <row r="626" spans="1:8" ht="22.5" x14ac:dyDescent="0.25">
      <c r="A626" s="39" t="s">
        <v>993</v>
      </c>
      <c r="B626" s="29">
        <v>62170.13</v>
      </c>
      <c r="C626" s="29">
        <v>25721.62</v>
      </c>
      <c r="D626" s="29">
        <v>91622.56</v>
      </c>
      <c r="E626" s="30">
        <v>179514.31</v>
      </c>
      <c r="F626" t="str">
        <f>LEFT(Table2[[#This Row],[Building]],2)</f>
        <v>MT</v>
      </c>
      <c r="G626" t="str">
        <f>LEFT(Table2[[#This Row],[Building]],8)</f>
        <v>MT0768AI</v>
      </c>
      <c r="H626" t="str">
        <f>RIGHT(Table2[[#This Row],[Building]],LEN(Table2[[#This Row],[Building]])-9)</f>
        <v>Sweetgrass Port Of E</v>
      </c>
    </row>
    <row r="627" spans="1:8" ht="22.5" x14ac:dyDescent="0.25">
      <c r="A627" s="39" t="s">
        <v>994</v>
      </c>
      <c r="B627" s="31">
        <v>35910.33</v>
      </c>
      <c r="C627" s="31">
        <v>14857.18</v>
      </c>
      <c r="D627" s="31">
        <v>52922.37</v>
      </c>
      <c r="E627" s="30">
        <v>103689.88</v>
      </c>
      <c r="F627" t="str">
        <f>LEFT(Table2[[#This Row],[Building]],2)</f>
        <v>MT</v>
      </c>
      <c r="G627" t="str">
        <f>LEFT(Table2[[#This Row],[Building]],8)</f>
        <v>MT0769AI</v>
      </c>
      <c r="H627" t="str">
        <f>RIGHT(Table2[[#This Row],[Building]],LEN(Table2[[#This Row],[Building]])-9)</f>
        <v>Sweetgrass Prot Of E</v>
      </c>
    </row>
    <row r="628" spans="1:8" ht="22.5" x14ac:dyDescent="0.25">
      <c r="A628" s="39" t="s">
        <v>995</v>
      </c>
      <c r="B628" s="29">
        <v>7666.71</v>
      </c>
      <c r="C628" s="29">
        <v>3171.94</v>
      </c>
      <c r="D628" s="29">
        <v>11298.78</v>
      </c>
      <c r="E628" s="30">
        <v>22137.43</v>
      </c>
      <c r="F628" t="str">
        <f>LEFT(Table2[[#This Row],[Building]],2)</f>
        <v>MT</v>
      </c>
      <c r="G628" t="str">
        <f>LEFT(Table2[[#This Row],[Building]],8)</f>
        <v>MT0770AI</v>
      </c>
      <c r="H628" t="str">
        <f>RIGHT(Table2[[#This Row],[Building]],LEN(Table2[[#This Row],[Building]])-9)</f>
        <v>Sweetgrass Port Of E</v>
      </c>
    </row>
    <row r="629" spans="1:8" ht="22.5" x14ac:dyDescent="0.25">
      <c r="A629" s="39" t="s">
        <v>996</v>
      </c>
      <c r="B629" s="31">
        <v>373593.3</v>
      </c>
      <c r="C629" s="31">
        <v>554445.96</v>
      </c>
      <c r="D629" s="31">
        <v>337599.84</v>
      </c>
      <c r="E629" s="30">
        <v>1265639.1000000001</v>
      </c>
      <c r="F629" t="str">
        <f>LEFT(Table2[[#This Row],[Building]],2)</f>
        <v>NC</v>
      </c>
      <c r="G629" t="str">
        <f>LEFT(Table2[[#This Row],[Building]],8)</f>
        <v>NC0002AE</v>
      </c>
      <c r="H629" t="str">
        <f>RIGHT(Table2[[#This Row],[Building]],LEN(Table2[[#This Row],[Building]])-9)</f>
        <v>Veach-Baley Federal</v>
      </c>
    </row>
    <row r="630" spans="1:8" x14ac:dyDescent="0.25">
      <c r="A630" s="39" t="s">
        <v>997</v>
      </c>
      <c r="B630" s="29">
        <v>161667.82</v>
      </c>
      <c r="C630" s="29">
        <v>71999.89</v>
      </c>
      <c r="D630" s="29">
        <v>168012.91</v>
      </c>
      <c r="E630" s="30">
        <v>401680.62</v>
      </c>
      <c r="F630" t="str">
        <f>LEFT(Table2[[#This Row],[Building]],2)</f>
        <v>NC</v>
      </c>
      <c r="G630" t="str">
        <f>LEFT(Table2[[#This Row],[Building]],8)</f>
        <v>NC0005AE</v>
      </c>
      <c r="H630" t="str">
        <f>RIGHT(Table2[[#This Row],[Building]],LEN(Table2[[#This Row],[Building]])-9)</f>
        <v>Fb-Ct</v>
      </c>
    </row>
    <row r="631" spans="1:8" x14ac:dyDescent="0.25">
      <c r="A631" s="39" t="s">
        <v>998</v>
      </c>
      <c r="B631" s="31">
        <v>57512.24</v>
      </c>
      <c r="C631" s="31">
        <v>89606.89</v>
      </c>
      <c r="D631" s="31">
        <v>105433.60000000001</v>
      </c>
      <c r="E631" s="30">
        <v>252552.73</v>
      </c>
      <c r="F631" t="str">
        <f>LEFT(Table2[[#This Row],[Building]],2)</f>
        <v>NC</v>
      </c>
      <c r="G631" t="str">
        <f>LEFT(Table2[[#This Row],[Building]],8)</f>
        <v>NC0011ZZ</v>
      </c>
      <c r="H631" t="str">
        <f>RIGHT(Table2[[#This Row],[Building]],LEN(Table2[[#This Row],[Building]])-9)</f>
        <v>U.S. Post Office Cou</v>
      </c>
    </row>
    <row r="632" spans="1:8" ht="22.5" x14ac:dyDescent="0.25">
      <c r="A632" s="39" t="s">
        <v>999</v>
      </c>
      <c r="B632" s="29">
        <v>59563.360000000001</v>
      </c>
      <c r="C632" s="29">
        <v>25142.48</v>
      </c>
      <c r="D632" s="29">
        <v>72755.600000000006</v>
      </c>
      <c r="E632" s="30">
        <v>157461.44</v>
      </c>
      <c r="F632" t="str">
        <f>LEFT(Table2[[#This Row],[Building]],2)</f>
        <v>NC</v>
      </c>
      <c r="G632" t="str">
        <f>LEFT(Table2[[#This Row],[Building]],8)</f>
        <v>NC0020ZZ</v>
      </c>
      <c r="H632" t="str">
        <f>RIGHT(Table2[[#This Row],[Building]],LEN(Table2[[#This Row],[Building]])-9)</f>
        <v>J Herbert W Small Fb</v>
      </c>
    </row>
    <row r="633" spans="1:8" x14ac:dyDescent="0.25">
      <c r="A633" s="39" t="s">
        <v>1000</v>
      </c>
      <c r="B633" s="31">
        <v>172593.19</v>
      </c>
      <c r="C633" s="31">
        <v>125352.6</v>
      </c>
      <c r="D633" s="31">
        <v>277739.2</v>
      </c>
      <c r="E633" s="30">
        <v>575684.99</v>
      </c>
      <c r="F633" t="str">
        <f>LEFT(Table2[[#This Row],[Building]],2)</f>
        <v>NC</v>
      </c>
      <c r="G633" t="str">
        <f>LEFT(Table2[[#This Row],[Building]],8)</f>
        <v>NC0028ZZ</v>
      </c>
      <c r="H633" t="str">
        <f>RIGHT(Table2[[#This Row],[Building]],LEN(Table2[[#This Row],[Building]])-9)</f>
        <v>L.R.Preyer Fb-Po-Ct</v>
      </c>
    </row>
    <row r="634" spans="1:8" x14ac:dyDescent="0.25">
      <c r="A634" s="39" t="s">
        <v>1001</v>
      </c>
      <c r="B634" s="29">
        <v>32002.49</v>
      </c>
      <c r="C634" s="29">
        <v>17751.7</v>
      </c>
      <c r="D634" s="29">
        <v>47897.25</v>
      </c>
      <c r="E634" s="30">
        <v>97651.4399999999</v>
      </c>
      <c r="F634" t="str">
        <f>LEFT(Table2[[#This Row],[Building]],2)</f>
        <v>NC</v>
      </c>
      <c r="G634" t="str">
        <f>LEFT(Table2[[#This Row],[Building]],8)</f>
        <v>NC0029ZZ</v>
      </c>
      <c r="H634" t="str">
        <f>RIGHT(Table2[[#This Row],[Building]],LEN(Table2[[#This Row],[Building]])-9)</f>
        <v>Us Courthouse</v>
      </c>
    </row>
    <row r="635" spans="1:8" x14ac:dyDescent="0.25">
      <c r="A635" s="39" t="s">
        <v>1002</v>
      </c>
      <c r="B635" s="31">
        <v>113964.36</v>
      </c>
      <c r="C635" s="31">
        <v>70976.77</v>
      </c>
      <c r="D635" s="31">
        <v>216210.36</v>
      </c>
      <c r="E635" s="30">
        <v>401151.49</v>
      </c>
      <c r="F635" t="str">
        <f>LEFT(Table2[[#This Row],[Building]],2)</f>
        <v>NC</v>
      </c>
      <c r="G635" t="str">
        <f>LEFT(Table2[[#This Row],[Building]],8)</f>
        <v>NC0058ZZ</v>
      </c>
      <c r="H635" t="str">
        <f>RIGHT(Table2[[#This Row],[Building]],LEN(Table2[[#This Row],[Building]])-9)</f>
        <v>Fb-Po Cent.Station</v>
      </c>
    </row>
    <row r="636" spans="1:8" ht="22.5" x14ac:dyDescent="0.25">
      <c r="A636" s="39" t="s">
        <v>1003</v>
      </c>
      <c r="B636" s="29">
        <v>62530.28</v>
      </c>
      <c r="C636" s="29">
        <v>34581.5</v>
      </c>
      <c r="D636" s="29">
        <v>112413.69</v>
      </c>
      <c r="E636" s="30">
        <v>209525.47</v>
      </c>
      <c r="F636" t="str">
        <f>LEFT(Table2[[#This Row],[Building]],2)</f>
        <v>NC</v>
      </c>
      <c r="G636" t="str">
        <f>LEFT(Table2[[#This Row],[Building]],8)</f>
        <v>NC0072ZZ</v>
      </c>
      <c r="H636" t="str">
        <f>RIGHT(Table2[[#This Row],[Building]],LEN(Table2[[#This Row],[Building]])-9)</f>
        <v>United States Courth</v>
      </c>
    </row>
    <row r="637" spans="1:8" x14ac:dyDescent="0.25">
      <c r="A637" s="39" t="s">
        <v>1004</v>
      </c>
      <c r="B637" s="31">
        <v>119526.03</v>
      </c>
      <c r="C637" s="31">
        <v>84243.520000000004</v>
      </c>
      <c r="D637" s="31">
        <v>122609.55</v>
      </c>
      <c r="E637" s="30">
        <v>326379.09999999998</v>
      </c>
      <c r="F637" t="str">
        <f>LEFT(Table2[[#This Row],[Building]],2)</f>
        <v>NC</v>
      </c>
      <c r="G637" t="str">
        <f>LEFT(Table2[[#This Row],[Building]],8)</f>
        <v>NC0085ZZ</v>
      </c>
      <c r="H637" t="str">
        <f>RIGHT(Table2[[#This Row],[Building]],LEN(Table2[[#This Row],[Building]])-9)</f>
        <v>Alton Lennon Fb-Ct</v>
      </c>
    </row>
    <row r="638" spans="1:8" x14ac:dyDescent="0.25">
      <c r="A638" s="39" t="s">
        <v>1005</v>
      </c>
      <c r="B638" s="29">
        <v>41162.019999999997</v>
      </c>
      <c r="C638" s="29">
        <v>41392.86</v>
      </c>
      <c r="D638" s="29">
        <v>62159.05</v>
      </c>
      <c r="E638" s="30">
        <v>144713.93</v>
      </c>
      <c r="F638" t="str">
        <f>LEFT(Table2[[#This Row],[Building]],2)</f>
        <v>NC</v>
      </c>
      <c r="G638" t="str">
        <f>LEFT(Table2[[#This Row],[Building]],8)</f>
        <v>NC0092ZZ</v>
      </c>
      <c r="H638" t="str">
        <f>RIGHT(Table2[[#This Row],[Building]],LEN(Table2[[#This Row],[Building]])-9)</f>
        <v>Fb-Po-Ct</v>
      </c>
    </row>
    <row r="639" spans="1:8" x14ac:dyDescent="0.25">
      <c r="A639" s="39" t="s">
        <v>1006</v>
      </c>
      <c r="B639" s="31">
        <v>65950.899999999994</v>
      </c>
      <c r="C639" s="31">
        <v>32128.5</v>
      </c>
      <c r="D639" s="31">
        <v>84303.37</v>
      </c>
      <c r="E639" s="30">
        <v>182382.77</v>
      </c>
      <c r="F639" t="str">
        <f>LEFT(Table2[[#This Row],[Building]],2)</f>
        <v>NC</v>
      </c>
      <c r="G639" t="str">
        <f>LEFT(Table2[[#This Row],[Building]],8)</f>
        <v>NC0095ZZ</v>
      </c>
      <c r="H639" t="str">
        <f>RIGHT(Table2[[#This Row],[Building]],LEN(Table2[[#This Row],[Building]])-9)</f>
        <v>J. J. Hayes Fb</v>
      </c>
    </row>
    <row r="640" spans="1:8" ht="22.5" x14ac:dyDescent="0.25">
      <c r="A640" s="39" t="s">
        <v>1007</v>
      </c>
      <c r="B640" s="29">
        <v>396019.25</v>
      </c>
      <c r="C640" s="29">
        <v>335898.37</v>
      </c>
      <c r="D640" s="29">
        <v>284827.59999999998</v>
      </c>
      <c r="E640" s="30">
        <v>1016745.22</v>
      </c>
      <c r="F640" t="str">
        <f>LEFT(Table2[[#This Row],[Building]],2)</f>
        <v>NC</v>
      </c>
      <c r="G640" t="str">
        <f>LEFT(Table2[[#This Row],[Building]],8)</f>
        <v>NC0111AB</v>
      </c>
      <c r="H640" t="str">
        <f>RIGHT(Table2[[#This Row],[Building]],LEN(Table2[[#This Row],[Building]])-9)</f>
        <v>Terry Sanford Federa</v>
      </c>
    </row>
    <row r="641" spans="1:8" ht="22.5" x14ac:dyDescent="0.25">
      <c r="A641" s="39" t="s">
        <v>1008</v>
      </c>
      <c r="B641" s="31">
        <v>648387.65</v>
      </c>
      <c r="C641" s="31">
        <v>293543.06</v>
      </c>
      <c r="D641" s="31">
        <v>473708.79999999999</v>
      </c>
      <c r="E641" s="30">
        <v>1415639.51</v>
      </c>
      <c r="F641" t="str">
        <f>LEFT(Table2[[#This Row],[Building]],2)</f>
        <v>NC</v>
      </c>
      <c r="G641" t="str">
        <f>LEFT(Table2[[#This Row],[Building]],8)</f>
        <v>NC0113ZZ</v>
      </c>
      <c r="H641" t="str">
        <f>RIGHT(Table2[[#This Row],[Building]],LEN(Table2[[#This Row],[Building]])-9)</f>
        <v>Hiram H. Ward Fb &amp; C</v>
      </c>
    </row>
    <row r="642" spans="1:8" x14ac:dyDescent="0.25">
      <c r="A642" s="39" t="s">
        <v>1009</v>
      </c>
      <c r="B642" s="29">
        <v>70948.27</v>
      </c>
      <c r="C642" s="29">
        <v>41850.06</v>
      </c>
      <c r="D642" s="29">
        <v>62995.92</v>
      </c>
      <c r="E642" s="30">
        <v>175794.25</v>
      </c>
      <c r="F642" t="str">
        <f>LEFT(Table2[[#This Row],[Building]],2)</f>
        <v>ND</v>
      </c>
      <c r="G642" t="str">
        <f>LEFT(Table2[[#This Row],[Building]],8)</f>
        <v>ND0002ZZ</v>
      </c>
      <c r="H642" t="str">
        <f>RIGHT(Table2[[#This Row],[Building]],LEN(Table2[[#This Row],[Building]])-9)</f>
        <v>Fb</v>
      </c>
    </row>
    <row r="643" spans="1:8" x14ac:dyDescent="0.25">
      <c r="A643" s="39" t="s">
        <v>1010</v>
      </c>
      <c r="B643" s="31">
        <v>129046.1</v>
      </c>
      <c r="C643" s="31">
        <v>262876.21999999997</v>
      </c>
      <c r="D643" s="31">
        <v>100944.1</v>
      </c>
      <c r="E643" s="30">
        <v>492866.42</v>
      </c>
      <c r="F643" t="str">
        <f>LEFT(Table2[[#This Row],[Building]],2)</f>
        <v>ND</v>
      </c>
      <c r="G643" t="str">
        <f>LEFT(Table2[[#This Row],[Building]],8)</f>
        <v>ND0006ZZ</v>
      </c>
      <c r="H643" t="str">
        <f>RIGHT(Table2[[#This Row],[Building]],LEN(Table2[[#This Row],[Building]])-9)</f>
        <v>Fb-Ct</v>
      </c>
    </row>
    <row r="644" spans="1:8" ht="22.5" x14ac:dyDescent="0.25">
      <c r="A644" s="39" t="s">
        <v>1011</v>
      </c>
      <c r="B644" s="29">
        <v>43395.26</v>
      </c>
      <c r="C644" s="29">
        <v>62340.639999999999</v>
      </c>
      <c r="D644" s="29">
        <v>97686.67</v>
      </c>
      <c r="E644" s="30">
        <v>203422.57</v>
      </c>
      <c r="F644" t="str">
        <f>LEFT(Table2[[#This Row],[Building]],2)</f>
        <v>ND</v>
      </c>
      <c r="G644" t="str">
        <f>LEFT(Table2[[#This Row],[Building]],8)</f>
        <v>ND0008ZZ</v>
      </c>
      <c r="H644" t="str">
        <f>RIGHT(Table2[[#This Row],[Building]],LEN(Table2[[#This Row],[Building]])-9)</f>
        <v>Ronald N. Davies Fed</v>
      </c>
    </row>
    <row r="645" spans="1:8" ht="22.5" x14ac:dyDescent="0.25">
      <c r="A645" s="39" t="s">
        <v>1012</v>
      </c>
      <c r="B645" s="31">
        <v>56968.1</v>
      </c>
      <c r="C645" s="31">
        <v>47645.83</v>
      </c>
      <c r="D645" s="31">
        <v>114883.63</v>
      </c>
      <c r="E645" s="30">
        <v>219497.56</v>
      </c>
      <c r="F645" t="str">
        <f>LEFT(Table2[[#This Row],[Building]],2)</f>
        <v>ND</v>
      </c>
      <c r="G645" t="str">
        <f>LEFT(Table2[[#This Row],[Building]],8)</f>
        <v>ND0014ZZ</v>
      </c>
      <c r="H645" t="str">
        <f>RIGHT(Table2[[#This Row],[Building]],LEN(Table2[[#This Row],[Building]])-9)</f>
        <v>Judge Bruce M. Van S</v>
      </c>
    </row>
    <row r="646" spans="1:8" x14ac:dyDescent="0.25">
      <c r="A646" s="39" t="s">
        <v>1013</v>
      </c>
      <c r="B646" s="29">
        <v>65723.39</v>
      </c>
      <c r="C646" s="29">
        <v>20877.150000000001</v>
      </c>
      <c r="D646" s="29">
        <v>138888.82999999999</v>
      </c>
      <c r="E646" s="30">
        <v>225489.37</v>
      </c>
      <c r="F646" t="str">
        <f>LEFT(Table2[[#This Row],[Building]],2)</f>
        <v>ND</v>
      </c>
      <c r="G646" t="str">
        <f>LEFT(Table2[[#This Row],[Building]],8)</f>
        <v>ND0018ZZ</v>
      </c>
      <c r="H646" t="str">
        <f>RIGHT(Table2[[#This Row],[Building]],LEN(Table2[[#This Row],[Building]])-9)</f>
        <v>Po-Cu</v>
      </c>
    </row>
    <row r="647" spans="1:8" ht="22.5" x14ac:dyDescent="0.25">
      <c r="A647" s="39" t="s">
        <v>1014</v>
      </c>
      <c r="B647" s="31">
        <v>33192.400000000001</v>
      </c>
      <c r="C647" s="31">
        <v>7449.75</v>
      </c>
      <c r="D647" s="31">
        <v>30989.77</v>
      </c>
      <c r="E647" s="30">
        <v>71631.92</v>
      </c>
      <c r="F647" t="str">
        <f>LEFT(Table2[[#This Row],[Building]],2)</f>
        <v>ND</v>
      </c>
      <c r="G647" t="str">
        <f>LEFT(Table2[[#This Row],[Building]],8)</f>
        <v>ND0032ZZ</v>
      </c>
      <c r="H647" t="str">
        <f>RIGHT(Table2[[#This Row],[Building]],LEN(Table2[[#This Row],[Building]])-9)</f>
        <v>Bdr Patrol Sector Hq</v>
      </c>
    </row>
    <row r="648" spans="1:8" ht="22.5" x14ac:dyDescent="0.25">
      <c r="A648" s="39" t="s">
        <v>1015</v>
      </c>
      <c r="B648" s="29">
        <v>242588.04</v>
      </c>
      <c r="C648" s="29">
        <v>166346.87</v>
      </c>
      <c r="D648" s="29">
        <v>621512.59</v>
      </c>
      <c r="E648" s="30">
        <v>1030447.5</v>
      </c>
      <c r="F648" t="str">
        <f>LEFT(Table2[[#This Row],[Building]],2)</f>
        <v>ND</v>
      </c>
      <c r="G648" t="str">
        <f>LEFT(Table2[[#This Row],[Building]],8)</f>
        <v>ND0037ZZ</v>
      </c>
      <c r="H648" t="str">
        <f>RIGHT(Table2[[#This Row],[Building]],LEN(Table2[[#This Row],[Building]])-9)</f>
        <v>William L. Guy Fb/Po</v>
      </c>
    </row>
    <row r="649" spans="1:8" x14ac:dyDescent="0.25">
      <c r="A649" s="39" t="s">
        <v>1016</v>
      </c>
      <c r="B649" s="31">
        <v>17604.38</v>
      </c>
      <c r="C649" s="31">
        <v>924.62</v>
      </c>
      <c r="D649" s="31">
        <v>1828.24</v>
      </c>
      <c r="E649" s="30">
        <v>20357.240000000002</v>
      </c>
      <c r="F649" t="str">
        <f>LEFT(Table2[[#This Row],[Building]],2)</f>
        <v>ND</v>
      </c>
      <c r="G649" t="str">
        <f>LEFT(Table2[[#This Row],[Building]],8)</f>
        <v>ND0038ZZ</v>
      </c>
      <c r="H649" t="str">
        <f>RIGHT(Table2[[#This Row],[Building]],LEN(Table2[[#This Row],[Building]])-9)</f>
        <v>Federal Parking Lot</v>
      </c>
    </row>
    <row r="650" spans="1:8" x14ac:dyDescent="0.25">
      <c r="A650" s="39" t="s">
        <v>1017</v>
      </c>
      <c r="B650" s="29">
        <v>21417.5</v>
      </c>
      <c r="C650" s="29">
        <v>19873.810000000001</v>
      </c>
      <c r="D650" s="29">
        <v>15500.64</v>
      </c>
      <c r="E650" s="30">
        <v>56791.95</v>
      </c>
      <c r="F650" t="str">
        <f>LEFT(Table2[[#This Row],[Building]],2)</f>
        <v>ND</v>
      </c>
      <c r="G650" t="str">
        <f>LEFT(Table2[[#This Row],[Building]],8)</f>
        <v>ND0045ZZ</v>
      </c>
      <c r="H650" t="str">
        <f>RIGHT(Table2[[#This Row],[Building]],LEN(Table2[[#This Row],[Building]])-9)</f>
        <v>Social Security Bldg</v>
      </c>
    </row>
    <row r="651" spans="1:8" x14ac:dyDescent="0.25">
      <c r="A651" s="39" t="s">
        <v>1018</v>
      </c>
      <c r="B651" s="31">
        <v>393986.57</v>
      </c>
      <c r="C651" s="31">
        <v>148124.69</v>
      </c>
      <c r="D651" s="31">
        <v>226651.23</v>
      </c>
      <c r="E651" s="30">
        <v>768762.49</v>
      </c>
      <c r="F651" t="str">
        <f>LEFT(Table2[[#This Row],[Building]],2)</f>
        <v>ND</v>
      </c>
      <c r="G651" t="str">
        <f>LEFT(Table2[[#This Row],[Building]],8)</f>
        <v>ND0046ZZ</v>
      </c>
      <c r="H651" t="str">
        <f>RIGHT(Table2[[#This Row],[Building]],LEN(Table2[[#This Row],[Building]])-9)</f>
        <v>Fb-Po</v>
      </c>
    </row>
    <row r="652" spans="1:8" ht="22.5" x14ac:dyDescent="0.25">
      <c r="A652" s="39" t="s">
        <v>1019</v>
      </c>
      <c r="B652" s="29">
        <v>151186.81</v>
      </c>
      <c r="C652" s="29">
        <v>55241.36</v>
      </c>
      <c r="D652" s="29">
        <v>142113.97</v>
      </c>
      <c r="E652" s="30">
        <v>348542.14</v>
      </c>
      <c r="F652" t="str">
        <f>LEFT(Table2[[#This Row],[Building]],2)</f>
        <v>ND</v>
      </c>
      <c r="G652" t="str">
        <f>LEFT(Table2[[#This Row],[Building]],8)</f>
        <v>ND0047ZZ</v>
      </c>
      <c r="H652" t="str">
        <f>RIGHT(Table2[[#This Row],[Building]],LEN(Table2[[#This Row],[Building]])-9)</f>
        <v>Quentin N. Burdick C</v>
      </c>
    </row>
    <row r="653" spans="1:8" ht="22.5" x14ac:dyDescent="0.25">
      <c r="A653" s="39" t="s">
        <v>1020</v>
      </c>
      <c r="B653" s="31">
        <v>20962.86</v>
      </c>
      <c r="C653" s="31">
        <v>9886.5499999999993</v>
      </c>
      <c r="D653" s="31">
        <v>56939.38</v>
      </c>
      <c r="E653" s="30">
        <v>87788.79</v>
      </c>
      <c r="F653" t="str">
        <f>LEFT(Table2[[#This Row],[Building]],2)</f>
        <v>ND</v>
      </c>
      <c r="G653" t="str">
        <f>LEFT(Table2[[#This Row],[Building]],8)</f>
        <v>ND0501AK</v>
      </c>
      <c r="H653" t="str">
        <f>RIGHT(Table2[[#This Row],[Building]],LEN(Table2[[#This Row],[Building]])-9)</f>
        <v>Ambrose Port Of Entr</v>
      </c>
    </row>
    <row r="654" spans="1:8" ht="22.5" x14ac:dyDescent="0.25">
      <c r="A654" s="39" t="s">
        <v>1021</v>
      </c>
      <c r="B654" s="32" t="s">
        <v>1022</v>
      </c>
      <c r="C654" s="32" t="s">
        <v>1023</v>
      </c>
      <c r="D654" s="29">
        <v>6574.19</v>
      </c>
      <c r="E654" s="33" t="s">
        <v>1024</v>
      </c>
      <c r="F654" t="str">
        <f>LEFT(Table2[[#This Row],[Building]],2)</f>
        <v>ND</v>
      </c>
      <c r="G654" t="str">
        <f>LEFT(Table2[[#This Row],[Building]],8)</f>
        <v>ND0511AL</v>
      </c>
      <c r="H654" t="str">
        <f>RIGHT(Table2[[#This Row],[Building]],LEN(Table2[[#This Row],[Building]])-9)</f>
        <v>Dunseith Port Of Ent</v>
      </c>
    </row>
    <row r="655" spans="1:8" ht="22.5" x14ac:dyDescent="0.25">
      <c r="A655" s="39" t="s">
        <v>1025</v>
      </c>
      <c r="B655" s="31">
        <v>7468.46</v>
      </c>
      <c r="C655" s="31">
        <v>1822.61</v>
      </c>
      <c r="D655" s="31">
        <v>8402.83</v>
      </c>
      <c r="E655" s="30">
        <v>17693.900000000001</v>
      </c>
      <c r="F655" t="str">
        <f>LEFT(Table2[[#This Row],[Building]],2)</f>
        <v>ND</v>
      </c>
      <c r="G655" t="str">
        <f>LEFT(Table2[[#This Row],[Building]],8)</f>
        <v>ND0514AL</v>
      </c>
      <c r="H655" t="str">
        <f>RIGHT(Table2[[#This Row],[Building]],LEN(Table2[[#This Row],[Building]])-9)</f>
        <v>Dunseith Port Of Ent</v>
      </c>
    </row>
    <row r="656" spans="1:8" ht="22.5" x14ac:dyDescent="0.25">
      <c r="A656" s="39" t="s">
        <v>1026</v>
      </c>
      <c r="B656" s="29">
        <v>1430.57</v>
      </c>
      <c r="C656" s="29">
        <v>374.88</v>
      </c>
      <c r="D656" s="29">
        <v>8945.42</v>
      </c>
      <c r="E656" s="30">
        <v>10750.87</v>
      </c>
      <c r="F656" t="str">
        <f>LEFT(Table2[[#This Row],[Building]],2)</f>
        <v>ND</v>
      </c>
      <c r="G656" t="str">
        <f>LEFT(Table2[[#This Row],[Building]],8)</f>
        <v>ND0515AL</v>
      </c>
      <c r="H656" t="str">
        <f>RIGHT(Table2[[#This Row],[Building]],LEN(Table2[[#This Row],[Building]])-9)</f>
        <v>Dunseith Port Of Ent</v>
      </c>
    </row>
    <row r="657" spans="1:8" ht="22.5" x14ac:dyDescent="0.25">
      <c r="A657" s="39" t="s">
        <v>1027</v>
      </c>
      <c r="B657" s="34" t="s">
        <v>1028</v>
      </c>
      <c r="C657" s="34" t="s">
        <v>1029</v>
      </c>
      <c r="D657" s="34" t="s">
        <v>1030</v>
      </c>
      <c r="E657" s="33" t="s">
        <v>1031</v>
      </c>
      <c r="F657" t="str">
        <f>LEFT(Table2[[#This Row],[Building]],2)</f>
        <v>ND</v>
      </c>
      <c r="G657" t="str">
        <f>LEFT(Table2[[#This Row],[Building]],8)</f>
        <v>ND0523AM</v>
      </c>
      <c r="H657" t="str">
        <f>RIGHT(Table2[[#This Row],[Building]],LEN(Table2[[#This Row],[Building]])-9)</f>
        <v>Portal Port Of Entry</v>
      </c>
    </row>
    <row r="658" spans="1:8" ht="22.5" x14ac:dyDescent="0.25">
      <c r="A658" s="39" t="s">
        <v>1032</v>
      </c>
      <c r="B658" s="29">
        <v>16383.6</v>
      </c>
      <c r="C658" s="29">
        <v>4760.1099999999997</v>
      </c>
      <c r="D658" s="29">
        <v>10601.86</v>
      </c>
      <c r="E658" s="30">
        <v>31745.57</v>
      </c>
      <c r="F658" t="str">
        <f>LEFT(Table2[[#This Row],[Building]],2)</f>
        <v>ND</v>
      </c>
      <c r="G658" t="str">
        <f>LEFT(Table2[[#This Row],[Building]],8)</f>
        <v>ND0524AM</v>
      </c>
      <c r="H658" t="str">
        <f>RIGHT(Table2[[#This Row],[Building]],LEN(Table2[[#This Row],[Building]])-9)</f>
        <v>Portal Non-Commercia</v>
      </c>
    </row>
    <row r="659" spans="1:8" x14ac:dyDescent="0.25">
      <c r="A659" s="39" t="s">
        <v>1033</v>
      </c>
      <c r="B659" s="31">
        <v>27884.83</v>
      </c>
      <c r="C659" s="31">
        <v>8035.21</v>
      </c>
      <c r="D659" s="31">
        <v>17989.47</v>
      </c>
      <c r="E659" s="30">
        <v>53909.51</v>
      </c>
      <c r="F659" t="str">
        <f>LEFT(Table2[[#This Row],[Building]],2)</f>
        <v>ND</v>
      </c>
      <c r="G659" t="str">
        <f>LEFT(Table2[[#This Row],[Building]],8)</f>
        <v>ND0525AM</v>
      </c>
      <c r="H659" t="str">
        <f>RIGHT(Table2[[#This Row],[Building]],LEN(Table2[[#This Row],[Building]])-9)</f>
        <v>Portal Nii</v>
      </c>
    </row>
    <row r="660" spans="1:8" ht="22.5" x14ac:dyDescent="0.25">
      <c r="A660" s="39" t="s">
        <v>1034</v>
      </c>
      <c r="B660" s="29">
        <v>37920.449999999997</v>
      </c>
      <c r="C660" s="29">
        <v>6411.89</v>
      </c>
      <c r="D660" s="29">
        <v>34455.910000000003</v>
      </c>
      <c r="E660" s="30">
        <v>78788.25</v>
      </c>
      <c r="F660" t="str">
        <f>LEFT(Table2[[#This Row],[Building]],2)</f>
        <v>ND</v>
      </c>
      <c r="G660" t="str">
        <f>LEFT(Table2[[#This Row],[Building]],8)</f>
        <v>ND0526AM</v>
      </c>
      <c r="H660" t="str">
        <f>RIGHT(Table2[[#This Row],[Building]],LEN(Table2[[#This Row],[Building]])-9)</f>
        <v>Portal Garage/Traini</v>
      </c>
    </row>
    <row r="661" spans="1:8" ht="22.5" x14ac:dyDescent="0.25">
      <c r="A661" s="39" t="s">
        <v>1035</v>
      </c>
      <c r="B661" s="31">
        <v>36718.03</v>
      </c>
      <c r="C661" s="34" t="s">
        <v>1036</v>
      </c>
      <c r="D661" s="31">
        <v>21341.11</v>
      </c>
      <c r="E661" s="30">
        <v>50025.08</v>
      </c>
      <c r="F661" t="str">
        <f>LEFT(Table2[[#This Row],[Building]],2)</f>
        <v>ND</v>
      </c>
      <c r="G661" t="str">
        <f>LEFT(Table2[[#This Row],[Building]],8)</f>
        <v>ND0527AM</v>
      </c>
      <c r="H661" t="str">
        <f>RIGHT(Table2[[#This Row],[Building]],LEN(Table2[[#This Row],[Building]])-9)</f>
        <v>Portal Border Patrol</v>
      </c>
    </row>
    <row r="662" spans="1:8" ht="22.5" x14ac:dyDescent="0.25">
      <c r="A662" s="39" t="s">
        <v>1037</v>
      </c>
      <c r="B662" s="29">
        <v>3210.11</v>
      </c>
      <c r="C662" s="29">
        <v>2123.71</v>
      </c>
      <c r="D662" s="29">
        <v>1884.66</v>
      </c>
      <c r="E662" s="30">
        <v>7218.48</v>
      </c>
      <c r="F662" t="str">
        <f>LEFT(Table2[[#This Row],[Building]],2)</f>
        <v>ND</v>
      </c>
      <c r="G662" t="str">
        <f>LEFT(Table2[[#This Row],[Building]],8)</f>
        <v>ND0528AM</v>
      </c>
      <c r="H662" t="str">
        <f>RIGHT(Table2[[#This Row],[Building]],LEN(Table2[[#This Row],[Building]])-9)</f>
        <v>Gsa Storage Garage</v>
      </c>
    </row>
    <row r="663" spans="1:8" ht="22.5" x14ac:dyDescent="0.25">
      <c r="A663" s="39" t="s">
        <v>1038</v>
      </c>
      <c r="B663" s="31">
        <v>12786.01</v>
      </c>
      <c r="C663" s="31">
        <v>6884.69</v>
      </c>
      <c r="D663" s="31">
        <v>28866.92</v>
      </c>
      <c r="E663" s="30">
        <v>48537.62</v>
      </c>
      <c r="F663" t="str">
        <f>LEFT(Table2[[#This Row],[Building]],2)</f>
        <v>ND</v>
      </c>
      <c r="G663" t="str">
        <f>LEFT(Table2[[#This Row],[Building]],8)</f>
        <v>ND0531AN</v>
      </c>
      <c r="H663" t="str">
        <f>RIGHT(Table2[[#This Row],[Building]],LEN(Table2[[#This Row],[Building]])-9)</f>
        <v>St John Port Of Entr</v>
      </c>
    </row>
    <row r="664" spans="1:8" ht="22.5" x14ac:dyDescent="0.25">
      <c r="A664" s="39" t="s">
        <v>1040</v>
      </c>
      <c r="B664" s="32" t="s">
        <v>1041</v>
      </c>
      <c r="C664" s="32" t="s">
        <v>1042</v>
      </c>
      <c r="D664" s="32" t="s">
        <v>1043</v>
      </c>
      <c r="E664" s="33" t="s">
        <v>1044</v>
      </c>
      <c r="F664" t="str">
        <f>LEFT(Table2[[#This Row],[Building]],2)</f>
        <v>ND</v>
      </c>
      <c r="G664" t="str">
        <f>LEFT(Table2[[#This Row],[Building]],8)</f>
        <v>ND0545AO</v>
      </c>
      <c r="H664" t="str">
        <f>RIGHT(Table2[[#This Row],[Building]],LEN(Table2[[#This Row],[Building]])-9)</f>
        <v>Pembina Port Of Entr</v>
      </c>
    </row>
    <row r="665" spans="1:8" ht="22.5" x14ac:dyDescent="0.25">
      <c r="A665" s="39" t="s">
        <v>1045</v>
      </c>
      <c r="B665" s="31">
        <v>132183.1</v>
      </c>
      <c r="C665" s="31">
        <v>58250.83</v>
      </c>
      <c r="D665" s="31">
        <v>128277.99</v>
      </c>
      <c r="E665" s="30">
        <v>318711.92</v>
      </c>
      <c r="F665" t="str">
        <f>LEFT(Table2[[#This Row],[Building]],2)</f>
        <v>ND</v>
      </c>
      <c r="G665" t="str">
        <f>LEFT(Table2[[#This Row],[Building]],8)</f>
        <v>ND0546AO</v>
      </c>
      <c r="H665" t="str">
        <f>RIGHT(Table2[[#This Row],[Building]],LEN(Table2[[#This Row],[Building]])-9)</f>
        <v>Pembina Port Of Entr</v>
      </c>
    </row>
    <row r="666" spans="1:8" ht="22.5" x14ac:dyDescent="0.25">
      <c r="A666" s="39" t="s">
        <v>1046</v>
      </c>
      <c r="B666" s="29">
        <v>47525.52</v>
      </c>
      <c r="C666" s="29">
        <v>27205.26</v>
      </c>
      <c r="D666" s="29">
        <v>51092.21</v>
      </c>
      <c r="E666" s="30">
        <v>125822.99</v>
      </c>
      <c r="F666" t="str">
        <f>LEFT(Table2[[#This Row],[Building]],2)</f>
        <v>ND</v>
      </c>
      <c r="G666" t="str">
        <f>LEFT(Table2[[#This Row],[Building]],8)</f>
        <v>ND0547AO</v>
      </c>
      <c r="H666" t="str">
        <f>RIGHT(Table2[[#This Row],[Building]],LEN(Table2[[#This Row],[Building]])-9)</f>
        <v>Pembina Port Of Entr</v>
      </c>
    </row>
    <row r="667" spans="1:8" x14ac:dyDescent="0.25">
      <c r="A667" s="39" t="s">
        <v>1048</v>
      </c>
      <c r="B667" s="29">
        <v>41660.06</v>
      </c>
      <c r="C667" s="29">
        <v>12279.46</v>
      </c>
      <c r="D667" s="29">
        <v>54600.97</v>
      </c>
      <c r="E667" s="30">
        <v>108540.49</v>
      </c>
      <c r="F667" t="str">
        <f>LEFT(Table2[[#This Row],[Building]],2)</f>
        <v>NE</v>
      </c>
      <c r="G667" t="str">
        <f>LEFT(Table2[[#This Row],[Building]],8)</f>
        <v>NE0018ZZ</v>
      </c>
      <c r="H667" t="str">
        <f>RIGHT(Table2[[#This Row],[Building]],LEN(Table2[[#This Row],[Building]])-9)</f>
        <v>Federal Bg</v>
      </c>
    </row>
    <row r="668" spans="1:8" ht="22.5" x14ac:dyDescent="0.25">
      <c r="A668" s="39" t="s">
        <v>1049</v>
      </c>
      <c r="B668" s="31">
        <v>544216.01</v>
      </c>
      <c r="C668" s="31">
        <v>529593.96</v>
      </c>
      <c r="D668" s="31">
        <v>419305.35</v>
      </c>
      <c r="E668" s="30">
        <v>1493115.32</v>
      </c>
      <c r="F668" t="str">
        <f>LEFT(Table2[[#This Row],[Building]],2)</f>
        <v>NE</v>
      </c>
      <c r="G668" t="str">
        <f>LEFT(Table2[[#This Row],[Building]],8)</f>
        <v>NE0036ZZ</v>
      </c>
      <c r="H668" t="str">
        <f>RIGHT(Table2[[#This Row],[Building]],LEN(Table2[[#This Row],[Building]])-9)</f>
        <v>Hruska Us Courthouse</v>
      </c>
    </row>
    <row r="669" spans="1:8" ht="22.5" x14ac:dyDescent="0.25">
      <c r="A669" s="39" t="s">
        <v>1050</v>
      </c>
      <c r="B669" s="29">
        <v>608738.72</v>
      </c>
      <c r="C669" s="29">
        <v>628184.85</v>
      </c>
      <c r="D669" s="29">
        <v>468770.81</v>
      </c>
      <c r="E669" s="30">
        <v>1705694.38</v>
      </c>
      <c r="F669" t="str">
        <f>LEFT(Table2[[#This Row],[Building]],2)</f>
        <v>NE</v>
      </c>
      <c r="G669" t="str">
        <f>LEFT(Table2[[#This Row],[Building]],8)</f>
        <v>NE0051ZZ</v>
      </c>
      <c r="H669" t="str">
        <f>RIGHT(Table2[[#This Row],[Building]],LEN(Table2[[#This Row],[Building]])-9)</f>
        <v>Edward Zorinsky Fed</v>
      </c>
    </row>
    <row r="670" spans="1:8" ht="22.5" x14ac:dyDescent="0.25">
      <c r="A670" s="39" t="s">
        <v>1051</v>
      </c>
      <c r="B670" s="31">
        <v>164461.76999999999</v>
      </c>
      <c r="C670" s="31">
        <v>52262.64</v>
      </c>
      <c r="D670" s="31">
        <v>142269.42000000001</v>
      </c>
      <c r="E670" s="30">
        <v>358993.83</v>
      </c>
      <c r="F670" t="str">
        <f>LEFT(Table2[[#This Row],[Building]],2)</f>
        <v>NE</v>
      </c>
      <c r="G670" t="str">
        <f>LEFT(Table2[[#This Row],[Building]],8)</f>
        <v>NE0056ZZ</v>
      </c>
      <c r="H670" t="str">
        <f>RIGHT(Table2[[#This Row],[Building]],LEN(Table2[[#This Row],[Building]])-9)</f>
        <v>Federal Bg Uspo Cths</v>
      </c>
    </row>
    <row r="671" spans="1:8" ht="22.5" x14ac:dyDescent="0.25">
      <c r="A671" s="39" t="s">
        <v>1052</v>
      </c>
      <c r="B671" s="29">
        <v>637360.4</v>
      </c>
      <c r="C671" s="29">
        <v>414882.42</v>
      </c>
      <c r="D671" s="29">
        <v>657554.63</v>
      </c>
      <c r="E671" s="30">
        <v>1709797.45</v>
      </c>
      <c r="F671" t="str">
        <f>LEFT(Table2[[#This Row],[Building]],2)</f>
        <v>NE</v>
      </c>
      <c r="G671" t="str">
        <f>LEFT(Table2[[#This Row],[Building]],8)</f>
        <v>NE0531ZZ</v>
      </c>
      <c r="H671" t="str">
        <f>RIGHT(Table2[[#This Row],[Building]],LEN(Table2[[#This Row],[Building]])-9)</f>
        <v>Robert Denney Fb&amp;Ct</v>
      </c>
    </row>
    <row r="672" spans="1:8" ht="22.5" x14ac:dyDescent="0.25">
      <c r="A672" s="39" t="s">
        <v>1053</v>
      </c>
      <c r="B672" s="31">
        <v>168470.8</v>
      </c>
      <c r="C672" s="31">
        <v>345700.85</v>
      </c>
      <c r="D672" s="31">
        <v>153476.6</v>
      </c>
      <c r="E672" s="30">
        <v>667648.25</v>
      </c>
      <c r="F672" t="str">
        <f>LEFT(Table2[[#This Row],[Building]],2)</f>
        <v>NH</v>
      </c>
      <c r="G672" t="str">
        <f>LEFT(Table2[[#This Row],[Building]],8)</f>
        <v>NH0030ZZ</v>
      </c>
      <c r="H672" t="str">
        <f>RIGHT(Table2[[#This Row],[Building]],LEN(Table2[[#This Row],[Building]])-9)</f>
        <v>James C. Cleveland F</v>
      </c>
    </row>
    <row r="673" spans="1:8" x14ac:dyDescent="0.25">
      <c r="A673" s="39" t="s">
        <v>1054</v>
      </c>
      <c r="B673" s="29">
        <v>17908.87</v>
      </c>
      <c r="C673" s="29">
        <v>16599.63</v>
      </c>
      <c r="D673" s="29">
        <v>7934.14</v>
      </c>
      <c r="E673" s="30">
        <v>42442.64</v>
      </c>
      <c r="F673" t="str">
        <f>LEFT(Table2[[#This Row],[Building]],2)</f>
        <v>NH</v>
      </c>
      <c r="G673" t="str">
        <f>LEFT(Table2[[#This Row],[Building]],8)</f>
        <v>NH0033ZZ</v>
      </c>
      <c r="H673" t="str">
        <f>RIGHT(Table2[[#This Row],[Building]],LEN(Table2[[#This Row],[Building]])-9)</f>
        <v>Ssa</v>
      </c>
    </row>
    <row r="674" spans="1:8" ht="22.5" x14ac:dyDescent="0.25">
      <c r="A674" s="39" t="s">
        <v>1055</v>
      </c>
      <c r="B674" s="31">
        <v>148131.66</v>
      </c>
      <c r="C674" s="31">
        <v>218425.57</v>
      </c>
      <c r="D674" s="31">
        <v>154043.89000000001</v>
      </c>
      <c r="E674" s="30">
        <v>520601.12</v>
      </c>
      <c r="F674" t="str">
        <f>LEFT(Table2[[#This Row],[Building]],2)</f>
        <v>NH</v>
      </c>
      <c r="G674" t="str">
        <f>LEFT(Table2[[#This Row],[Building]],8)</f>
        <v>NH0036ZZ</v>
      </c>
      <c r="H674" t="str">
        <f>RIGHT(Table2[[#This Row],[Building]],LEN(Table2[[#This Row],[Building]])-9)</f>
        <v>Thomas J Mcintyre Fb</v>
      </c>
    </row>
    <row r="675" spans="1:8" x14ac:dyDescent="0.25">
      <c r="A675" s="39" t="s">
        <v>1056</v>
      </c>
      <c r="B675" s="29">
        <v>208377.41</v>
      </c>
      <c r="C675" s="29">
        <v>143157.14000000001</v>
      </c>
      <c r="D675" s="29">
        <v>220568.34</v>
      </c>
      <c r="E675" s="30">
        <v>572102.89</v>
      </c>
      <c r="F675" t="str">
        <f>LEFT(Table2[[#This Row],[Building]],2)</f>
        <v>NH</v>
      </c>
      <c r="G675" t="str">
        <f>LEFT(Table2[[#This Row],[Building]],8)</f>
        <v>NH0037ZZ</v>
      </c>
      <c r="H675" t="str">
        <f>RIGHT(Table2[[#This Row],[Building]],LEN(Table2[[#This Row],[Building]])-9)</f>
        <v>Norris Cotton Fb</v>
      </c>
    </row>
    <row r="676" spans="1:8" ht="22.5" x14ac:dyDescent="0.25">
      <c r="A676" s="39" t="s">
        <v>1057</v>
      </c>
      <c r="B676" s="31">
        <v>263821.28999999998</v>
      </c>
      <c r="C676" s="31">
        <v>490685.01</v>
      </c>
      <c r="D676" s="31">
        <v>279399.34999999998</v>
      </c>
      <c r="E676" s="30">
        <v>1033905.65</v>
      </c>
      <c r="F676" t="str">
        <f>LEFT(Table2[[#This Row],[Building]],2)</f>
        <v>NH</v>
      </c>
      <c r="G676" t="str">
        <f>LEFT(Table2[[#This Row],[Building]],8)</f>
        <v>NH0038ZZ</v>
      </c>
      <c r="H676" t="str">
        <f>RIGHT(Table2[[#This Row],[Building]],LEN(Table2[[#This Row],[Building]])-9)</f>
        <v>Warren B. Rudman Us</v>
      </c>
    </row>
    <row r="677" spans="1:8" x14ac:dyDescent="0.25">
      <c r="A677" s="39" t="s">
        <v>1058</v>
      </c>
      <c r="B677" s="29">
        <v>209338.47</v>
      </c>
      <c r="C677" s="29">
        <v>17797.05</v>
      </c>
      <c r="D677" s="29">
        <v>117380.24</v>
      </c>
      <c r="E677" s="30">
        <v>344515.76</v>
      </c>
      <c r="F677" t="str">
        <f>LEFT(Table2[[#This Row],[Building]],2)</f>
        <v>NJ</v>
      </c>
      <c r="G677" t="str">
        <f>LEFT(Table2[[#This Row],[Building]],8)</f>
        <v>NJ0015ZZ</v>
      </c>
      <c r="H677" t="str">
        <f>RIGHT(Table2[[#This Row],[Building]],LEN(Table2[[#This Row],[Building]])-9)</f>
        <v>U.S. Post Office &amp; C</v>
      </c>
    </row>
    <row r="678" spans="1:8" ht="22.5" x14ac:dyDescent="0.25">
      <c r="A678" s="39" t="s">
        <v>1059</v>
      </c>
      <c r="B678" s="31">
        <v>238082.14</v>
      </c>
      <c r="C678" s="31">
        <v>330722.28999999998</v>
      </c>
      <c r="D678" s="31">
        <v>579088.35</v>
      </c>
      <c r="E678" s="30">
        <v>1147892.78</v>
      </c>
      <c r="F678" t="str">
        <f>LEFT(Table2[[#This Row],[Building]],2)</f>
        <v>NJ</v>
      </c>
      <c r="G678" t="str">
        <f>LEFT(Table2[[#This Row],[Building]],8)</f>
        <v>NJ0056ZZ</v>
      </c>
      <c r="H678" t="str">
        <f>RIGHT(Table2[[#This Row],[Building]],LEN(Table2[[#This Row],[Building]])-9)</f>
        <v>Fed. Bldg. 20 Washin</v>
      </c>
    </row>
    <row r="679" spans="1:8" x14ac:dyDescent="0.25">
      <c r="A679" s="39" t="s">
        <v>1060</v>
      </c>
      <c r="B679" s="29">
        <v>304739.59000000003</v>
      </c>
      <c r="C679" s="29">
        <v>190024.11</v>
      </c>
      <c r="D679" s="29">
        <v>193036.27</v>
      </c>
      <c r="E679" s="30">
        <v>687799.97</v>
      </c>
      <c r="F679" t="str">
        <f>LEFT(Table2[[#This Row],[Building]],2)</f>
        <v>NJ</v>
      </c>
      <c r="G679" t="str">
        <f>LEFT(Table2[[#This Row],[Building]],8)</f>
        <v>NJ0088ZZ</v>
      </c>
      <c r="H679" t="str">
        <f>RIGHT(Table2[[#This Row],[Building]],LEN(Table2[[#This Row],[Building]])-9)</f>
        <v>Clarkson S Fisher Fb</v>
      </c>
    </row>
    <row r="680" spans="1:8" x14ac:dyDescent="0.25">
      <c r="A680" s="39" t="s">
        <v>1061</v>
      </c>
      <c r="B680" s="31">
        <v>622616.78</v>
      </c>
      <c r="C680" s="31">
        <v>411508.98</v>
      </c>
      <c r="D680" s="31">
        <v>2965711.16</v>
      </c>
      <c r="E680" s="30">
        <v>3999836.92</v>
      </c>
      <c r="F680" t="str">
        <f>LEFT(Table2[[#This Row],[Building]],2)</f>
        <v>NJ</v>
      </c>
      <c r="G680" t="str">
        <f>LEFT(Table2[[#This Row],[Building]],8)</f>
        <v>NJ0108ZZ</v>
      </c>
      <c r="H680" t="str">
        <f>RIGHT(Table2[[#This Row],[Building]],LEN(Table2[[#This Row],[Building]])-9)</f>
        <v>Peter W. Rodino Fb</v>
      </c>
    </row>
    <row r="681" spans="1:8" x14ac:dyDescent="0.25">
      <c r="A681" s="39" t="s">
        <v>1062</v>
      </c>
      <c r="B681" s="29">
        <v>40319.33</v>
      </c>
      <c r="C681" s="29">
        <v>22416.59</v>
      </c>
      <c r="D681" s="29">
        <v>23951.49</v>
      </c>
      <c r="E681" s="30">
        <v>86687.41</v>
      </c>
      <c r="F681" t="str">
        <f>LEFT(Table2[[#This Row],[Building]],2)</f>
        <v>NJ</v>
      </c>
      <c r="G681" t="str">
        <f>LEFT(Table2[[#This Row],[Building]],8)</f>
        <v>NJ0114ZZ</v>
      </c>
      <c r="H681" t="str">
        <f>RIGHT(Table2[[#This Row],[Building]],LEN(Table2[[#This Row],[Building]])-9)</f>
        <v>Ssa Trust Fund Bldg.</v>
      </c>
    </row>
    <row r="682" spans="1:8" x14ac:dyDescent="0.25">
      <c r="A682" s="39" t="s">
        <v>1065</v>
      </c>
      <c r="B682" s="29">
        <v>602495.78</v>
      </c>
      <c r="C682" s="29">
        <v>307749.65000000002</v>
      </c>
      <c r="D682" s="29">
        <v>1207230.71</v>
      </c>
      <c r="E682" s="30">
        <v>2117476.14</v>
      </c>
      <c r="F682" t="str">
        <f>LEFT(Table2[[#This Row],[Building]],2)</f>
        <v>NJ</v>
      </c>
      <c r="G682" t="str">
        <f>LEFT(Table2[[#This Row],[Building]],8)</f>
        <v>NJ0144ZZ</v>
      </c>
      <c r="H682" t="str">
        <f>RIGHT(Table2[[#This Row],[Building]],LEN(Table2[[#This Row],[Building]])-9)</f>
        <v>Mlk, Jr Courthouse</v>
      </c>
    </row>
    <row r="683" spans="1:8" x14ac:dyDescent="0.25">
      <c r="A683" s="39" t="s">
        <v>1066</v>
      </c>
      <c r="B683" s="31">
        <v>146592.32999999999</v>
      </c>
      <c r="C683" s="31">
        <v>156928.38</v>
      </c>
      <c r="D683" s="31">
        <v>289656.76</v>
      </c>
      <c r="E683" s="30">
        <v>593177.47</v>
      </c>
      <c r="F683" t="str">
        <f>LEFT(Table2[[#This Row],[Building]],2)</f>
        <v>NJ</v>
      </c>
      <c r="G683" t="str">
        <f>LEFT(Table2[[#This Row],[Building]],8)</f>
        <v>NJ0145ZZ</v>
      </c>
      <c r="H683" t="str">
        <f>RIGHT(Table2[[#This Row],[Building]],LEN(Table2[[#This Row],[Building]])-9)</f>
        <v>Robert A. Roe Fb</v>
      </c>
    </row>
    <row r="684" spans="1:8" x14ac:dyDescent="0.25">
      <c r="A684" s="39" t="s">
        <v>1069</v>
      </c>
      <c r="B684" s="31">
        <v>279700.93</v>
      </c>
      <c r="C684" s="31">
        <v>203926.62</v>
      </c>
      <c r="D684" s="31">
        <v>199258.39</v>
      </c>
      <c r="E684" s="30">
        <v>682885.94</v>
      </c>
      <c r="F684" t="str">
        <f>LEFT(Table2[[#This Row],[Building]],2)</f>
        <v>NJ</v>
      </c>
      <c r="G684" t="str">
        <f>LEFT(Table2[[#This Row],[Building]],8)</f>
        <v>NJ5002ZZ</v>
      </c>
      <c r="H684" t="str">
        <f>RIGHT(Table2[[#This Row],[Building]],LEN(Table2[[#This Row],[Building]])-9)</f>
        <v>Clarkson S Fisher Us</v>
      </c>
    </row>
    <row r="685" spans="1:8" ht="22.5" x14ac:dyDescent="0.25">
      <c r="A685" s="39" t="s">
        <v>1070</v>
      </c>
      <c r="B685" s="29">
        <v>323608.77</v>
      </c>
      <c r="C685" s="29">
        <v>254563.78</v>
      </c>
      <c r="D685" s="29">
        <v>211344.48</v>
      </c>
      <c r="E685" s="30">
        <v>789517.03</v>
      </c>
      <c r="F685" t="str">
        <f>LEFT(Table2[[#This Row],[Building]],2)</f>
        <v>NJ</v>
      </c>
      <c r="G685" t="str">
        <f>LEFT(Table2[[#This Row],[Building]],8)</f>
        <v>NJ5003ZZ</v>
      </c>
      <c r="H685" t="str">
        <f>RIGHT(Table2[[#This Row],[Building]],LEN(Table2[[#This Row],[Building]])-9)</f>
        <v>Mitchell H Cohen Us</v>
      </c>
    </row>
    <row r="686" spans="1:8" ht="22.5" x14ac:dyDescent="0.25">
      <c r="A686" s="39" t="s">
        <v>1071</v>
      </c>
      <c r="B686" s="31">
        <v>76412.63</v>
      </c>
      <c r="C686" s="31">
        <v>82192.92</v>
      </c>
      <c r="D686" s="31">
        <v>107889.33</v>
      </c>
      <c r="E686" s="30">
        <v>266494.88</v>
      </c>
      <c r="F686" t="str">
        <f>LEFT(Table2[[#This Row],[Building]],2)</f>
        <v>NM</v>
      </c>
      <c r="G686" t="str">
        <f>LEFT(Table2[[#This Row],[Building]],8)</f>
        <v>NM0015SN</v>
      </c>
      <c r="H686" t="str">
        <f>RIGHT(Table2[[#This Row],[Building]],LEN(Table2[[#This Row],[Building]])-9)</f>
        <v>Campos Federal Court</v>
      </c>
    </row>
    <row r="687" spans="1:8" ht="22.5" x14ac:dyDescent="0.25">
      <c r="A687" s="39" t="s">
        <v>1072</v>
      </c>
      <c r="B687" s="29">
        <v>539780.42000000004</v>
      </c>
      <c r="C687" s="29">
        <v>410282.27</v>
      </c>
      <c r="D687" s="29">
        <v>498782.73</v>
      </c>
      <c r="E687" s="30">
        <v>1448845.42</v>
      </c>
      <c r="F687" t="str">
        <f>LEFT(Table2[[#This Row],[Building]],2)</f>
        <v>NM</v>
      </c>
      <c r="G687" t="str">
        <f>LEFT(Table2[[#This Row],[Building]],8)</f>
        <v>NM0030ZZ</v>
      </c>
      <c r="H687" t="str">
        <f>RIGHT(Table2[[#This Row],[Building]],LEN(Table2[[#This Row],[Building]])-9)</f>
        <v>D Chavez Federal Bld</v>
      </c>
    </row>
    <row r="688" spans="1:8" ht="22.5" x14ac:dyDescent="0.25">
      <c r="A688" s="39" t="s">
        <v>1073</v>
      </c>
      <c r="B688" s="31">
        <v>176931.8</v>
      </c>
      <c r="C688" s="31">
        <v>140323.28</v>
      </c>
      <c r="D688" s="31">
        <v>216822.39</v>
      </c>
      <c r="E688" s="30">
        <v>534077.47</v>
      </c>
      <c r="F688" t="str">
        <f>LEFT(Table2[[#This Row],[Building]],2)</f>
        <v>NM</v>
      </c>
      <c r="G688" t="str">
        <f>LEFT(Table2[[#This Row],[Building]],8)</f>
        <v>NM0032SN</v>
      </c>
      <c r="H688" t="str">
        <f>RIGHT(Table2[[#This Row],[Building]],LEN(Table2[[#This Row],[Building]])-9)</f>
        <v>Montoya Federal Bldg</v>
      </c>
    </row>
    <row r="689" spans="1:8" ht="22.5" x14ac:dyDescent="0.25">
      <c r="A689" s="39" t="s">
        <v>1074</v>
      </c>
      <c r="B689" s="29">
        <v>87583.01</v>
      </c>
      <c r="C689" s="29">
        <v>53911.65</v>
      </c>
      <c r="D689" s="29">
        <v>102588.6</v>
      </c>
      <c r="E689" s="30">
        <v>244083.26</v>
      </c>
      <c r="F689" t="str">
        <f>LEFT(Table2[[#This Row],[Building]],2)</f>
        <v>NM</v>
      </c>
      <c r="G689" t="str">
        <f>LEFT(Table2[[#This Row],[Building]],8)</f>
        <v>NM0035ZZ</v>
      </c>
      <c r="H689" t="str">
        <f>RIGHT(Table2[[#This Row],[Building]],LEN(Table2[[#This Row],[Building]])-9)</f>
        <v>Roswell Federal Buil</v>
      </c>
    </row>
    <row r="690" spans="1:8" ht="22.5" x14ac:dyDescent="0.25">
      <c r="A690" s="39" t="s">
        <v>1075</v>
      </c>
      <c r="B690" s="31">
        <v>81294.48</v>
      </c>
      <c r="C690" s="31">
        <v>10964.52</v>
      </c>
      <c r="D690" s="31">
        <v>27270.2</v>
      </c>
      <c r="E690" s="30">
        <v>119529.2</v>
      </c>
      <c r="F690" t="str">
        <f>LEFT(Table2[[#This Row],[Building]],2)</f>
        <v>NM</v>
      </c>
      <c r="G690" t="str">
        <f>LEFT(Table2[[#This Row],[Building]],8)</f>
        <v>NM0037ZZ</v>
      </c>
      <c r="H690" t="str">
        <f>RIGHT(Table2[[#This Row],[Building]],LEN(Table2[[#This Row],[Building]])-9)</f>
        <v>Albuquerque Federal</v>
      </c>
    </row>
    <row r="691" spans="1:8" ht="22.5" x14ac:dyDescent="0.25">
      <c r="A691" s="39" t="s">
        <v>1076</v>
      </c>
      <c r="B691" s="29">
        <v>126759.03999999999</v>
      </c>
      <c r="C691" s="29">
        <v>127119.58</v>
      </c>
      <c r="D691" s="29">
        <v>208934.85</v>
      </c>
      <c r="E691" s="30">
        <v>462813.47</v>
      </c>
      <c r="F691" t="str">
        <f>LEFT(Table2[[#This Row],[Building]],2)</f>
        <v>NM</v>
      </c>
      <c r="G691" t="str">
        <f>LEFT(Table2[[#This Row],[Building]],8)</f>
        <v>NM0038ZZ</v>
      </c>
      <c r="H691" t="str">
        <f>RIGHT(Table2[[#This Row],[Building]],LEN(Table2[[#This Row],[Building]])-9)</f>
        <v>Gallup Federal Bldg</v>
      </c>
    </row>
    <row r="692" spans="1:8" ht="22.5" x14ac:dyDescent="0.25">
      <c r="A692" s="39" t="s">
        <v>1077</v>
      </c>
      <c r="B692" s="31">
        <v>80157.22</v>
      </c>
      <c r="C692" s="31">
        <v>82718.22</v>
      </c>
      <c r="D692" s="31">
        <v>97030.69</v>
      </c>
      <c r="E692" s="30">
        <v>259906.13</v>
      </c>
      <c r="F692" t="str">
        <f>LEFT(Table2[[#This Row],[Building]],2)</f>
        <v>NM</v>
      </c>
      <c r="G692" t="str">
        <f>LEFT(Table2[[#This Row],[Building]],8)</f>
        <v>NM0042ZZ</v>
      </c>
      <c r="H692" t="str">
        <f>RIGHT(Table2[[#This Row],[Building]],LEN(Table2[[#This Row],[Building]])-9)</f>
        <v>Runnels Federal Bldg</v>
      </c>
    </row>
    <row r="693" spans="1:8" ht="22.5" x14ac:dyDescent="0.25">
      <c r="A693" s="39" t="s">
        <v>1079</v>
      </c>
      <c r="B693" s="31">
        <v>4790.92</v>
      </c>
      <c r="C693" s="31">
        <v>3669.92</v>
      </c>
      <c r="D693" s="31">
        <v>7258.85</v>
      </c>
      <c r="E693" s="30">
        <v>15719.69</v>
      </c>
      <c r="F693" t="str">
        <f>LEFT(Table2[[#This Row],[Building]],2)</f>
        <v>NM</v>
      </c>
      <c r="G693" t="str">
        <f>LEFT(Table2[[#This Row],[Building]],8)</f>
        <v>NM0047ZZ</v>
      </c>
      <c r="H693" t="str">
        <f>RIGHT(Table2[[#This Row],[Building]],LEN(Table2[[#This Row],[Building]])-9)</f>
        <v>Gsa Motor Pool Site</v>
      </c>
    </row>
    <row r="694" spans="1:8" ht="22.5" x14ac:dyDescent="0.25">
      <c r="A694" s="39" t="s">
        <v>1080</v>
      </c>
      <c r="B694" s="32" t="s">
        <v>1081</v>
      </c>
      <c r="C694" s="32" t="s">
        <v>1082</v>
      </c>
      <c r="D694" s="32" t="s">
        <v>1083</v>
      </c>
      <c r="E694" s="33" t="s">
        <v>1084</v>
      </c>
      <c r="F694" t="str">
        <f>LEFT(Table2[[#This Row],[Building]],2)</f>
        <v>NM</v>
      </c>
      <c r="G694" t="str">
        <f>LEFT(Table2[[#This Row],[Building]],8)</f>
        <v>NM0048CL</v>
      </c>
      <c r="H694" t="str">
        <f>RIGHT(Table2[[#This Row],[Building]],LEN(Table2[[#This Row],[Building]])-9)</f>
        <v>Usbs Columbus Admin</v>
      </c>
    </row>
    <row r="695" spans="1:8" ht="22.5" x14ac:dyDescent="0.25">
      <c r="A695" s="39" t="s">
        <v>1085</v>
      </c>
      <c r="B695" s="31">
        <v>443194.67</v>
      </c>
      <c r="C695" s="31">
        <v>419333.23</v>
      </c>
      <c r="D695" s="31">
        <v>623736.81000000006</v>
      </c>
      <c r="E695" s="30">
        <v>1486264.71</v>
      </c>
      <c r="F695" t="str">
        <f>LEFT(Table2[[#This Row],[Building]],2)</f>
        <v>NM</v>
      </c>
      <c r="G695" t="str">
        <f>LEFT(Table2[[#This Row],[Building]],8)</f>
        <v>NM0050ZZ</v>
      </c>
      <c r="H695" t="str">
        <f>RIGHT(Table2[[#This Row],[Building]],LEN(Table2[[#This Row],[Building]])-9)</f>
        <v>Pete Domenici Courth</v>
      </c>
    </row>
    <row r="696" spans="1:8" ht="22.5" x14ac:dyDescent="0.25">
      <c r="A696" s="39" t="s">
        <v>1086</v>
      </c>
      <c r="B696" s="29">
        <v>261131.77</v>
      </c>
      <c r="C696" s="29">
        <v>369996.76</v>
      </c>
      <c r="D696" s="29">
        <v>342242.15</v>
      </c>
      <c r="E696" s="30">
        <v>973370.68</v>
      </c>
      <c r="F696" t="str">
        <f>LEFT(Table2[[#This Row],[Building]],2)</f>
        <v>NM</v>
      </c>
      <c r="G696" t="str">
        <f>LEFT(Table2[[#This Row],[Building]],8)</f>
        <v>NM0061ZZ</v>
      </c>
      <c r="H696" t="str">
        <f>RIGHT(Table2[[#This Row],[Building]],LEN(Table2[[#This Row],[Building]])-9)</f>
        <v>Las Cruces Courthous</v>
      </c>
    </row>
    <row r="697" spans="1:8" ht="22.5" x14ac:dyDescent="0.25">
      <c r="A697" s="39" t="s">
        <v>1087</v>
      </c>
      <c r="B697" s="31">
        <v>1497.6</v>
      </c>
      <c r="C697" s="34" t="s">
        <v>1088</v>
      </c>
      <c r="D697" s="31">
        <v>1108.8499999999999</v>
      </c>
      <c r="E697" s="33" t="s">
        <v>1089</v>
      </c>
      <c r="F697" t="str">
        <f>LEFT(Table2[[#This Row],[Building]],2)</f>
        <v>NM</v>
      </c>
      <c r="G697" t="str">
        <f>LEFT(Table2[[#This Row],[Building]],8)</f>
        <v>NM0062CL</v>
      </c>
      <c r="H697" t="str">
        <f>RIGHT(Table2[[#This Row],[Building]],LEN(Table2[[#This Row],[Building]])-9)</f>
        <v>Usbs Columbus Dot Mo</v>
      </c>
    </row>
    <row r="698" spans="1:8" ht="22.5" x14ac:dyDescent="0.25">
      <c r="A698" s="39" t="s">
        <v>1092</v>
      </c>
      <c r="B698" s="29">
        <v>3774.05</v>
      </c>
      <c r="C698" s="29">
        <v>5402.08</v>
      </c>
      <c r="D698" s="29">
        <v>3833.8</v>
      </c>
      <c r="E698" s="30">
        <v>13009.93</v>
      </c>
      <c r="F698" t="str">
        <f>LEFT(Table2[[#This Row],[Building]],2)</f>
        <v>NM</v>
      </c>
      <c r="G698" t="str">
        <f>LEFT(Table2[[#This Row],[Building]],8)</f>
        <v>NM0065CL</v>
      </c>
      <c r="H698" t="str">
        <f>RIGHT(Table2[[#This Row],[Building]],LEN(Table2[[#This Row],[Building]])-9)</f>
        <v>Usbs Columbus Kennel</v>
      </c>
    </row>
    <row r="699" spans="1:8" ht="22.5" x14ac:dyDescent="0.25">
      <c r="A699" s="39" t="s">
        <v>1097</v>
      </c>
      <c r="B699" s="29">
        <v>108528.3</v>
      </c>
      <c r="C699" s="29">
        <v>97284.22</v>
      </c>
      <c r="D699" s="29">
        <v>189068.73</v>
      </c>
      <c r="E699" s="30">
        <v>394881.25</v>
      </c>
      <c r="F699" t="str">
        <f>LEFT(Table2[[#This Row],[Building]],2)</f>
        <v>NM</v>
      </c>
      <c r="G699" t="str">
        <f>LEFT(Table2[[#This Row],[Building]],8)</f>
        <v>NM0502ZZ</v>
      </c>
      <c r="H699" t="str">
        <f>RIGHT(Table2[[#This Row],[Building]],LEN(Table2[[#This Row],[Building]])-9)</f>
        <v>Albuquerque Courthou</v>
      </c>
    </row>
    <row r="700" spans="1:8" ht="22.5" x14ac:dyDescent="0.25">
      <c r="A700" s="39" t="s">
        <v>1098</v>
      </c>
      <c r="B700" s="31">
        <v>69133.14</v>
      </c>
      <c r="C700" s="31">
        <v>42017.97</v>
      </c>
      <c r="D700" s="31">
        <v>94876.74</v>
      </c>
      <c r="E700" s="30">
        <v>206027.85</v>
      </c>
      <c r="F700" t="str">
        <f>LEFT(Table2[[#This Row],[Building]],2)</f>
        <v>NM</v>
      </c>
      <c r="G700" t="str">
        <f>LEFT(Table2[[#This Row],[Building]],8)</f>
        <v>NM0511AA</v>
      </c>
      <c r="H700" t="str">
        <f>RIGHT(Table2[[#This Row],[Building]],LEN(Table2[[#This Row],[Building]])-9)</f>
        <v>Fss Warehouse Depot</v>
      </c>
    </row>
    <row r="701" spans="1:8" x14ac:dyDescent="0.25">
      <c r="A701" s="39" t="s">
        <v>1099</v>
      </c>
      <c r="B701" s="29">
        <v>108.14</v>
      </c>
      <c r="C701" s="29">
        <v>5241</v>
      </c>
      <c r="D701" s="29">
        <v>5304.25</v>
      </c>
      <c r="E701" s="30">
        <v>10653.39</v>
      </c>
      <c r="F701" t="str">
        <f>LEFT(Table2[[#This Row],[Building]],2)</f>
        <v>NM</v>
      </c>
      <c r="G701" t="str">
        <f>LEFT(Table2[[#This Row],[Building]],8)</f>
        <v>NM0512AA</v>
      </c>
      <c r="H701" t="str">
        <f>RIGHT(Table2[[#This Row],[Building]],LEN(Table2[[#This Row],[Building]])-9)</f>
        <v>Motor Pool</v>
      </c>
    </row>
    <row r="702" spans="1:8" ht="22.5" x14ac:dyDescent="0.25">
      <c r="A702" s="39" t="s">
        <v>1100</v>
      </c>
      <c r="B702" s="34" t="s">
        <v>1101</v>
      </c>
      <c r="C702" s="31">
        <v>23264.57</v>
      </c>
      <c r="D702" s="34" t="s">
        <v>1102</v>
      </c>
      <c r="E702" s="33" t="s">
        <v>1103</v>
      </c>
      <c r="F702" t="str">
        <f>LEFT(Table2[[#This Row],[Building]],2)</f>
        <v>NM</v>
      </c>
      <c r="G702" t="str">
        <f>LEFT(Table2[[#This Row],[Building]],8)</f>
        <v>NM0560ST</v>
      </c>
      <c r="H702" t="str">
        <f>RIGHT(Table2[[#This Row],[Building]],LEN(Table2[[#This Row],[Building]])-9)</f>
        <v>Usbs Santa Teresa Ad</v>
      </c>
    </row>
    <row r="703" spans="1:8" x14ac:dyDescent="0.25">
      <c r="A703" s="39" t="s">
        <v>1114</v>
      </c>
      <c r="B703" s="31">
        <v>190409.38</v>
      </c>
      <c r="C703" s="31">
        <v>76637.22</v>
      </c>
      <c r="D703" s="31">
        <v>234113.46</v>
      </c>
      <c r="E703" s="30">
        <v>501160.06</v>
      </c>
      <c r="F703" t="str">
        <f>LEFT(Table2[[#This Row],[Building]],2)</f>
        <v>NV</v>
      </c>
      <c r="G703" t="str">
        <f>LEFT(Table2[[#This Row],[Building]],8)</f>
        <v>NV0012ZZ</v>
      </c>
      <c r="H703" t="str">
        <f>RIGHT(Table2[[#This Row],[Building]],LEN(Table2[[#This Row],[Building]])-9)</f>
        <v>C. Clifton Young Fob</v>
      </c>
    </row>
    <row r="704" spans="1:8" ht="22.5" x14ac:dyDescent="0.25">
      <c r="A704" s="39" t="s">
        <v>1115</v>
      </c>
      <c r="B704" s="29">
        <v>346160.22</v>
      </c>
      <c r="C704" s="29">
        <v>173937.72</v>
      </c>
      <c r="D704" s="29">
        <v>388165.21</v>
      </c>
      <c r="E704" s="30">
        <v>908263.15</v>
      </c>
      <c r="F704" t="str">
        <f>LEFT(Table2[[#This Row],[Building]],2)</f>
        <v>NV</v>
      </c>
      <c r="G704" t="str">
        <f>LEFT(Table2[[#This Row],[Building]],8)</f>
        <v>NV0013ZZ</v>
      </c>
      <c r="H704" t="str">
        <f>RIGHT(Table2[[#This Row],[Building]],LEN(Table2[[#This Row],[Building]])-9)</f>
        <v>Foley Fob &amp; Courthou</v>
      </c>
    </row>
    <row r="705" spans="1:8" x14ac:dyDescent="0.25">
      <c r="A705" s="39" t="s">
        <v>1116</v>
      </c>
      <c r="B705" s="31">
        <v>152505.57999999999</v>
      </c>
      <c r="C705" s="31">
        <v>45632.59</v>
      </c>
      <c r="D705" s="31">
        <v>165614.10999999999</v>
      </c>
      <c r="E705" s="30">
        <v>363752.28</v>
      </c>
      <c r="F705" t="str">
        <f>LEFT(Table2[[#This Row],[Building]],2)</f>
        <v>NV</v>
      </c>
      <c r="G705" t="str">
        <f>LEFT(Table2[[#This Row],[Building]],8)</f>
        <v>NV0014ZZ</v>
      </c>
      <c r="H705" t="str">
        <f>RIGHT(Table2[[#This Row],[Building]],LEN(Table2[[#This Row],[Building]])-9)</f>
        <v>Federal Building</v>
      </c>
    </row>
    <row r="706" spans="1:8" ht="22.5" x14ac:dyDescent="0.25">
      <c r="A706" s="39" t="s">
        <v>1117</v>
      </c>
      <c r="B706" s="29">
        <v>89829.34</v>
      </c>
      <c r="C706" s="29">
        <v>123430.87</v>
      </c>
      <c r="D706" s="29">
        <v>295380</v>
      </c>
      <c r="E706" s="30">
        <v>508640.21</v>
      </c>
      <c r="F706" t="str">
        <f>LEFT(Table2[[#This Row],[Building]],2)</f>
        <v>NV</v>
      </c>
      <c r="G706" t="str">
        <f>LEFT(Table2[[#This Row],[Building]],8)</f>
        <v>NV0288ZZ</v>
      </c>
      <c r="H706" t="str">
        <f>RIGHT(Table2[[#This Row],[Building]],LEN(Table2[[#This Row],[Building]])-9)</f>
        <v>Alan Bible Federal B</v>
      </c>
    </row>
    <row r="707" spans="1:8" ht="22.5" x14ac:dyDescent="0.25">
      <c r="A707" s="39" t="s">
        <v>1118</v>
      </c>
      <c r="B707" s="31">
        <v>362158.47</v>
      </c>
      <c r="C707" s="31">
        <v>236403.41</v>
      </c>
      <c r="D707" s="31">
        <v>438495.18</v>
      </c>
      <c r="E707" s="30">
        <v>1037057.06</v>
      </c>
      <c r="F707" t="str">
        <f>LEFT(Table2[[#This Row],[Building]],2)</f>
        <v>NV</v>
      </c>
      <c r="G707" t="str">
        <f>LEFT(Table2[[#This Row],[Building]],8)</f>
        <v>NV0294ZZ</v>
      </c>
      <c r="H707" t="str">
        <f>RIGHT(Table2[[#This Row],[Building]],LEN(Table2[[#This Row],[Building]])-9)</f>
        <v>Bruce R. Thompson Co</v>
      </c>
    </row>
    <row r="708" spans="1:8" ht="22.5" x14ac:dyDescent="0.25">
      <c r="A708" s="39" t="s">
        <v>1119</v>
      </c>
      <c r="B708" s="29">
        <v>629829.17000000004</v>
      </c>
      <c r="C708" s="29">
        <v>546901.46</v>
      </c>
      <c r="D708" s="29">
        <v>884110.36</v>
      </c>
      <c r="E708" s="30">
        <v>2060840.99</v>
      </c>
      <c r="F708" t="str">
        <f>LEFT(Table2[[#This Row],[Building]],2)</f>
        <v>NV</v>
      </c>
      <c r="G708" t="str">
        <f>LEFT(Table2[[#This Row],[Building]],8)</f>
        <v>NV0304ZZ</v>
      </c>
      <c r="H708" t="str">
        <f>RIGHT(Table2[[#This Row],[Building]],LEN(Table2[[#This Row],[Building]])-9)</f>
        <v>Lloyd D. George Cour</v>
      </c>
    </row>
    <row r="709" spans="1:8" ht="22.5" x14ac:dyDescent="0.25">
      <c r="A709" s="39" t="s">
        <v>1120</v>
      </c>
      <c r="B709" s="31">
        <v>296795.71999999997</v>
      </c>
      <c r="C709" s="31">
        <v>205528.97</v>
      </c>
      <c r="D709" s="31">
        <v>186763.1</v>
      </c>
      <c r="E709" s="30">
        <v>689087.79</v>
      </c>
      <c r="F709" t="str">
        <f>LEFT(Table2[[#This Row],[Building]],2)</f>
        <v>NY</v>
      </c>
      <c r="G709" t="str">
        <f>LEFT(Table2[[#This Row],[Building]],8)</f>
        <v>NY0002ZZ</v>
      </c>
      <c r="H709" t="str">
        <f>RIGHT(Table2[[#This Row],[Building]],LEN(Table2[[#This Row],[Building]])-9)</f>
        <v>James T. Foley Uspo</v>
      </c>
    </row>
    <row r="710" spans="1:8" ht="22.5" x14ac:dyDescent="0.25">
      <c r="A710" s="39" t="s">
        <v>1121</v>
      </c>
      <c r="B710" s="29">
        <v>150135.45000000001</v>
      </c>
      <c r="C710" s="29">
        <v>91119.23</v>
      </c>
      <c r="D710" s="29">
        <v>138806.51</v>
      </c>
      <c r="E710" s="30">
        <v>380061.19</v>
      </c>
      <c r="F710" t="str">
        <f>LEFT(Table2[[#This Row],[Building]],2)</f>
        <v>NY</v>
      </c>
      <c r="G710" t="str">
        <f>LEFT(Table2[[#This Row],[Building]],8)</f>
        <v>NY0016ZZ</v>
      </c>
      <c r="H710" t="str">
        <f>RIGHT(Table2[[#This Row],[Building]],LEN(Table2[[#This Row],[Building]])-9)</f>
        <v>Fed Bldg &amp; Cthse-Bin</v>
      </c>
    </row>
    <row r="711" spans="1:8" x14ac:dyDescent="0.25">
      <c r="A711" s="39" t="s">
        <v>1122</v>
      </c>
      <c r="B711" s="31">
        <v>6215.96</v>
      </c>
      <c r="C711" s="31">
        <v>107326.97</v>
      </c>
      <c r="D711" s="31">
        <v>115203.77</v>
      </c>
      <c r="E711" s="30">
        <v>228746.7</v>
      </c>
      <c r="F711" t="str">
        <f>LEFT(Table2[[#This Row],[Building]],2)</f>
        <v>NY</v>
      </c>
      <c r="G711" t="str">
        <f>LEFT(Table2[[#This Row],[Building]],8)</f>
        <v>NY0026ZZ</v>
      </c>
      <c r="H711" t="str">
        <f>RIGHT(Table2[[#This Row],[Building]],LEN(Table2[[#This Row],[Building]])-9)</f>
        <v>Michael J. Dillon Co</v>
      </c>
    </row>
    <row r="712" spans="1:8" ht="22.5" x14ac:dyDescent="0.25">
      <c r="A712" s="39" t="s">
        <v>1123</v>
      </c>
      <c r="B712" s="32" t="s">
        <v>1124</v>
      </c>
      <c r="C712" s="32" t="s">
        <v>1125</v>
      </c>
      <c r="D712" s="32" t="s">
        <v>1126</v>
      </c>
      <c r="E712" s="33" t="s">
        <v>1127</v>
      </c>
      <c r="F712" t="str">
        <f>LEFT(Table2[[#This Row],[Building]],2)</f>
        <v>NY</v>
      </c>
      <c r="G712" t="str">
        <f>LEFT(Table2[[#This Row],[Building]],8)</f>
        <v>NY0059ZZ</v>
      </c>
      <c r="H712" t="str">
        <f>RIGHT(Table2[[#This Row],[Building]],LEN(Table2[[#This Row],[Building]])-9)</f>
        <v>Border Station--Fort</v>
      </c>
    </row>
    <row r="713" spans="1:8" ht="22.5" x14ac:dyDescent="0.25">
      <c r="A713" s="39" t="s">
        <v>1128</v>
      </c>
      <c r="B713" s="31">
        <v>2701316.94</v>
      </c>
      <c r="C713" s="31">
        <v>2474058.92</v>
      </c>
      <c r="D713" s="31">
        <v>3691266.27</v>
      </c>
      <c r="E713" s="30">
        <v>8866642.1300000008</v>
      </c>
      <c r="F713" t="str">
        <f>LEFT(Table2[[#This Row],[Building]],2)</f>
        <v>NY</v>
      </c>
      <c r="G713" t="str">
        <f>LEFT(Table2[[#This Row],[Building]],8)</f>
        <v>NY0128ZZ</v>
      </c>
      <c r="H713" t="str">
        <f>RIGHT(Table2[[#This Row],[Building]],LEN(Table2[[#This Row],[Building]])-9)</f>
        <v>Federal Bldg--201 Va</v>
      </c>
    </row>
    <row r="714" spans="1:8" ht="22.5" x14ac:dyDescent="0.25">
      <c r="A714" s="39" t="s">
        <v>1129</v>
      </c>
      <c r="B714" s="29">
        <v>1292544.45</v>
      </c>
      <c r="C714" s="29">
        <v>2540283.1800000002</v>
      </c>
      <c r="D714" s="29">
        <v>2813230.96</v>
      </c>
      <c r="E714" s="30">
        <v>6646058.5899999999</v>
      </c>
      <c r="F714" t="str">
        <f>LEFT(Table2[[#This Row],[Building]],2)</f>
        <v>NY</v>
      </c>
      <c r="G714" t="str">
        <f>LEFT(Table2[[#This Row],[Building]],8)</f>
        <v>NY0130ZZ</v>
      </c>
      <c r="H714" t="str">
        <f>RIGHT(Table2[[#This Row],[Building]],LEN(Table2[[#This Row],[Building]])-9)</f>
        <v>Thurgood Marshall Us</v>
      </c>
    </row>
    <row r="715" spans="1:8" ht="22.5" x14ac:dyDescent="0.25">
      <c r="A715" s="39" t="s">
        <v>1130</v>
      </c>
      <c r="B715" s="31">
        <v>649194.77</v>
      </c>
      <c r="C715" s="31">
        <v>995701.35</v>
      </c>
      <c r="D715" s="31">
        <v>1558119.67</v>
      </c>
      <c r="E715" s="30">
        <v>3203015.79</v>
      </c>
      <c r="F715" t="str">
        <f>LEFT(Table2[[#This Row],[Building]],2)</f>
        <v>NY</v>
      </c>
      <c r="G715" t="str">
        <f>LEFT(Table2[[#This Row],[Building]],8)</f>
        <v>NY0131ZZ</v>
      </c>
      <c r="H715" t="str">
        <f>RIGHT(Table2[[#This Row],[Building]],LEN(Table2[[#This Row],[Building]])-9)</f>
        <v>Alex Hamilton Us Cus</v>
      </c>
    </row>
    <row r="716" spans="1:8" x14ac:dyDescent="0.25">
      <c r="A716" s="39" t="s">
        <v>1131</v>
      </c>
      <c r="B716" s="32" t="s">
        <v>1132</v>
      </c>
      <c r="C716" s="32" t="s">
        <v>1133</v>
      </c>
      <c r="D716" s="32" t="s">
        <v>1134</v>
      </c>
      <c r="E716" s="33" t="s">
        <v>1135</v>
      </c>
      <c r="F716" t="str">
        <f>LEFT(Table2[[#This Row],[Building]],2)</f>
        <v>NY</v>
      </c>
      <c r="G716" t="str">
        <f>LEFT(Table2[[#This Row],[Building]],8)</f>
        <v>NY0196ZZ</v>
      </c>
      <c r="H716" t="str">
        <f>RIGHT(Table2[[#This Row],[Building]],LEN(Table2[[#This Row],[Building]])-9)</f>
        <v>Border Stn Overton--</v>
      </c>
    </row>
    <row r="717" spans="1:8" x14ac:dyDescent="0.25">
      <c r="A717" s="39" t="s">
        <v>1136</v>
      </c>
      <c r="B717" s="34" t="s">
        <v>1137</v>
      </c>
      <c r="C717" s="31">
        <v>2808.28</v>
      </c>
      <c r="D717" s="31">
        <v>968.280000000001</v>
      </c>
      <c r="E717" s="33" t="s">
        <v>1138</v>
      </c>
      <c r="F717" t="str">
        <f>LEFT(Table2[[#This Row],[Building]],2)</f>
        <v>NY</v>
      </c>
      <c r="G717" t="str">
        <f>LEFT(Table2[[#This Row],[Building]],8)</f>
        <v>NY0197ZZ</v>
      </c>
      <c r="H717" t="str">
        <f>RIGHT(Table2[[#This Row],[Building]],LEN(Table2[[#This Row],[Building]])-9)</f>
        <v>Border Stn St Johns</v>
      </c>
    </row>
    <row r="718" spans="1:8" ht="22.5" x14ac:dyDescent="0.25">
      <c r="A718" s="39" t="s">
        <v>1139</v>
      </c>
      <c r="B718" s="32" t="s">
        <v>1140</v>
      </c>
      <c r="C718" s="32" t="s">
        <v>1141</v>
      </c>
      <c r="D718" s="32" t="s">
        <v>1142</v>
      </c>
      <c r="E718" s="33" t="s">
        <v>1143</v>
      </c>
      <c r="F718" t="str">
        <f>LEFT(Table2[[#This Row],[Building]],2)</f>
        <v>NY</v>
      </c>
      <c r="G718" t="str">
        <f>LEFT(Table2[[#This Row],[Building]],8)</f>
        <v>NY0216ZZ</v>
      </c>
      <c r="H718" t="str">
        <f>RIGHT(Table2[[#This Row],[Building]],LEN(Table2[[#This Row],[Building]])-9)</f>
        <v>Border Station--Trou</v>
      </c>
    </row>
    <row r="719" spans="1:8" x14ac:dyDescent="0.25">
      <c r="A719" s="39" t="s">
        <v>1144</v>
      </c>
      <c r="B719" s="31">
        <v>154294.96</v>
      </c>
      <c r="C719" s="31">
        <v>83795.360000000001</v>
      </c>
      <c r="D719" s="31">
        <v>150992.47</v>
      </c>
      <c r="E719" s="30">
        <v>389082.79</v>
      </c>
      <c r="F719" t="str">
        <f>LEFT(Table2[[#This Row],[Building]],2)</f>
        <v>NY</v>
      </c>
      <c r="G719" t="str">
        <f>LEFT(Table2[[#This Row],[Building]],8)</f>
        <v>NY0218ZZ</v>
      </c>
      <c r="H719" t="str">
        <f>RIGHT(Table2[[#This Row],[Building]],LEN(Table2[[#This Row],[Building]])-9)</f>
        <v>Alexander Pirnie Fb</v>
      </c>
    </row>
    <row r="720" spans="1:8" ht="22.5" x14ac:dyDescent="0.25">
      <c r="A720" s="39" t="s">
        <v>1145</v>
      </c>
      <c r="B720" s="29">
        <v>1299088.42</v>
      </c>
      <c r="C720" s="29">
        <v>1283017.97</v>
      </c>
      <c r="D720" s="29">
        <v>1448668.84</v>
      </c>
      <c r="E720" s="30">
        <v>4030775.23</v>
      </c>
      <c r="F720" t="str">
        <f>LEFT(Table2[[#This Row],[Building]],2)</f>
        <v>NY</v>
      </c>
      <c r="G720" t="str">
        <f>LEFT(Table2[[#This Row],[Building]],8)</f>
        <v>NY0234ZZ</v>
      </c>
      <c r="H720" t="str">
        <f>RIGHT(Table2[[#This Row],[Building]],LEN(Table2[[#This Row],[Building]])-9)</f>
        <v>Conrad B Duberstein</v>
      </c>
    </row>
    <row r="721" spans="1:8" ht="22.5" x14ac:dyDescent="0.25">
      <c r="A721" s="39" t="s">
        <v>1146</v>
      </c>
      <c r="B721" s="31">
        <v>645197.16</v>
      </c>
      <c r="C721" s="31">
        <v>1038291.84</v>
      </c>
      <c r="D721" s="31">
        <v>1312244.73</v>
      </c>
      <c r="E721" s="30">
        <v>2995733.73</v>
      </c>
      <c r="F721" t="str">
        <f>LEFT(Table2[[#This Row],[Building]],2)</f>
        <v>NY</v>
      </c>
      <c r="G721" t="str">
        <f>LEFT(Table2[[#This Row],[Building]],8)</f>
        <v>NY0270ZZ</v>
      </c>
      <c r="H721" t="str">
        <f>RIGHT(Table2[[#This Row],[Building]],LEN(Table2[[#This Row],[Building]])-9)</f>
        <v>Emanuel Celler Us Co</v>
      </c>
    </row>
    <row r="722" spans="1:8" x14ac:dyDescent="0.25">
      <c r="A722" s="39" t="s">
        <v>1147</v>
      </c>
      <c r="B722" s="29">
        <v>497737.39</v>
      </c>
      <c r="C722" s="29">
        <v>440942.9</v>
      </c>
      <c r="D722" s="29">
        <v>585311.02</v>
      </c>
      <c r="E722" s="30">
        <v>1523991.31</v>
      </c>
      <c r="F722" t="str">
        <f>LEFT(Table2[[#This Row],[Building]],2)</f>
        <v>NY</v>
      </c>
      <c r="G722" t="str">
        <f>LEFT(Table2[[#This Row],[Building]],8)</f>
        <v>NY0281ZZ</v>
      </c>
      <c r="H722" t="str">
        <f>RIGHT(Table2[[#This Row],[Building]],LEN(Table2[[#This Row],[Building]])-9)</f>
        <v>James M Hanley Fb</v>
      </c>
    </row>
    <row r="723" spans="1:8" x14ac:dyDescent="0.25">
      <c r="A723" s="39" t="s">
        <v>1148</v>
      </c>
      <c r="B723" s="31">
        <v>6175913.7199999997</v>
      </c>
      <c r="C723" s="31">
        <v>8863042.0299999993</v>
      </c>
      <c r="D723" s="31">
        <v>7432841.6399999997</v>
      </c>
      <c r="E723" s="30">
        <v>22471797.390000001</v>
      </c>
      <c r="F723" t="str">
        <f>LEFT(Table2[[#This Row],[Building]],2)</f>
        <v>NY</v>
      </c>
      <c r="G723" t="str">
        <f>LEFT(Table2[[#This Row],[Building]],8)</f>
        <v>NY0282ZZ</v>
      </c>
      <c r="H723" t="str">
        <f>RIGHT(Table2[[#This Row],[Building]],LEN(Table2[[#This Row],[Building]])-9)</f>
        <v>Jacob K. Javits Fb/C</v>
      </c>
    </row>
    <row r="724" spans="1:8" x14ac:dyDescent="0.25">
      <c r="A724" s="39" t="s">
        <v>1149</v>
      </c>
      <c r="B724" s="29">
        <v>318320.51</v>
      </c>
      <c r="C724" s="29">
        <v>116543.56</v>
      </c>
      <c r="D724" s="29">
        <v>215563.71</v>
      </c>
      <c r="E724" s="30">
        <v>650427.78</v>
      </c>
      <c r="F724" t="str">
        <f>LEFT(Table2[[#This Row],[Building]],2)</f>
        <v>NY</v>
      </c>
      <c r="G724" t="str">
        <f>LEFT(Table2[[#This Row],[Building]],8)</f>
        <v>NY0300ZZ</v>
      </c>
      <c r="H724" t="str">
        <f>RIGHT(Table2[[#This Row],[Building]],LEN(Table2[[#This Row],[Building]])-9)</f>
        <v>Leo W Obrien Fb</v>
      </c>
    </row>
    <row r="725" spans="1:8" ht="22.5" x14ac:dyDescent="0.25">
      <c r="A725" s="39" t="s">
        <v>1150</v>
      </c>
      <c r="B725" s="31">
        <v>379327.26</v>
      </c>
      <c r="C725" s="31">
        <v>564718.75</v>
      </c>
      <c r="D725" s="31">
        <v>479511.86</v>
      </c>
      <c r="E725" s="30">
        <v>1423557.87</v>
      </c>
      <c r="F725" t="str">
        <f>LEFT(Table2[[#This Row],[Building]],2)</f>
        <v>NY</v>
      </c>
      <c r="G725" t="str">
        <f>LEFT(Table2[[#This Row],[Building]],8)</f>
        <v>NY0304ZZ</v>
      </c>
      <c r="H725" t="str">
        <f>RIGHT(Table2[[#This Row],[Building]],LEN(Table2[[#This Row],[Building]])-9)</f>
        <v>Kenneth B Keating Fb</v>
      </c>
    </row>
    <row r="726" spans="1:8" x14ac:dyDescent="0.25">
      <c r="A726" s="39" t="s">
        <v>1152</v>
      </c>
      <c r="B726" s="31">
        <v>617650.51</v>
      </c>
      <c r="C726" s="31">
        <v>331582.67</v>
      </c>
      <c r="D726" s="31">
        <v>329827.09000000003</v>
      </c>
      <c r="E726" s="30">
        <v>1279060.27</v>
      </c>
      <c r="F726" t="str">
        <f>LEFT(Table2[[#This Row],[Building]],2)</f>
        <v>NY</v>
      </c>
      <c r="G726" t="str">
        <f>LEFT(Table2[[#This Row],[Building]],8)</f>
        <v>NY0323ZZ</v>
      </c>
      <c r="H726" t="str">
        <f>RIGHT(Table2[[#This Row],[Building]],LEN(Table2[[#This Row],[Building]])-9)</f>
        <v>Silvio V Mollo Fb</v>
      </c>
    </row>
    <row r="727" spans="1:8" ht="22.5" x14ac:dyDescent="0.25">
      <c r="A727" s="39" t="s">
        <v>1154</v>
      </c>
      <c r="B727" s="29">
        <v>2583168.63</v>
      </c>
      <c r="C727" s="29">
        <v>3171708.65</v>
      </c>
      <c r="D727" s="29">
        <v>3060549.52</v>
      </c>
      <c r="E727" s="30">
        <v>8815426.8000000007</v>
      </c>
      <c r="F727" t="str">
        <f>LEFT(Table2[[#This Row],[Building]],2)</f>
        <v>NY</v>
      </c>
      <c r="G727" t="str">
        <f>LEFT(Table2[[#This Row],[Building]],8)</f>
        <v>NY0350ZZ</v>
      </c>
      <c r="H727" t="str">
        <f>RIGHT(Table2[[#This Row],[Building]],LEN(Table2[[#This Row],[Building]])-9)</f>
        <v>Ted Weiss Federal Bu</v>
      </c>
    </row>
    <row r="728" spans="1:8" ht="22.5" x14ac:dyDescent="0.25">
      <c r="A728" s="39" t="s">
        <v>1155</v>
      </c>
      <c r="B728" s="31">
        <v>2919851.27</v>
      </c>
      <c r="C728" s="31">
        <v>2239978.4900000002</v>
      </c>
      <c r="D728" s="31">
        <v>3375846.1</v>
      </c>
      <c r="E728" s="30">
        <v>8535675.8599999994</v>
      </c>
      <c r="F728" t="str">
        <f>LEFT(Table2[[#This Row],[Building]],2)</f>
        <v>NY</v>
      </c>
      <c r="G728" t="str">
        <f>LEFT(Table2[[#This Row],[Building]],8)</f>
        <v>NY0351ZZ</v>
      </c>
      <c r="H728" t="str">
        <f>RIGHT(Table2[[#This Row],[Building]],LEN(Table2[[#This Row],[Building]])-9)</f>
        <v>Daniel P Moynihan Us</v>
      </c>
    </row>
    <row r="729" spans="1:8" x14ac:dyDescent="0.25">
      <c r="A729" s="39" t="s">
        <v>1156</v>
      </c>
      <c r="B729" s="29">
        <v>496937.92</v>
      </c>
      <c r="C729" s="32" t="s">
        <v>1157</v>
      </c>
      <c r="D729" s="29">
        <v>604203.52000000002</v>
      </c>
      <c r="E729" s="30">
        <v>1045220.77</v>
      </c>
      <c r="F729" t="str">
        <f>LEFT(Table2[[#This Row],[Building]],2)</f>
        <v>NY</v>
      </c>
      <c r="G729" t="str">
        <f>LEFT(Table2[[#This Row],[Building]],8)</f>
        <v>NY0353ZZ</v>
      </c>
      <c r="H729" t="str">
        <f>RIGHT(Table2[[#This Row],[Building]],LEN(Table2[[#This Row],[Building]])-9)</f>
        <v>Charles L Brieant, J</v>
      </c>
    </row>
    <row r="730" spans="1:8" ht="22.5" x14ac:dyDescent="0.25">
      <c r="A730" s="39" t="s">
        <v>1158</v>
      </c>
      <c r="B730" s="34" t="s">
        <v>1159</v>
      </c>
      <c r="C730" s="34" t="s">
        <v>1160</v>
      </c>
      <c r="D730" s="34" t="s">
        <v>1161</v>
      </c>
      <c r="E730" s="33" t="s">
        <v>1162</v>
      </c>
      <c r="F730" t="str">
        <f>LEFT(Table2[[#This Row],[Building]],2)</f>
        <v>NY</v>
      </c>
      <c r="G730" t="str">
        <f>LEFT(Table2[[#This Row],[Building]],8)</f>
        <v>NY0354AB</v>
      </c>
      <c r="H730" t="str">
        <f>RIGHT(Table2[[#This Row],[Building]],LEN(Table2[[#This Row],[Building]])-9)</f>
        <v>Administration Bldg-</v>
      </c>
    </row>
    <row r="731" spans="1:8" ht="22.5" x14ac:dyDescent="0.25">
      <c r="A731" s="39" t="s">
        <v>1163</v>
      </c>
      <c r="B731" s="29">
        <v>1875655.51</v>
      </c>
      <c r="C731" s="29">
        <v>2674922.12</v>
      </c>
      <c r="D731" s="29">
        <v>3135673.32</v>
      </c>
      <c r="E731" s="30">
        <v>7686250.9500000002</v>
      </c>
      <c r="F731" t="str">
        <f>LEFT(Table2[[#This Row],[Building]],2)</f>
        <v>NY</v>
      </c>
      <c r="G731" t="str">
        <f>LEFT(Table2[[#This Row],[Building]],8)</f>
        <v>NY0355ZZ</v>
      </c>
      <c r="H731" t="str">
        <f>RIGHT(Table2[[#This Row],[Building]],LEN(Table2[[#This Row],[Building]])-9)</f>
        <v>Alfonse M. D'Amato U</v>
      </c>
    </row>
    <row r="732" spans="1:8" ht="22.5" x14ac:dyDescent="0.25">
      <c r="A732" s="39" t="s">
        <v>1164</v>
      </c>
      <c r="B732" s="31">
        <v>48744.800000000003</v>
      </c>
      <c r="C732" s="31">
        <v>21762.52</v>
      </c>
      <c r="D732" s="31">
        <v>12520.14</v>
      </c>
      <c r="E732" s="30">
        <v>83027.460000000006</v>
      </c>
      <c r="F732" t="str">
        <f>LEFT(Table2[[#This Row],[Building]],2)</f>
        <v>NY</v>
      </c>
      <c r="G732" t="str">
        <f>LEFT(Table2[[#This Row],[Building]],8)</f>
        <v>NY0361CB</v>
      </c>
      <c r="H732" t="str">
        <f>RIGHT(Table2[[#This Row],[Building]],LEN(Table2[[#This Row],[Building]])-9)</f>
        <v>Mech Equip Garage--C</v>
      </c>
    </row>
    <row r="733" spans="1:8" ht="22.5" x14ac:dyDescent="0.25">
      <c r="A733" s="39" t="s">
        <v>1165</v>
      </c>
      <c r="B733" s="29">
        <v>574292.03</v>
      </c>
      <c r="C733" s="32" t="s">
        <v>1166</v>
      </c>
      <c r="D733" s="29">
        <v>1242560.06</v>
      </c>
      <c r="E733" s="30">
        <v>1277835.75</v>
      </c>
      <c r="F733" t="str">
        <f>LEFT(Table2[[#This Row],[Building]],2)</f>
        <v>NY</v>
      </c>
      <c r="G733" t="str">
        <f>LEFT(Table2[[#This Row],[Building]],8)</f>
        <v>NY0369ZZ</v>
      </c>
      <c r="H733" t="str">
        <f>RIGHT(Table2[[#This Row],[Building]],LEN(Table2[[#This Row],[Building]])-9)</f>
        <v>Ronald H. Brown U.S.</v>
      </c>
    </row>
    <row r="734" spans="1:8" ht="22.5" x14ac:dyDescent="0.25">
      <c r="A734" s="39" t="s">
        <v>1167</v>
      </c>
      <c r="B734" s="31">
        <v>502678.48</v>
      </c>
      <c r="C734" s="31">
        <v>615571.43999999994</v>
      </c>
      <c r="D734" s="31">
        <v>377522.83</v>
      </c>
      <c r="E734" s="30">
        <v>1495772.75</v>
      </c>
      <c r="F734" t="str">
        <f>LEFT(Table2[[#This Row],[Building]],2)</f>
        <v>NY</v>
      </c>
      <c r="G734" t="str">
        <f>LEFT(Table2[[#This Row],[Building]],8)</f>
        <v>NY0371ZZ</v>
      </c>
      <c r="H734" t="str">
        <f>RIGHT(Table2[[#This Row],[Building]],LEN(Table2[[#This Row],[Building]])-9)</f>
        <v>Robert H Jackson Us</v>
      </c>
    </row>
    <row r="735" spans="1:8" x14ac:dyDescent="0.25">
      <c r="A735" s="39" t="s">
        <v>1169</v>
      </c>
      <c r="B735" s="29">
        <v>43903.96</v>
      </c>
      <c r="C735" s="29">
        <v>12889.63</v>
      </c>
      <c r="D735" s="29">
        <v>11276.82</v>
      </c>
      <c r="E735" s="30">
        <v>68070.41</v>
      </c>
      <c r="F735" t="str">
        <f>LEFT(Table2[[#This Row],[Building]],2)</f>
        <v>NY</v>
      </c>
      <c r="G735" t="str">
        <f>LEFT(Table2[[#This Row],[Building]],8)</f>
        <v>NY0374CB</v>
      </c>
      <c r="H735" t="str">
        <f>RIGHT(Table2[[#This Row],[Building]],LEN(Table2[[#This Row],[Building]])-9)</f>
        <v>Vacis Building</v>
      </c>
    </row>
    <row r="736" spans="1:8" ht="22.5" x14ac:dyDescent="0.25">
      <c r="A736" s="39" t="s">
        <v>1170</v>
      </c>
      <c r="B736" s="34" t="s">
        <v>1171</v>
      </c>
      <c r="C736" s="34" t="s">
        <v>1172</v>
      </c>
      <c r="D736" s="34" t="s">
        <v>1173</v>
      </c>
      <c r="E736" s="33" t="s">
        <v>1174</v>
      </c>
      <c r="F736" t="str">
        <f>LEFT(Table2[[#This Row],[Building]],2)</f>
        <v>NY</v>
      </c>
      <c r="G736" t="str">
        <f>LEFT(Table2[[#This Row],[Building]],8)</f>
        <v>NY0375MB</v>
      </c>
      <c r="H736" t="str">
        <f>RIGHT(Table2[[#This Row],[Building]],LEN(Table2[[#This Row],[Building]])-9)</f>
        <v>Administrative Bldg-</v>
      </c>
    </row>
    <row r="737" spans="1:8" ht="22.5" x14ac:dyDescent="0.25">
      <c r="A737" s="39" t="s">
        <v>1177</v>
      </c>
      <c r="B737" s="32" t="s">
        <v>1178</v>
      </c>
      <c r="C737" s="32" t="s">
        <v>1179</v>
      </c>
      <c r="D737" s="32" t="s">
        <v>1180</v>
      </c>
      <c r="E737" s="33" t="s">
        <v>1181</v>
      </c>
      <c r="F737" t="str">
        <f>LEFT(Table2[[#This Row],[Building]],2)</f>
        <v>NY</v>
      </c>
      <c r="G737" t="str">
        <f>LEFT(Table2[[#This Row],[Building]],8)</f>
        <v>NY0390CB</v>
      </c>
      <c r="H737" t="str">
        <f>RIGHT(Table2[[#This Row],[Building]],LEN(Table2[[#This Row],[Building]])-9)</f>
        <v>Administrative Bldg-</v>
      </c>
    </row>
    <row r="738" spans="1:8" x14ac:dyDescent="0.25">
      <c r="A738" s="39" t="s">
        <v>1182</v>
      </c>
      <c r="B738" s="31">
        <v>745010.69</v>
      </c>
      <c r="C738" s="31">
        <v>362471.99</v>
      </c>
      <c r="D738" s="31">
        <v>190396.75</v>
      </c>
      <c r="E738" s="30">
        <v>1297879.43</v>
      </c>
      <c r="F738" t="str">
        <f>LEFT(Table2[[#This Row],[Building]],2)</f>
        <v>NY</v>
      </c>
      <c r="G738" t="str">
        <f>LEFT(Table2[[#This Row],[Building]],8)</f>
        <v>NY0395CB</v>
      </c>
      <c r="H738" t="str">
        <f>RIGHT(Table2[[#This Row],[Building]],LEN(Table2[[#This Row],[Building]])-9)</f>
        <v>Cargo Building</v>
      </c>
    </row>
    <row r="739" spans="1:8" ht="22.5" x14ac:dyDescent="0.25">
      <c r="A739" s="39" t="s">
        <v>1183</v>
      </c>
      <c r="B739" s="29">
        <v>44387.17</v>
      </c>
      <c r="C739" s="29">
        <v>73400.25</v>
      </c>
      <c r="D739" s="29">
        <v>18157.099999999999</v>
      </c>
      <c r="E739" s="30">
        <v>135944.51999999999</v>
      </c>
      <c r="F739" t="str">
        <f>LEFT(Table2[[#This Row],[Building]],2)</f>
        <v>NY</v>
      </c>
      <c r="G739" t="str">
        <f>LEFT(Table2[[#This Row],[Building]],8)</f>
        <v>NY0396CB</v>
      </c>
      <c r="H739" t="str">
        <f>RIGHT(Table2[[#This Row],[Building]],LEN(Table2[[#This Row],[Building]])-9)</f>
        <v>Export Control Build</v>
      </c>
    </row>
    <row r="740" spans="1:8" ht="22.5" x14ac:dyDescent="0.25">
      <c r="A740" s="39" t="s">
        <v>1184</v>
      </c>
      <c r="B740" s="31">
        <v>36811.54</v>
      </c>
      <c r="C740" s="31">
        <v>6693.18</v>
      </c>
      <c r="D740" s="31">
        <v>9455.1299999999992</v>
      </c>
      <c r="E740" s="30">
        <v>52959.85</v>
      </c>
      <c r="F740" t="str">
        <f>LEFT(Table2[[#This Row],[Building]],2)</f>
        <v>NY</v>
      </c>
      <c r="G740" t="str">
        <f>LEFT(Table2[[#This Row],[Building]],8)</f>
        <v>NY0397CB</v>
      </c>
      <c r="H740" t="str">
        <f>RIGHT(Table2[[#This Row],[Building]],LEN(Table2[[#This Row],[Building]])-9)</f>
        <v>Vet Service Building</v>
      </c>
    </row>
    <row r="741" spans="1:8" ht="22.5" x14ac:dyDescent="0.25">
      <c r="A741" s="39" t="s">
        <v>1185</v>
      </c>
      <c r="B741" s="29">
        <v>1337958.58</v>
      </c>
      <c r="C741" s="29">
        <v>1669199.47</v>
      </c>
      <c r="D741" s="29">
        <v>1026595.86</v>
      </c>
      <c r="E741" s="30">
        <v>4033753.91</v>
      </c>
      <c r="F741" t="str">
        <f>LEFT(Table2[[#This Row],[Building]],2)</f>
        <v>NY</v>
      </c>
      <c r="G741" t="str">
        <f>LEFT(Table2[[#This Row],[Building]],8)</f>
        <v>NY0399ZZ</v>
      </c>
      <c r="H741" t="str">
        <f>RIGHT(Table2[[#This Row],[Building]],LEN(Table2[[#This Row],[Building]])-9)</f>
        <v>Theodore Roosevelt U</v>
      </c>
    </row>
    <row r="742" spans="1:8" ht="22.5" x14ac:dyDescent="0.25">
      <c r="A742" s="39" t="s">
        <v>1187</v>
      </c>
      <c r="B742" s="31">
        <v>39645.53</v>
      </c>
      <c r="C742" s="31">
        <v>27797.91</v>
      </c>
      <c r="D742" s="31">
        <v>20637.419999999998</v>
      </c>
      <c r="E742" s="30">
        <v>88080.86</v>
      </c>
      <c r="F742" t="str">
        <f>LEFT(Table2[[#This Row],[Building]],2)</f>
        <v>NY</v>
      </c>
      <c r="G742" t="str">
        <f>LEFT(Table2[[#This Row],[Building]],8)</f>
        <v>NY0402MB</v>
      </c>
      <c r="H742" t="str">
        <f>RIGHT(Table2[[#This Row],[Building]],LEN(Table2[[#This Row],[Building]])-9)</f>
        <v>Non-Intrusive Inspec</v>
      </c>
    </row>
    <row r="743" spans="1:8" ht="22.5" x14ac:dyDescent="0.25">
      <c r="A743" s="39" t="s">
        <v>1188</v>
      </c>
      <c r="B743" s="29">
        <v>41027.21</v>
      </c>
      <c r="C743" s="29">
        <v>28766.71</v>
      </c>
      <c r="D743" s="29">
        <v>21356.61</v>
      </c>
      <c r="E743" s="30">
        <v>91150.53</v>
      </c>
      <c r="F743" t="str">
        <f>LEFT(Table2[[#This Row],[Building]],2)</f>
        <v>NY</v>
      </c>
      <c r="G743" t="str">
        <f>LEFT(Table2[[#This Row],[Building]],8)</f>
        <v>NY0403MB</v>
      </c>
      <c r="H743" t="str">
        <f>RIGHT(Table2[[#This Row],[Building]],LEN(Table2[[#This Row],[Building]])-9)</f>
        <v>Maintenance Garage</v>
      </c>
    </row>
    <row r="744" spans="1:8" ht="22.5" x14ac:dyDescent="0.25">
      <c r="A744" s="39" t="s">
        <v>1189</v>
      </c>
      <c r="B744" s="31">
        <v>31584.5</v>
      </c>
      <c r="C744" s="31">
        <v>22145.83</v>
      </c>
      <c r="D744" s="31">
        <v>16441.29</v>
      </c>
      <c r="E744" s="30">
        <v>70171.62</v>
      </c>
      <c r="F744" t="str">
        <f>LEFT(Table2[[#This Row],[Building]],2)</f>
        <v>NY</v>
      </c>
      <c r="G744" t="str">
        <f>LEFT(Table2[[#This Row],[Building]],8)</f>
        <v>NY0404MB</v>
      </c>
      <c r="H744" t="str">
        <f>RIGHT(Table2[[#This Row],[Building]],LEN(Table2[[#This Row],[Building]])-9)</f>
        <v>Secondary Inspection</v>
      </c>
    </row>
    <row r="745" spans="1:8" ht="22.5" x14ac:dyDescent="0.25">
      <c r="A745" s="39" t="s">
        <v>1190</v>
      </c>
      <c r="B745" s="29">
        <v>30348.05</v>
      </c>
      <c r="C745" s="29">
        <v>5517.97</v>
      </c>
      <c r="D745" s="29">
        <v>7794.95</v>
      </c>
      <c r="E745" s="30">
        <v>43660.97</v>
      </c>
      <c r="F745" t="str">
        <f>LEFT(Table2[[#This Row],[Building]],2)</f>
        <v>NY</v>
      </c>
      <c r="G745" t="str">
        <f>LEFT(Table2[[#This Row],[Building]],8)</f>
        <v>NY0405CB</v>
      </c>
      <c r="H745" t="str">
        <f>RIGHT(Table2[[#This Row],[Building]],LEN(Table2[[#This Row],[Building]])-9)</f>
        <v>Targeted Enforcement</v>
      </c>
    </row>
    <row r="746" spans="1:8" ht="22.5" x14ac:dyDescent="0.25">
      <c r="A746" s="39" t="s">
        <v>1191</v>
      </c>
      <c r="B746" s="31">
        <v>41415.22</v>
      </c>
      <c r="C746" s="31">
        <v>7530.29</v>
      </c>
      <c r="D746" s="31">
        <v>10637.61</v>
      </c>
      <c r="E746" s="30">
        <v>59583.12</v>
      </c>
      <c r="F746" t="str">
        <f>LEFT(Table2[[#This Row],[Building]],2)</f>
        <v>NY</v>
      </c>
      <c r="G746" t="str">
        <f>LEFT(Table2[[#This Row],[Building]],8)</f>
        <v>NY0406CB</v>
      </c>
      <c r="H746" t="str">
        <f>RIGHT(Table2[[#This Row],[Building]],LEN(Table2[[#This Row],[Building]])-9)</f>
        <v>Secondary Inspection</v>
      </c>
    </row>
    <row r="747" spans="1:8" x14ac:dyDescent="0.25">
      <c r="A747" s="39" t="s">
        <v>1193</v>
      </c>
      <c r="B747" s="29">
        <v>26645</v>
      </c>
      <c r="C747" s="29">
        <v>44516.21</v>
      </c>
      <c r="D747" s="29">
        <v>6815.95</v>
      </c>
      <c r="E747" s="30">
        <v>77977.16</v>
      </c>
      <c r="F747" t="str">
        <f>LEFT(Table2[[#This Row],[Building]],2)</f>
        <v>NY</v>
      </c>
      <c r="G747" t="str">
        <f>LEFT(Table2[[#This Row],[Building]],8)</f>
        <v>NY0501IY</v>
      </c>
      <c r="H747" t="str">
        <f>RIGHT(Table2[[#This Row],[Building]],LEN(Table2[[#This Row],[Building]])-9)</f>
        <v>Administration Bldg-</v>
      </c>
    </row>
    <row r="748" spans="1:8" x14ac:dyDescent="0.25">
      <c r="A748" s="39" t="s">
        <v>1195</v>
      </c>
      <c r="B748" s="32" t="s">
        <v>1196</v>
      </c>
      <c r="C748" s="32" t="s">
        <v>1197</v>
      </c>
      <c r="D748" s="32" t="s">
        <v>1198</v>
      </c>
      <c r="E748" s="33" t="s">
        <v>1199</v>
      </c>
      <c r="F748" t="str">
        <f>LEFT(Table2[[#This Row],[Building]],2)</f>
        <v>NY</v>
      </c>
      <c r="G748" t="str">
        <f>LEFT(Table2[[#This Row],[Building]],8)</f>
        <v>NY0586CI</v>
      </c>
      <c r="H748" t="str">
        <f>RIGHT(Table2[[#This Row],[Building]],LEN(Table2[[#This Row],[Building]])-9)</f>
        <v>Inspection Building-</v>
      </c>
    </row>
    <row r="749" spans="1:8" x14ac:dyDescent="0.25">
      <c r="A749" s="39" t="s">
        <v>1200</v>
      </c>
      <c r="B749" s="31">
        <v>2966.85</v>
      </c>
      <c r="C749" s="34" t="s">
        <v>1201</v>
      </c>
      <c r="D749" s="31">
        <v>2524.9899999999998</v>
      </c>
      <c r="E749" s="30">
        <v>2012.48</v>
      </c>
      <c r="F749" t="str">
        <f>LEFT(Table2[[#This Row],[Building]],2)</f>
        <v>NY</v>
      </c>
      <c r="G749" t="str">
        <f>LEFT(Table2[[#This Row],[Building]],8)</f>
        <v>NY0626MI</v>
      </c>
      <c r="H749" t="str">
        <f>RIGHT(Table2[[#This Row],[Building]],LEN(Table2[[#This Row],[Building]])-9)</f>
        <v>Inspection Building-</v>
      </c>
    </row>
    <row r="750" spans="1:8" ht="22.5" x14ac:dyDescent="0.25">
      <c r="A750" s="39" t="s">
        <v>1202</v>
      </c>
      <c r="B750" s="29">
        <v>98327.76</v>
      </c>
      <c r="C750" s="29">
        <v>38137.43</v>
      </c>
      <c r="D750" s="29">
        <v>36147.550000000003</v>
      </c>
      <c r="E750" s="30">
        <v>172612.74</v>
      </c>
      <c r="F750" t="str">
        <f>LEFT(Table2[[#This Row],[Building]],2)</f>
        <v>NY</v>
      </c>
      <c r="G750" t="str">
        <f>LEFT(Table2[[#This Row],[Building]],8)</f>
        <v>NY0651OC</v>
      </c>
      <c r="H750" t="str">
        <f>RIGHT(Table2[[#This Row],[Building]],LEN(Table2[[#This Row],[Building]])-9)</f>
        <v>Robert Mcewen Us Cus</v>
      </c>
    </row>
    <row r="751" spans="1:8" ht="22.5" x14ac:dyDescent="0.25">
      <c r="A751" s="39" t="s">
        <v>1204</v>
      </c>
      <c r="B751" s="31">
        <v>710086.39</v>
      </c>
      <c r="C751" s="31">
        <v>672146.62</v>
      </c>
      <c r="D751" s="31">
        <v>634321.68000000005</v>
      </c>
      <c r="E751" s="30">
        <v>2016554.69</v>
      </c>
      <c r="F751" t="str">
        <f>LEFT(Table2[[#This Row],[Building]],2)</f>
        <v>OH</v>
      </c>
      <c r="G751" t="str">
        <f>LEFT(Table2[[#This Row],[Building]],8)</f>
        <v>OH0028CN</v>
      </c>
      <c r="H751" t="str">
        <f>RIGHT(Table2[[#This Row],[Building]],LEN(Table2[[#This Row],[Building]])-9)</f>
        <v>Potter Stewart U.S.</v>
      </c>
    </row>
    <row r="752" spans="1:8" ht="22.5" x14ac:dyDescent="0.25">
      <c r="A752" s="39" t="s">
        <v>1205</v>
      </c>
      <c r="B752" s="29">
        <v>283421.5</v>
      </c>
      <c r="C752" s="29">
        <v>452945.87</v>
      </c>
      <c r="D752" s="29">
        <v>189246.78</v>
      </c>
      <c r="E752" s="30">
        <v>925614.15</v>
      </c>
      <c r="F752" t="str">
        <f>LEFT(Table2[[#This Row],[Building]],2)</f>
        <v>OH</v>
      </c>
      <c r="G752" t="str">
        <f>LEFT(Table2[[#This Row],[Building]],8)</f>
        <v>OH0033ZZ</v>
      </c>
      <c r="H752" t="str">
        <f>RIGHT(Table2[[#This Row],[Building]],LEN(Table2[[#This Row],[Building]])-9)</f>
        <v>Metzenbaum U.S. Cour</v>
      </c>
    </row>
    <row r="753" spans="1:8" x14ac:dyDescent="0.25">
      <c r="A753" s="39" t="s">
        <v>1206</v>
      </c>
      <c r="B753" s="31">
        <v>393632.47</v>
      </c>
      <c r="C753" s="31">
        <v>219443.09</v>
      </c>
      <c r="D753" s="31">
        <v>298960.93</v>
      </c>
      <c r="E753" s="30">
        <v>912036.49</v>
      </c>
      <c r="F753" t="str">
        <f>LEFT(Table2[[#This Row],[Building]],2)</f>
        <v>OH</v>
      </c>
      <c r="G753" t="str">
        <f>LEFT(Table2[[#This Row],[Building]],8)</f>
        <v>OH0046ZZ</v>
      </c>
      <c r="H753" t="str">
        <f>RIGHT(Table2[[#This Row],[Building]],LEN(Table2[[#This Row],[Building]])-9)</f>
        <v>Kinneary Us Cthse</v>
      </c>
    </row>
    <row r="754" spans="1:8" ht="22.5" x14ac:dyDescent="0.25">
      <c r="A754" s="39" t="s">
        <v>1207</v>
      </c>
      <c r="B754" s="29">
        <v>24815.02</v>
      </c>
      <c r="C754" s="29">
        <v>14394.15</v>
      </c>
      <c r="D754" s="29">
        <v>29739.38</v>
      </c>
      <c r="E754" s="30">
        <v>68948.55</v>
      </c>
      <c r="F754" t="str">
        <f>LEFT(Table2[[#This Row],[Building]],2)</f>
        <v>OH</v>
      </c>
      <c r="G754" t="str">
        <f>LEFT(Table2[[#This Row],[Building]],8)</f>
        <v>OH0100ZZ</v>
      </c>
      <c r="H754" t="str">
        <f>RIGHT(Table2[[#This Row],[Building]],LEN(Table2[[#This Row],[Building]])-9)</f>
        <v>Donald J. Pease Fede</v>
      </c>
    </row>
    <row r="755" spans="1:8" ht="22.5" x14ac:dyDescent="0.25">
      <c r="A755" s="39" t="s">
        <v>1208</v>
      </c>
      <c r="B755" s="31">
        <v>178900.07</v>
      </c>
      <c r="C755" s="31">
        <v>115079.76</v>
      </c>
      <c r="D755" s="31">
        <v>156615.63</v>
      </c>
      <c r="E755" s="30">
        <v>450595.46</v>
      </c>
      <c r="F755" t="str">
        <f>LEFT(Table2[[#This Row],[Building]],2)</f>
        <v>OH</v>
      </c>
      <c r="G755" t="str">
        <f>LEFT(Table2[[#This Row],[Building]],8)</f>
        <v>OH0143ZZ</v>
      </c>
      <c r="H755" t="str">
        <f>RIGHT(Table2[[#This Row],[Building]],LEN(Table2[[#This Row],[Building]])-9)</f>
        <v>James M. Ashley And</v>
      </c>
    </row>
    <row r="756" spans="1:8" x14ac:dyDescent="0.25">
      <c r="A756" s="39" t="s">
        <v>1209</v>
      </c>
      <c r="B756" s="29">
        <v>1001965.96</v>
      </c>
      <c r="C756" s="29">
        <v>474308.84</v>
      </c>
      <c r="D756" s="29">
        <v>674431.61</v>
      </c>
      <c r="E756" s="30">
        <v>2150706.41</v>
      </c>
      <c r="F756" t="str">
        <f>LEFT(Table2[[#This Row],[Building]],2)</f>
        <v>OH</v>
      </c>
      <c r="G756" t="str">
        <f>LEFT(Table2[[#This Row],[Building]],8)</f>
        <v>OH0189CN</v>
      </c>
      <c r="H756" t="str">
        <f>RIGHT(Table2[[#This Row],[Building]],LEN(Table2[[#This Row],[Building]])-9)</f>
        <v>John Weld Peck</v>
      </c>
    </row>
    <row r="757" spans="1:8" x14ac:dyDescent="0.25">
      <c r="A757" s="39" t="s">
        <v>1210</v>
      </c>
      <c r="B757" s="31">
        <v>1974113.98</v>
      </c>
      <c r="C757" s="31">
        <v>3898535.72</v>
      </c>
      <c r="D757" s="31">
        <v>1278790.67</v>
      </c>
      <c r="E757" s="30">
        <v>7151440.3700000001</v>
      </c>
      <c r="F757" t="str">
        <f>LEFT(Table2[[#This Row],[Building]],2)</f>
        <v>OH</v>
      </c>
      <c r="G757" t="str">
        <f>LEFT(Table2[[#This Row],[Building]],8)</f>
        <v>OH0192ZZ</v>
      </c>
      <c r="H757" t="str">
        <f>RIGHT(Table2[[#This Row],[Building]],LEN(Table2[[#This Row],[Building]])-9)</f>
        <v>A J Celebrezze Fb</v>
      </c>
    </row>
    <row r="758" spans="1:8" ht="22.5" x14ac:dyDescent="0.25">
      <c r="A758" s="39" t="s">
        <v>1211</v>
      </c>
      <c r="B758" s="29">
        <v>357673.16</v>
      </c>
      <c r="C758" s="29">
        <v>230488.17</v>
      </c>
      <c r="D758" s="29">
        <v>418781.28</v>
      </c>
      <c r="E758" s="30">
        <v>1006942.61</v>
      </c>
      <c r="F758" t="str">
        <f>LEFT(Table2[[#This Row],[Building]],2)</f>
        <v>OH</v>
      </c>
      <c r="G758" t="str">
        <f>LEFT(Table2[[#This Row],[Building]],8)</f>
        <v>OH0194ZZ</v>
      </c>
      <c r="H758" t="str">
        <f>RIGHT(Table2[[#This Row],[Building]],LEN(Table2[[#This Row],[Building]])-9)</f>
        <v>John F Seiberling Fb</v>
      </c>
    </row>
    <row r="759" spans="1:8" ht="22.5" x14ac:dyDescent="0.25">
      <c r="A759" s="39" t="s">
        <v>1212</v>
      </c>
      <c r="B759" s="31">
        <v>366792.39</v>
      </c>
      <c r="C759" s="31">
        <v>194948.4</v>
      </c>
      <c r="D759" s="31">
        <v>259264.49</v>
      </c>
      <c r="E759" s="30">
        <v>821005.28</v>
      </c>
      <c r="F759" t="str">
        <f>LEFT(Table2[[#This Row],[Building]],2)</f>
        <v>OH</v>
      </c>
      <c r="G759" t="str">
        <f>LEFT(Table2[[#This Row],[Building]],8)</f>
        <v>OH0195ZZ</v>
      </c>
      <c r="H759" t="str">
        <f>RIGHT(Table2[[#This Row],[Building]],LEN(Table2[[#This Row],[Building]])-9)</f>
        <v>Fed Bldg &amp; Us Cthse</v>
      </c>
    </row>
    <row r="760" spans="1:8" x14ac:dyDescent="0.25">
      <c r="A760" s="39" t="s">
        <v>1213</v>
      </c>
      <c r="B760" s="29">
        <v>14257.71</v>
      </c>
      <c r="C760" s="29">
        <v>2265.88</v>
      </c>
      <c r="D760" s="29">
        <v>17021.099999999999</v>
      </c>
      <c r="E760" s="30">
        <v>33544.69</v>
      </c>
      <c r="F760" t="str">
        <f>LEFT(Table2[[#This Row],[Building]],2)</f>
        <v>OH</v>
      </c>
      <c r="G760" t="str">
        <f>LEFT(Table2[[#This Row],[Building]],8)</f>
        <v>OH0196ZZ</v>
      </c>
      <c r="H760" t="str">
        <f>RIGHT(Table2[[#This Row],[Building]],LEN(Table2[[#This Row],[Building]])-9)</f>
        <v>Fed Parking Facility</v>
      </c>
    </row>
    <row r="761" spans="1:8" ht="22.5" x14ac:dyDescent="0.25">
      <c r="A761" s="39" t="s">
        <v>1214</v>
      </c>
      <c r="B761" s="31">
        <v>368969.57</v>
      </c>
      <c r="C761" s="31">
        <v>280908.84000000003</v>
      </c>
      <c r="D761" s="31">
        <v>254344.26</v>
      </c>
      <c r="E761" s="30">
        <v>904222.67</v>
      </c>
      <c r="F761" t="str">
        <f>LEFT(Table2[[#This Row],[Building]],2)</f>
        <v>OH</v>
      </c>
      <c r="G761" t="str">
        <f>LEFT(Table2[[#This Row],[Building]],8)</f>
        <v>OH0208CL</v>
      </c>
      <c r="H761" t="str">
        <f>RIGHT(Table2[[#This Row],[Building]],LEN(Table2[[#This Row],[Building]])-9)</f>
        <v>Bricker Federal Bldg</v>
      </c>
    </row>
    <row r="762" spans="1:8" ht="22.5" x14ac:dyDescent="0.25">
      <c r="A762" s="39" t="s">
        <v>1216</v>
      </c>
      <c r="B762" s="29">
        <v>87794.57</v>
      </c>
      <c r="C762" s="29">
        <v>56677.81</v>
      </c>
      <c r="D762" s="29">
        <v>53747.65</v>
      </c>
      <c r="E762" s="30">
        <v>198220.03</v>
      </c>
      <c r="F762" t="str">
        <f>LEFT(Table2[[#This Row],[Building]],2)</f>
        <v>OH</v>
      </c>
      <c r="G762" t="str">
        <f>LEFT(Table2[[#This Row],[Building]],8)</f>
        <v>OH0215ZZ</v>
      </c>
      <c r="H762" t="str">
        <f>RIGHT(Table2[[#This Row],[Building]],LEN(Table2[[#This Row],[Building]])-9)</f>
        <v>Thomas D Lambros Fob</v>
      </c>
    </row>
    <row r="763" spans="1:8" x14ac:dyDescent="0.25">
      <c r="A763" s="39" t="s">
        <v>1217</v>
      </c>
      <c r="B763" s="31">
        <v>940635.6</v>
      </c>
      <c r="C763" s="31">
        <v>920195.84</v>
      </c>
      <c r="D763" s="31">
        <v>662300.49</v>
      </c>
      <c r="E763" s="30">
        <v>2523131.9300000002</v>
      </c>
      <c r="F763" t="str">
        <f>LEFT(Table2[[#This Row],[Building]],2)</f>
        <v>OH</v>
      </c>
      <c r="G763" t="str">
        <f>LEFT(Table2[[#This Row],[Building]],8)</f>
        <v>OH0301ZZ</v>
      </c>
      <c r="H763" t="str">
        <f>RIGHT(Table2[[#This Row],[Building]],LEN(Table2[[#This Row],[Building]])-9)</f>
        <v>Carl B Stokes U.S. C</v>
      </c>
    </row>
    <row r="764" spans="1:8" ht="22.5" x14ac:dyDescent="0.25">
      <c r="A764" s="39" t="s">
        <v>1218</v>
      </c>
      <c r="B764" s="29">
        <v>124507.7</v>
      </c>
      <c r="C764" s="29">
        <v>64275.62</v>
      </c>
      <c r="D764" s="29">
        <v>70757.850000000006</v>
      </c>
      <c r="E764" s="30">
        <v>259541.17</v>
      </c>
      <c r="F764" t="str">
        <f>LEFT(Table2[[#This Row],[Building]],2)</f>
        <v>OH</v>
      </c>
      <c r="G764" t="str">
        <f>LEFT(Table2[[#This Row],[Building]],8)</f>
        <v>OH0302ZZ</v>
      </c>
      <c r="H764" t="str">
        <f>RIGHT(Table2[[#This Row],[Building]],LEN(Table2[[#This Row],[Building]])-9)</f>
        <v>Nathaniel R Jones Fb</v>
      </c>
    </row>
    <row r="765" spans="1:8" x14ac:dyDescent="0.25">
      <c r="A765" s="39" t="s">
        <v>1219</v>
      </c>
      <c r="B765" s="31">
        <v>84299.3</v>
      </c>
      <c r="C765" s="31">
        <v>185621.39</v>
      </c>
      <c r="D765" s="31">
        <v>91947.48</v>
      </c>
      <c r="E765" s="30">
        <v>361868.17</v>
      </c>
      <c r="F765" t="str">
        <f>LEFT(Table2[[#This Row],[Building]],2)</f>
        <v>OH</v>
      </c>
      <c r="G765" t="str">
        <f>LEFT(Table2[[#This Row],[Building]],8)</f>
        <v>OH0514DD</v>
      </c>
      <c r="H765" t="str">
        <f>RIGHT(Table2[[#This Row],[Building]],LEN(Table2[[#This Row],[Building]])-9)</f>
        <v>Warehouse 4</v>
      </c>
    </row>
    <row r="766" spans="1:8" ht="22.5" x14ac:dyDescent="0.25">
      <c r="A766" s="39" t="s">
        <v>1220</v>
      </c>
      <c r="B766" s="29">
        <v>39163.03</v>
      </c>
      <c r="C766" s="29">
        <v>26808.99</v>
      </c>
      <c r="D766" s="29">
        <v>58996.05</v>
      </c>
      <c r="E766" s="30">
        <v>124968.07</v>
      </c>
      <c r="F766" t="str">
        <f>LEFT(Table2[[#This Row],[Building]],2)</f>
        <v>OK</v>
      </c>
      <c r="G766" t="str">
        <f>LEFT(Table2[[#This Row],[Building]],8)</f>
        <v>OK0039ZZ</v>
      </c>
      <c r="H766" t="str">
        <f>RIGHT(Table2[[#This Row],[Building]],LEN(Table2[[#This Row],[Building]])-9)</f>
        <v>C Albert Fed Bldg/Co</v>
      </c>
    </row>
    <row r="767" spans="1:8" ht="22.5" x14ac:dyDescent="0.25">
      <c r="A767" s="39" t="s">
        <v>1221</v>
      </c>
      <c r="B767" s="31">
        <v>134991.98000000001</v>
      </c>
      <c r="C767" s="31">
        <v>96220.85</v>
      </c>
      <c r="D767" s="31">
        <v>201909.87</v>
      </c>
      <c r="E767" s="30">
        <v>433122.7</v>
      </c>
      <c r="F767" t="str">
        <f>LEFT(Table2[[#This Row],[Building]],2)</f>
        <v>OK</v>
      </c>
      <c r="G767" t="str">
        <f>LEFT(Table2[[#This Row],[Building]],8)</f>
        <v>OK0041ZZ</v>
      </c>
      <c r="H767" t="str">
        <f>RIGHT(Table2[[#This Row],[Building]],LEN(Table2[[#This Row],[Building]])-9)</f>
        <v>Ed Edmondson U.S. Co</v>
      </c>
    </row>
    <row r="768" spans="1:8" ht="22.5" x14ac:dyDescent="0.25">
      <c r="A768" s="39" t="s">
        <v>1222</v>
      </c>
      <c r="B768" s="29">
        <v>383484.1</v>
      </c>
      <c r="C768" s="29">
        <v>316453.78999999998</v>
      </c>
      <c r="D768" s="29">
        <v>195619.53</v>
      </c>
      <c r="E768" s="30">
        <v>895557.42</v>
      </c>
      <c r="F768" t="str">
        <f>LEFT(Table2[[#This Row],[Building]],2)</f>
        <v>OK</v>
      </c>
      <c r="G768" t="str">
        <f>LEFT(Table2[[#This Row],[Building]],8)</f>
        <v>OK0046CT</v>
      </c>
      <c r="H768" t="str">
        <f>RIGHT(Table2[[#This Row],[Building]],LEN(Table2[[#This Row],[Building]])-9)</f>
        <v>Okc Post Office/Cour</v>
      </c>
    </row>
    <row r="769" spans="1:8" x14ac:dyDescent="0.25">
      <c r="A769" s="39" t="s">
        <v>1223</v>
      </c>
      <c r="B769" s="31">
        <v>140665.57999999999</v>
      </c>
      <c r="C769" s="31">
        <v>99456.16</v>
      </c>
      <c r="D769" s="31">
        <v>725401.16</v>
      </c>
      <c r="E769" s="30">
        <v>965522.9</v>
      </c>
      <c r="F769" t="str">
        <f>LEFT(Table2[[#This Row],[Building]],2)</f>
        <v>OK</v>
      </c>
      <c r="G769" t="str">
        <f>LEFT(Table2[[#This Row],[Building]],8)</f>
        <v>OK0063ZZ</v>
      </c>
      <c r="H769" t="str">
        <f>RIGHT(Table2[[#This Row],[Building]],LEN(Table2[[#This Row],[Building]])-9)</f>
        <v>Tulsa Federal Bldg</v>
      </c>
    </row>
    <row r="770" spans="1:8" ht="22.5" x14ac:dyDescent="0.25">
      <c r="A770" s="39" t="s">
        <v>1224</v>
      </c>
      <c r="B770" s="29">
        <v>534819.83999999997</v>
      </c>
      <c r="C770" s="29">
        <v>428937.4</v>
      </c>
      <c r="D770" s="29">
        <v>227462.9</v>
      </c>
      <c r="E770" s="30">
        <v>1191220.1399999999</v>
      </c>
      <c r="F770" t="str">
        <f>LEFT(Table2[[#This Row],[Building]],2)</f>
        <v>OK</v>
      </c>
      <c r="G770" t="str">
        <f>LEFT(Table2[[#This Row],[Building]],8)</f>
        <v>OK0072CT</v>
      </c>
      <c r="H770" t="str">
        <f>RIGHT(Table2[[#This Row],[Building]],LEN(Table2[[#This Row],[Building]])-9)</f>
        <v>Okc Federal Bldg/Cou</v>
      </c>
    </row>
    <row r="771" spans="1:8" ht="22.5" x14ac:dyDescent="0.25">
      <c r="A771" s="39" t="s">
        <v>1225</v>
      </c>
      <c r="B771" s="31">
        <v>11749.93</v>
      </c>
      <c r="C771" s="31">
        <v>36015.68</v>
      </c>
      <c r="D771" s="31">
        <v>30873.84</v>
      </c>
      <c r="E771" s="30">
        <v>78639.45</v>
      </c>
      <c r="F771" t="str">
        <f>LEFT(Table2[[#This Row],[Building]],2)</f>
        <v>OK</v>
      </c>
      <c r="G771" t="str">
        <f>LEFT(Table2[[#This Row],[Building]],8)</f>
        <v>OK0074ZZ</v>
      </c>
      <c r="H771" t="str">
        <f>RIGHT(Table2[[#This Row],[Building]],LEN(Table2[[#This Row],[Building]])-9)</f>
        <v>Lawton Federal Bldg/</v>
      </c>
    </row>
    <row r="772" spans="1:8" ht="22.5" x14ac:dyDescent="0.25">
      <c r="A772" s="39" t="s">
        <v>1226</v>
      </c>
      <c r="B772" s="29">
        <v>21817.22</v>
      </c>
      <c r="C772" s="29">
        <v>74464.679999999993</v>
      </c>
      <c r="D772" s="29">
        <v>24530.25</v>
      </c>
      <c r="E772" s="30">
        <v>120812.15</v>
      </c>
      <c r="F772" t="str">
        <f>LEFT(Table2[[#This Row],[Building]],2)</f>
        <v>OK</v>
      </c>
      <c r="G772" t="str">
        <f>LEFT(Table2[[#This Row],[Building]],8)</f>
        <v>OK0099CT</v>
      </c>
      <c r="H772" t="str">
        <f>RIGHT(Table2[[#This Row],[Building]],LEN(Table2[[#This Row],[Building]])-9)</f>
        <v>Okc Federal Parking</v>
      </c>
    </row>
    <row r="773" spans="1:8" ht="22.5" x14ac:dyDescent="0.25">
      <c r="A773" s="39" t="s">
        <v>1227</v>
      </c>
      <c r="B773" s="31">
        <v>319702.26</v>
      </c>
      <c r="C773" s="31">
        <v>401285.78</v>
      </c>
      <c r="D773" s="31">
        <v>202668.55</v>
      </c>
      <c r="E773" s="30">
        <v>923656.59</v>
      </c>
      <c r="F773" t="str">
        <f>LEFT(Table2[[#This Row],[Building]],2)</f>
        <v>OK</v>
      </c>
      <c r="G773" t="str">
        <f>LEFT(Table2[[#This Row],[Building]],8)</f>
        <v>OK0101ZZ</v>
      </c>
      <c r="H773" t="str">
        <f>RIGHT(Table2[[#This Row],[Building]],LEN(Table2[[#This Row],[Building]])-9)</f>
        <v>Oklahoma City Federa</v>
      </c>
    </row>
    <row r="774" spans="1:8" ht="22.5" x14ac:dyDescent="0.25">
      <c r="A774" s="39" t="s">
        <v>1228</v>
      </c>
      <c r="B774" s="29">
        <v>1475.86</v>
      </c>
      <c r="C774" s="29">
        <v>5239.95</v>
      </c>
      <c r="D774" s="29">
        <v>152.43</v>
      </c>
      <c r="E774" s="30">
        <v>6868.24</v>
      </c>
      <c r="F774" t="str">
        <f>LEFT(Table2[[#This Row],[Building]],2)</f>
        <v>OK</v>
      </c>
      <c r="G774" t="str">
        <f>LEFT(Table2[[#This Row],[Building]],8)</f>
        <v>OK0503OC</v>
      </c>
      <c r="H774" t="str">
        <f>RIGHT(Table2[[#This Row],[Building]],LEN(Table2[[#This Row],[Building]])-9)</f>
        <v>Gsa Pmd Center Wareh</v>
      </c>
    </row>
    <row r="775" spans="1:8" x14ac:dyDescent="0.25">
      <c r="A775" s="39" t="s">
        <v>1232</v>
      </c>
      <c r="B775" s="31">
        <v>105717.41</v>
      </c>
      <c r="C775" s="31">
        <v>48513.95</v>
      </c>
      <c r="D775" s="31">
        <v>148991.03</v>
      </c>
      <c r="E775" s="30">
        <v>303222.39</v>
      </c>
      <c r="F775" t="str">
        <f>LEFT(Table2[[#This Row],[Building]],2)</f>
        <v>OR</v>
      </c>
      <c r="G775" t="str">
        <f>LEFT(Table2[[#This Row],[Building]],8)</f>
        <v>OR0018ZZ</v>
      </c>
      <c r="H775" t="str">
        <f>RIGHT(Table2[[#This Row],[Building]],LEN(Table2[[#This Row],[Building]])-9)</f>
        <v>J A Redden Us Cths</v>
      </c>
    </row>
    <row r="776" spans="1:8" ht="22.5" x14ac:dyDescent="0.25">
      <c r="A776" s="39" t="s">
        <v>1233</v>
      </c>
      <c r="B776" s="29">
        <v>274726.15000000002</v>
      </c>
      <c r="C776" s="29">
        <v>176145.03</v>
      </c>
      <c r="D776" s="29">
        <v>333676.76</v>
      </c>
      <c r="E776" s="30">
        <v>784547.94</v>
      </c>
      <c r="F776" t="str">
        <f>LEFT(Table2[[#This Row],[Building]],2)</f>
        <v>OR</v>
      </c>
      <c r="G776" t="str">
        <f>LEFT(Table2[[#This Row],[Building]],8)</f>
        <v>OR0023ZZ</v>
      </c>
      <c r="H776" t="str">
        <f>RIGHT(Table2[[#This Row],[Building]],LEN(Table2[[#This Row],[Building]])-9)</f>
        <v>Gus J. Solomon Cthse</v>
      </c>
    </row>
    <row r="777" spans="1:8" x14ac:dyDescent="0.25">
      <c r="A777" s="39" t="s">
        <v>1234</v>
      </c>
      <c r="B777" s="31">
        <v>124019.56</v>
      </c>
      <c r="C777" s="31">
        <v>54021.15</v>
      </c>
      <c r="D777" s="31">
        <v>166244.24</v>
      </c>
      <c r="E777" s="30">
        <v>344284.95</v>
      </c>
      <c r="F777" t="str">
        <f>LEFT(Table2[[#This Row],[Building]],2)</f>
        <v>OR</v>
      </c>
      <c r="G777" t="str">
        <f>LEFT(Table2[[#This Row],[Building]],8)</f>
        <v>OR0024ZZ</v>
      </c>
      <c r="H777" t="str">
        <f>RIGHT(Table2[[#This Row],[Building]],LEN(Table2[[#This Row],[Building]])-9)</f>
        <v>The Pioneer Cthse</v>
      </c>
    </row>
    <row r="778" spans="1:8" x14ac:dyDescent="0.25">
      <c r="A778" s="39" t="s">
        <v>1235</v>
      </c>
      <c r="B778" s="29">
        <v>450767.18</v>
      </c>
      <c r="C778" s="29">
        <v>263890.14</v>
      </c>
      <c r="D778" s="29">
        <v>490779.22</v>
      </c>
      <c r="E778" s="30">
        <v>1205436.54</v>
      </c>
      <c r="F778" t="str">
        <f>LEFT(Table2[[#This Row],[Building]],2)</f>
        <v>OR</v>
      </c>
      <c r="G778" t="str">
        <f>LEFT(Table2[[#This Row],[Building]],8)</f>
        <v>OR0033PE</v>
      </c>
      <c r="H778" t="str">
        <f>RIGHT(Table2[[#This Row],[Building]],LEN(Table2[[#This Row],[Building]])-9)</f>
        <v>911 Federal Bldg</v>
      </c>
    </row>
    <row r="779" spans="1:8" ht="22.5" x14ac:dyDescent="0.25">
      <c r="A779" s="39" t="s">
        <v>1236</v>
      </c>
      <c r="B779" s="31">
        <v>679466.6</v>
      </c>
      <c r="C779" s="31">
        <v>297676.48</v>
      </c>
      <c r="D779" s="31">
        <v>442078.42</v>
      </c>
      <c r="E779" s="30">
        <v>1419221.5</v>
      </c>
      <c r="F779" t="str">
        <f>LEFT(Table2[[#This Row],[Building]],2)</f>
        <v>OR</v>
      </c>
      <c r="G779" t="str">
        <f>LEFT(Table2[[#This Row],[Building]],8)</f>
        <v>OR0043ZZ</v>
      </c>
      <c r="H779" t="str">
        <f>RIGHT(Table2[[#This Row],[Building]],LEN(Table2[[#This Row],[Building]])-9)</f>
        <v>E.Green - W.Wyatt Fb</v>
      </c>
    </row>
    <row r="780" spans="1:8" ht="22.5" x14ac:dyDescent="0.25">
      <c r="A780" s="39" t="s">
        <v>1237</v>
      </c>
      <c r="B780" s="29">
        <v>102539.72</v>
      </c>
      <c r="C780" s="29">
        <v>30267.88</v>
      </c>
      <c r="D780" s="29">
        <v>75353.789999999994</v>
      </c>
      <c r="E780" s="30">
        <v>208161.39</v>
      </c>
      <c r="F780" t="str">
        <f>LEFT(Table2[[#This Row],[Building]],2)</f>
        <v>OR</v>
      </c>
      <c r="G780" t="str">
        <f>LEFT(Table2[[#This Row],[Building]],8)</f>
        <v>OR0045ZZ</v>
      </c>
      <c r="H780" t="str">
        <f>RIGHT(Table2[[#This Row],[Building]],LEN(Table2[[#This Row],[Building]])-9)</f>
        <v>David J. Wheeler Fb</v>
      </c>
    </row>
    <row r="781" spans="1:8" ht="22.5" x14ac:dyDescent="0.25">
      <c r="A781" s="39" t="s">
        <v>1238</v>
      </c>
      <c r="B781" s="31">
        <v>193891.38</v>
      </c>
      <c r="C781" s="31">
        <v>117213.93</v>
      </c>
      <c r="D781" s="31">
        <v>202455.06</v>
      </c>
      <c r="E781" s="30">
        <v>513560.37</v>
      </c>
      <c r="F781" t="str">
        <f>LEFT(Table2[[#This Row],[Building]],2)</f>
        <v>OR</v>
      </c>
      <c r="G781" t="str">
        <f>LEFT(Table2[[#This Row],[Building]],8)</f>
        <v>OR0051ZZ</v>
      </c>
      <c r="H781" t="str">
        <f>RIGHT(Table2[[#This Row],[Building]],LEN(Table2[[#This Row],[Building]])-9)</f>
        <v>Eugene Federal Build</v>
      </c>
    </row>
    <row r="782" spans="1:8" ht="22.5" x14ac:dyDescent="0.25">
      <c r="A782" s="39" t="s">
        <v>1239</v>
      </c>
      <c r="B782" s="29">
        <v>647614.81999999995</v>
      </c>
      <c r="C782" s="29">
        <v>496113.07</v>
      </c>
      <c r="D782" s="29">
        <v>801777.47</v>
      </c>
      <c r="E782" s="30">
        <v>1945505.36</v>
      </c>
      <c r="F782" t="str">
        <f>LEFT(Table2[[#This Row],[Building]],2)</f>
        <v>OR</v>
      </c>
      <c r="G782" t="str">
        <f>LEFT(Table2[[#This Row],[Building]],8)</f>
        <v>OR0052ZZ</v>
      </c>
      <c r="H782" t="str">
        <f>RIGHT(Table2[[#This Row],[Building]],LEN(Table2[[#This Row],[Building]])-9)</f>
        <v>Mark O. Hatfield U.S</v>
      </c>
    </row>
    <row r="783" spans="1:8" ht="22.5" x14ac:dyDescent="0.25">
      <c r="A783" s="39" t="s">
        <v>1240</v>
      </c>
      <c r="B783" s="31">
        <v>423249.9</v>
      </c>
      <c r="C783" s="31">
        <v>178483.72</v>
      </c>
      <c r="D783" s="31">
        <v>425050.58</v>
      </c>
      <c r="E783" s="30">
        <v>1026784.2</v>
      </c>
      <c r="F783" t="str">
        <f>LEFT(Table2[[#This Row],[Building]],2)</f>
        <v>OR</v>
      </c>
      <c r="G783" t="str">
        <f>LEFT(Table2[[#This Row],[Building]],8)</f>
        <v>OR0053ZZ</v>
      </c>
      <c r="H783" t="str">
        <f>RIGHT(Table2[[#This Row],[Building]],LEN(Table2[[#This Row],[Building]])-9)</f>
        <v>Wayne L. Morse Us Ct</v>
      </c>
    </row>
    <row r="784" spans="1:8" ht="22.5" x14ac:dyDescent="0.25">
      <c r="A784" s="39" t="s">
        <v>1241</v>
      </c>
      <c r="B784" s="29">
        <v>3600.04</v>
      </c>
      <c r="C784" s="29">
        <v>8800.18</v>
      </c>
      <c r="D784" s="29">
        <v>30472.05</v>
      </c>
      <c r="E784" s="30">
        <v>42872.27</v>
      </c>
      <c r="F784" t="str">
        <f>LEFT(Table2[[#This Row],[Building]],2)</f>
        <v>OR</v>
      </c>
      <c r="G784" t="str">
        <f>LEFT(Table2[[#This Row],[Building]],8)</f>
        <v>OR0501PT</v>
      </c>
      <c r="H784" t="str">
        <f>RIGHT(Table2[[#This Row],[Building]],LEN(Table2[[#This Row],[Building]])-9)</f>
        <v>Troutdale West Fed W</v>
      </c>
    </row>
    <row r="785" spans="1:8" x14ac:dyDescent="0.25">
      <c r="A785" s="39" t="s">
        <v>1242</v>
      </c>
      <c r="B785" s="31">
        <v>11361.5</v>
      </c>
      <c r="C785" s="31">
        <v>3790.05</v>
      </c>
      <c r="D785" s="31">
        <v>24810.98</v>
      </c>
      <c r="E785" s="30">
        <v>39962.53</v>
      </c>
      <c r="F785" t="str">
        <f>LEFT(Table2[[#This Row],[Building]],2)</f>
        <v>OR</v>
      </c>
      <c r="G785" t="str">
        <f>LEFT(Table2[[#This Row],[Building]],8)</f>
        <v>OR0521MM</v>
      </c>
      <c r="H785" t="str">
        <f>RIGHT(Table2[[#This Row],[Building]],LEN(Table2[[#This Row],[Building]])-9)</f>
        <v>Usgs Building</v>
      </c>
    </row>
    <row r="786" spans="1:8" x14ac:dyDescent="0.25">
      <c r="A786" s="39" t="s">
        <v>1243</v>
      </c>
      <c r="B786" s="29">
        <v>76697.539999999994</v>
      </c>
      <c r="C786" s="29">
        <v>62049.27</v>
      </c>
      <c r="D786" s="29">
        <v>45753.21</v>
      </c>
      <c r="E786" s="30">
        <v>184500.02</v>
      </c>
      <c r="F786" t="str">
        <f>LEFT(Table2[[#This Row],[Building]],2)</f>
        <v>PA</v>
      </c>
      <c r="G786" t="str">
        <f>LEFT(Table2[[#This Row],[Building]],8)</f>
        <v>PA0064ZZ</v>
      </c>
      <c r="H786" t="str">
        <f>RIGHT(Table2[[#This Row],[Building]],LEN(Table2[[#This Row],[Building]])-9)</f>
        <v>Fb &amp; Courthouse</v>
      </c>
    </row>
    <row r="787" spans="1:8" ht="22.5" x14ac:dyDescent="0.25">
      <c r="A787" s="39" t="s">
        <v>1244</v>
      </c>
      <c r="B787" s="31">
        <v>819714.97</v>
      </c>
      <c r="C787" s="31">
        <v>365346.54</v>
      </c>
      <c r="D787" s="31">
        <v>295144.84000000003</v>
      </c>
      <c r="E787" s="30">
        <v>1480206.35</v>
      </c>
      <c r="F787" t="str">
        <f>LEFT(Table2[[#This Row],[Building]],2)</f>
        <v>PA</v>
      </c>
      <c r="G787" t="str">
        <f>LEFT(Table2[[#This Row],[Building]],8)</f>
        <v>PA0143ZZ</v>
      </c>
      <c r="H787" t="str">
        <f>RIGHT(Table2[[#This Row],[Building]],LEN(Table2[[#This Row],[Building]])-9)</f>
        <v>Robt N C Nix Fb Uspo</v>
      </c>
    </row>
    <row r="788" spans="1:8" x14ac:dyDescent="0.25">
      <c r="A788" s="39" t="s">
        <v>1245</v>
      </c>
      <c r="B788" s="29">
        <v>822765.45</v>
      </c>
      <c r="C788" s="29">
        <v>770748.78</v>
      </c>
      <c r="D788" s="29">
        <v>460207.61</v>
      </c>
      <c r="E788" s="30">
        <v>2053721.84</v>
      </c>
      <c r="F788" t="str">
        <f>LEFT(Table2[[#This Row],[Building]],2)</f>
        <v>PA</v>
      </c>
      <c r="G788" t="str">
        <f>LEFT(Table2[[#This Row],[Building]],8)</f>
        <v>PA0144ZZ</v>
      </c>
      <c r="H788" t="str">
        <f>RIGHT(Table2[[#This Row],[Building]],LEN(Table2[[#This Row],[Building]])-9)</f>
        <v>Us Customhouse</v>
      </c>
    </row>
    <row r="789" spans="1:8" ht="22.5" x14ac:dyDescent="0.25">
      <c r="A789" s="39" t="s">
        <v>1246</v>
      </c>
      <c r="B789" s="31">
        <v>985686.47</v>
      </c>
      <c r="C789" s="31">
        <v>1220058.28</v>
      </c>
      <c r="D789" s="31">
        <v>687419.51</v>
      </c>
      <c r="E789" s="30">
        <v>2893164.26</v>
      </c>
      <c r="F789" t="str">
        <f>LEFT(Table2[[#This Row],[Building]],2)</f>
        <v>PA</v>
      </c>
      <c r="G789" t="str">
        <f>LEFT(Table2[[#This Row],[Building]],8)</f>
        <v>PA0158ZZ</v>
      </c>
      <c r="H789" t="str">
        <f>RIGHT(Table2[[#This Row],[Building]],LEN(Table2[[#This Row],[Building]])-9)</f>
        <v>United States Courth</v>
      </c>
    </row>
    <row r="790" spans="1:8" ht="22.5" x14ac:dyDescent="0.25">
      <c r="A790" s="39" t="s">
        <v>1247</v>
      </c>
      <c r="B790" s="29">
        <v>257662.56</v>
      </c>
      <c r="C790" s="29">
        <v>210046.28</v>
      </c>
      <c r="D790" s="29">
        <v>236328.82</v>
      </c>
      <c r="E790" s="30">
        <v>704037.66</v>
      </c>
      <c r="F790" t="str">
        <f>LEFT(Table2[[#This Row],[Building]],2)</f>
        <v>PA</v>
      </c>
      <c r="G790" t="str">
        <f>LEFT(Table2[[#This Row],[Building]],8)</f>
        <v>PA0182NC</v>
      </c>
      <c r="H790" t="str">
        <f>RIGHT(Table2[[#This Row],[Building]],LEN(Table2[[#This Row],[Building]])-9)</f>
        <v>William J Nealon Fb-</v>
      </c>
    </row>
    <row r="791" spans="1:8" ht="22.5" x14ac:dyDescent="0.25">
      <c r="A791" s="39" t="s">
        <v>1248</v>
      </c>
      <c r="B791" s="31">
        <v>1150695.6100000001</v>
      </c>
      <c r="C791" s="31">
        <v>1024580.62</v>
      </c>
      <c r="D791" s="31">
        <v>778436.56</v>
      </c>
      <c r="E791" s="30">
        <v>2953712.79</v>
      </c>
      <c r="F791" t="str">
        <f>LEFT(Table2[[#This Row],[Building]],2)</f>
        <v>PA</v>
      </c>
      <c r="G791" t="str">
        <f>LEFT(Table2[[#This Row],[Building]],8)</f>
        <v>PA0233ZZ</v>
      </c>
      <c r="H791" t="str">
        <f>RIGHT(Table2[[#This Row],[Building]],LEN(Table2[[#This Row],[Building]])-9)</f>
        <v>William S. Moorhead</v>
      </c>
    </row>
    <row r="792" spans="1:8" ht="22.5" x14ac:dyDescent="0.25">
      <c r="A792" s="39" t="s">
        <v>1249</v>
      </c>
      <c r="B792" s="29">
        <v>145614.78</v>
      </c>
      <c r="C792" s="29">
        <v>129577.56</v>
      </c>
      <c r="D792" s="29">
        <v>102837.34</v>
      </c>
      <c r="E792" s="30">
        <v>378029.68</v>
      </c>
      <c r="F792" t="str">
        <f>LEFT(Table2[[#This Row],[Building]],2)</f>
        <v>PA</v>
      </c>
      <c r="G792" t="str">
        <f>LEFT(Table2[[#This Row],[Building]],8)</f>
        <v>PA0235ZZ</v>
      </c>
      <c r="H792" t="str">
        <f>RIGHT(Table2[[#This Row],[Building]],LEN(Table2[[#This Row],[Building]])-9)</f>
        <v>Herman T. Schneebeli</v>
      </c>
    </row>
    <row r="793" spans="1:8" x14ac:dyDescent="0.25">
      <c r="A793" s="39" t="s">
        <v>1250</v>
      </c>
      <c r="B793" s="31">
        <v>41340.959999999999</v>
      </c>
      <c r="C793" s="31">
        <v>14804.51</v>
      </c>
      <c r="D793" s="31">
        <v>6468.01</v>
      </c>
      <c r="E793" s="30">
        <v>62613.48</v>
      </c>
      <c r="F793" t="str">
        <f>LEFT(Table2[[#This Row],[Building]],2)</f>
        <v>PA</v>
      </c>
      <c r="G793" t="str">
        <f>LEFT(Table2[[#This Row],[Building]],8)</f>
        <v>PA0260ZZ</v>
      </c>
      <c r="H793" t="str">
        <f>RIGHT(Table2[[#This Row],[Building]],LEN(Table2[[#This Row],[Building]])-9)</f>
        <v>Ssa Trust Fund Bldg.</v>
      </c>
    </row>
    <row r="794" spans="1:8" ht="22.5" x14ac:dyDescent="0.25">
      <c r="A794" s="39" t="s">
        <v>1251</v>
      </c>
      <c r="B794" s="29">
        <v>9825.66</v>
      </c>
      <c r="C794" s="29">
        <v>14964</v>
      </c>
      <c r="D794" s="29">
        <v>16669.349999999999</v>
      </c>
      <c r="E794" s="30">
        <v>41459.01</v>
      </c>
      <c r="F794" t="str">
        <f>LEFT(Table2[[#This Row],[Building]],2)</f>
        <v>PA</v>
      </c>
      <c r="G794" t="str">
        <f>LEFT(Table2[[#This Row],[Building]],8)</f>
        <v>PA0261ZZ</v>
      </c>
      <c r="H794" t="str">
        <f>RIGHT(Table2[[#This Row],[Building]],LEN(Table2[[#This Row],[Building]])-9)</f>
        <v>122 W 3rd St Buildin</v>
      </c>
    </row>
    <row r="795" spans="1:8" ht="22.5" x14ac:dyDescent="0.25">
      <c r="A795" s="39" t="s">
        <v>1252</v>
      </c>
      <c r="B795" s="31">
        <v>425022.88</v>
      </c>
      <c r="C795" s="31">
        <v>562946.41</v>
      </c>
      <c r="D795" s="31">
        <v>275579</v>
      </c>
      <c r="E795" s="30">
        <v>1263548.29</v>
      </c>
      <c r="F795" t="str">
        <f>LEFT(Table2[[#This Row],[Building]],2)</f>
        <v>PA</v>
      </c>
      <c r="G795" t="str">
        <f>LEFT(Table2[[#This Row],[Building]],8)</f>
        <v>PA0267ZZ</v>
      </c>
      <c r="H795" t="str">
        <f>RIGHT(Table2[[#This Row],[Building]],LEN(Table2[[#This Row],[Building]])-9)</f>
        <v>Ronald Reagan Federa</v>
      </c>
    </row>
    <row r="796" spans="1:8" x14ac:dyDescent="0.25">
      <c r="A796" s="39" t="s">
        <v>1253</v>
      </c>
      <c r="B796" s="29">
        <v>44000.21</v>
      </c>
      <c r="C796" s="29">
        <v>12883.33</v>
      </c>
      <c r="D796" s="29">
        <v>13646.22</v>
      </c>
      <c r="E796" s="30">
        <v>70529.759999999995</v>
      </c>
      <c r="F796" t="str">
        <f>LEFT(Table2[[#This Row],[Building]],2)</f>
        <v>PA</v>
      </c>
      <c r="G796" t="str">
        <f>LEFT(Table2[[#This Row],[Building]],8)</f>
        <v>PA0276ZZ</v>
      </c>
      <c r="H796" t="str">
        <f>RIGHT(Table2[[#This Row],[Building]],LEN(Table2[[#This Row],[Building]])-9)</f>
        <v>Ssa Trust Fund Bldg.</v>
      </c>
    </row>
    <row r="797" spans="1:8" x14ac:dyDescent="0.25">
      <c r="A797" s="39" t="s">
        <v>1254</v>
      </c>
      <c r="B797" s="31">
        <v>1285747.3400000001</v>
      </c>
      <c r="C797" s="31">
        <v>1277097.06</v>
      </c>
      <c r="D797" s="31">
        <v>927313.22</v>
      </c>
      <c r="E797" s="30">
        <v>3490157.62</v>
      </c>
      <c r="F797" t="str">
        <f>LEFT(Table2[[#This Row],[Building]],2)</f>
        <v>PA</v>
      </c>
      <c r="G797" t="str">
        <f>LEFT(Table2[[#This Row],[Building]],8)</f>
        <v>PA0277BG</v>
      </c>
      <c r="H797" t="str">
        <f>RIGHT(Table2[[#This Row],[Building]],LEN(Table2[[#This Row],[Building]])-9)</f>
        <v>Wm J Green Jr Fb</v>
      </c>
    </row>
    <row r="798" spans="1:8" ht="22.5" x14ac:dyDescent="0.25">
      <c r="A798" s="39" t="s">
        <v>1255</v>
      </c>
      <c r="B798" s="29">
        <v>1263043.68</v>
      </c>
      <c r="C798" s="29">
        <v>807733.46</v>
      </c>
      <c r="D798" s="29">
        <v>673990.07</v>
      </c>
      <c r="E798" s="30">
        <v>2744767.21</v>
      </c>
      <c r="F798" t="str">
        <f>LEFT(Table2[[#This Row],[Building]],2)</f>
        <v>PA</v>
      </c>
      <c r="G798" t="str">
        <f>LEFT(Table2[[#This Row],[Building]],8)</f>
        <v>PA0278BG</v>
      </c>
      <c r="H798" t="str">
        <f>RIGHT(Table2[[#This Row],[Building]],LEN(Table2[[#This Row],[Building]])-9)</f>
        <v>James A Byrne Us Cou</v>
      </c>
    </row>
    <row r="799" spans="1:8" x14ac:dyDescent="0.25">
      <c r="A799" s="39" t="s">
        <v>1256</v>
      </c>
      <c r="B799" s="31">
        <v>35168.559999999998</v>
      </c>
      <c r="C799" s="31">
        <v>23119.99</v>
      </c>
      <c r="D799" s="31">
        <v>19626.89</v>
      </c>
      <c r="E799" s="30">
        <v>77915.44</v>
      </c>
      <c r="F799" t="str">
        <f>LEFT(Table2[[#This Row],[Building]],2)</f>
        <v>PA</v>
      </c>
      <c r="G799" t="str">
        <f>LEFT(Table2[[#This Row],[Building]],8)</f>
        <v>PA0280ZZ</v>
      </c>
      <c r="H799" t="str">
        <f>RIGHT(Table2[[#This Row],[Building]],LEN(Table2[[#This Row],[Building]])-9)</f>
        <v>6117 Penn Circle</v>
      </c>
    </row>
    <row r="800" spans="1:8" ht="22.5" x14ac:dyDescent="0.25">
      <c r="A800" s="39" t="s">
        <v>1257</v>
      </c>
      <c r="B800" s="29">
        <v>1056632.47</v>
      </c>
      <c r="C800" s="29">
        <v>468283.19</v>
      </c>
      <c r="D800" s="29">
        <v>545345.49</v>
      </c>
      <c r="E800" s="30">
        <v>2070261.15</v>
      </c>
      <c r="F800" t="str">
        <f>LEFT(Table2[[#This Row],[Building]],2)</f>
        <v>PA</v>
      </c>
      <c r="G800" t="str">
        <f>LEFT(Table2[[#This Row],[Building]],8)</f>
        <v>PA0515AT</v>
      </c>
      <c r="H800" t="str">
        <f>RIGHT(Table2[[#This Row],[Building]],LEN(Table2[[#This Row],[Building]])-9)</f>
        <v>Veterans Administrat</v>
      </c>
    </row>
    <row r="801" spans="1:8" ht="22.5" x14ac:dyDescent="0.25">
      <c r="A801" s="39" t="s">
        <v>1258</v>
      </c>
      <c r="B801" s="31">
        <v>170546.59</v>
      </c>
      <c r="C801" s="31">
        <v>120787.61</v>
      </c>
      <c r="D801" s="31">
        <v>109134.73</v>
      </c>
      <c r="E801" s="30">
        <v>400468.93</v>
      </c>
      <c r="F801" t="str">
        <f>LEFT(Table2[[#This Row],[Building]],2)</f>
        <v>PA</v>
      </c>
      <c r="G801" t="str">
        <f>LEFT(Table2[[#This Row],[Building]],8)</f>
        <v>PA0588ZZ</v>
      </c>
      <c r="H801" t="str">
        <f>RIGHT(Table2[[#This Row],[Building]],LEN(Table2[[#This Row],[Building]])-9)</f>
        <v>Edward N Cahn Fb-Us</v>
      </c>
    </row>
    <row r="802" spans="1:8" ht="22.5" x14ac:dyDescent="0.25">
      <c r="A802" s="39" t="s">
        <v>1259</v>
      </c>
      <c r="B802" s="29">
        <v>139233.03</v>
      </c>
      <c r="C802" s="29">
        <v>91593.47</v>
      </c>
      <c r="D802" s="29">
        <v>118764.64</v>
      </c>
      <c r="E802" s="30">
        <v>349591.14</v>
      </c>
      <c r="F802" t="str">
        <f>LEFT(Table2[[#This Row],[Building]],2)</f>
        <v>PA</v>
      </c>
      <c r="G802" t="str">
        <f>LEFT(Table2[[#This Row],[Building]],8)</f>
        <v>PA0599NC</v>
      </c>
      <c r="H802" t="str">
        <f>RIGHT(Table2[[#This Row],[Building]],LEN(Table2[[#This Row],[Building]])-9)</f>
        <v>William J Nealon Us</v>
      </c>
    </row>
    <row r="803" spans="1:8" ht="22.5" x14ac:dyDescent="0.25">
      <c r="A803" s="39" t="s">
        <v>1260</v>
      </c>
      <c r="B803" s="31">
        <v>81674.009999999995</v>
      </c>
      <c r="C803" s="31">
        <v>79144.490000000005</v>
      </c>
      <c r="D803" s="31">
        <v>97139.12</v>
      </c>
      <c r="E803" s="30">
        <v>257957.62</v>
      </c>
      <c r="F803" t="str">
        <f>LEFT(Table2[[#This Row],[Building]],2)</f>
        <v>PA</v>
      </c>
      <c r="G803" t="str">
        <f>LEFT(Table2[[#This Row],[Building]],8)</f>
        <v>PA0600ZZ</v>
      </c>
      <c r="H803" t="str">
        <f>RIGHT(Table2[[#This Row],[Building]],LEN(Table2[[#This Row],[Building]])-9)</f>
        <v>New Construction Ann</v>
      </c>
    </row>
    <row r="804" spans="1:8" x14ac:dyDescent="0.25">
      <c r="A804" s="39" t="s">
        <v>1261</v>
      </c>
      <c r="B804" s="29">
        <v>42623.3</v>
      </c>
      <c r="C804" s="29">
        <v>40248.76</v>
      </c>
      <c r="D804" s="29">
        <v>54321.22</v>
      </c>
      <c r="E804" s="30">
        <v>137193.28</v>
      </c>
      <c r="F804" t="str">
        <f>LEFT(Table2[[#This Row],[Building]],2)</f>
        <v>PA</v>
      </c>
      <c r="G804" t="str">
        <f>LEFT(Table2[[#This Row],[Building]],8)</f>
        <v>PA0644ZZ</v>
      </c>
      <c r="H804" t="str">
        <f>RIGHT(Table2[[#This Row],[Building]],LEN(Table2[[#This Row],[Building]])-9)</f>
        <v>Erie Library</v>
      </c>
    </row>
    <row r="805" spans="1:8" x14ac:dyDescent="0.25">
      <c r="A805" s="39" t="s">
        <v>1262</v>
      </c>
      <c r="B805" s="31">
        <v>4722.95</v>
      </c>
      <c r="C805" s="31">
        <v>7539.78</v>
      </c>
      <c r="D805" s="31">
        <v>6292.32</v>
      </c>
      <c r="E805" s="30">
        <v>18555.05</v>
      </c>
      <c r="F805" t="str">
        <f>LEFT(Table2[[#This Row],[Building]],2)</f>
        <v>PA</v>
      </c>
      <c r="G805" t="str">
        <f>LEFT(Table2[[#This Row],[Building]],8)</f>
        <v>PA0776ZZ</v>
      </c>
      <c r="H805" t="str">
        <f>RIGHT(Table2[[#This Row],[Building]],LEN(Table2[[#This Row],[Building]])-9)</f>
        <v>The Baker Building</v>
      </c>
    </row>
    <row r="806" spans="1:8" x14ac:dyDescent="0.25">
      <c r="A806" s="39" t="s">
        <v>1264</v>
      </c>
      <c r="B806" s="31">
        <v>395904.94</v>
      </c>
      <c r="C806" s="31">
        <v>325055.28000000003</v>
      </c>
      <c r="D806" s="31">
        <v>559947.72</v>
      </c>
      <c r="E806" s="30">
        <v>1280907.94</v>
      </c>
      <c r="F806" t="str">
        <f>LEFT(Table2[[#This Row],[Building]],2)</f>
        <v>PR</v>
      </c>
      <c r="G806" t="str">
        <f>LEFT(Table2[[#This Row],[Building]],8)</f>
        <v>PR0003ZZ</v>
      </c>
      <c r="H806" t="str">
        <f>RIGHT(Table2[[#This Row],[Building]],LEN(Table2[[#This Row],[Building]])-9)</f>
        <v>Jose V. Toledo Fb &amp;</v>
      </c>
    </row>
    <row r="807" spans="1:8" ht="22.5" x14ac:dyDescent="0.25">
      <c r="A807" s="39" t="s">
        <v>1265</v>
      </c>
      <c r="B807" s="29">
        <v>988151.28</v>
      </c>
      <c r="C807" s="29">
        <v>2441816.5</v>
      </c>
      <c r="D807" s="29">
        <v>844472.75</v>
      </c>
      <c r="E807" s="30">
        <v>4274440.53</v>
      </c>
      <c r="F807" t="str">
        <f>LEFT(Table2[[#This Row],[Building]],2)</f>
        <v>PR</v>
      </c>
      <c r="G807" t="str">
        <f>LEFT(Table2[[#This Row],[Building]],8)</f>
        <v>PR0017ZZ</v>
      </c>
      <c r="H807" t="str">
        <f>RIGHT(Table2[[#This Row],[Building]],LEN(Table2[[#This Row],[Building]])-9)</f>
        <v>Degetau Fb &amp; Ruiz-Na</v>
      </c>
    </row>
    <row r="808" spans="1:8" ht="22.5" x14ac:dyDescent="0.25">
      <c r="A808" s="39" t="s">
        <v>1266</v>
      </c>
      <c r="B808" s="31">
        <v>25794.46</v>
      </c>
      <c r="C808" s="31">
        <v>99931.33</v>
      </c>
      <c r="D808" s="31">
        <v>6935.52</v>
      </c>
      <c r="E808" s="30">
        <v>132661.31</v>
      </c>
      <c r="F808" t="str">
        <f>LEFT(Table2[[#This Row],[Building]],2)</f>
        <v>PR</v>
      </c>
      <c r="G808" t="str">
        <f>LEFT(Table2[[#This Row],[Building]],8)</f>
        <v>PR0023ZZ</v>
      </c>
      <c r="H808" t="str">
        <f>RIGHT(Table2[[#This Row],[Building]],LEN(Table2[[#This Row],[Building]])-9)</f>
        <v>Degetau Child Care C</v>
      </c>
    </row>
    <row r="809" spans="1:8" ht="22.5" x14ac:dyDescent="0.25">
      <c r="A809" s="39" t="s">
        <v>1268</v>
      </c>
      <c r="B809" s="31">
        <v>192878.91</v>
      </c>
      <c r="C809" s="31">
        <v>445141.56</v>
      </c>
      <c r="D809" s="31">
        <v>454597</v>
      </c>
      <c r="E809" s="30">
        <v>1092617.47</v>
      </c>
      <c r="F809" t="str">
        <f>LEFT(Table2[[#This Row],[Building]],2)</f>
        <v>PR</v>
      </c>
      <c r="G809" t="str">
        <f>LEFT(Table2[[#This Row],[Building]],8)</f>
        <v>PR0521FP</v>
      </c>
      <c r="H809" t="str">
        <f>RIGHT(Table2[[#This Row],[Building]],LEN(Table2[[#This Row],[Building]])-9)</f>
        <v>Gsa Center--Guaynabo</v>
      </c>
    </row>
    <row r="810" spans="1:8" x14ac:dyDescent="0.25">
      <c r="A810" s="39" t="s">
        <v>1269</v>
      </c>
      <c r="B810" s="29">
        <v>213205.73</v>
      </c>
      <c r="C810" s="29">
        <v>221636.06</v>
      </c>
      <c r="D810" s="29">
        <v>220980.55</v>
      </c>
      <c r="E810" s="30">
        <v>655822.34</v>
      </c>
      <c r="F810" t="str">
        <f>LEFT(Table2[[#This Row],[Building]],2)</f>
        <v>RI</v>
      </c>
      <c r="G810" t="str">
        <f>LEFT(Table2[[#This Row],[Building]],8)</f>
        <v>RI0009ZZ</v>
      </c>
      <c r="H810" t="str">
        <f>RIGHT(Table2[[#This Row],[Building]],LEN(Table2[[#This Row],[Building]])-9)</f>
        <v>Federal Bldg Usct</v>
      </c>
    </row>
    <row r="811" spans="1:8" x14ac:dyDescent="0.25">
      <c r="A811" s="39" t="s">
        <v>1270</v>
      </c>
      <c r="B811" s="31">
        <v>181398.09</v>
      </c>
      <c r="C811" s="31">
        <v>149093.72</v>
      </c>
      <c r="D811" s="31">
        <v>206389.41</v>
      </c>
      <c r="E811" s="30">
        <v>536881.22</v>
      </c>
      <c r="F811" t="str">
        <f>LEFT(Table2[[#This Row],[Building]],2)</f>
        <v>RI</v>
      </c>
      <c r="G811" t="str">
        <f>LEFT(Table2[[#This Row],[Building]],8)</f>
        <v>RI0010ZZ</v>
      </c>
      <c r="H811" t="str">
        <f>RIGHT(Table2[[#This Row],[Building]],LEN(Table2[[#This Row],[Building]])-9)</f>
        <v>J O Pastore Fb Uspo</v>
      </c>
    </row>
    <row r="812" spans="1:8" ht="22.5" x14ac:dyDescent="0.25">
      <c r="A812" s="39" t="s">
        <v>1271</v>
      </c>
      <c r="B812" s="29">
        <v>25021.06</v>
      </c>
      <c r="C812" s="29">
        <v>18146.919999999998</v>
      </c>
      <c r="D812" s="29">
        <v>82223.77</v>
      </c>
      <c r="E812" s="30">
        <v>125391.75</v>
      </c>
      <c r="F812" t="str">
        <f>LEFT(Table2[[#This Row],[Building]],2)</f>
        <v>SC</v>
      </c>
      <c r="G812" t="str">
        <f>LEFT(Table2[[#This Row],[Building]],8)</f>
        <v>SC0002ZZ</v>
      </c>
      <c r="H812" t="str">
        <f>RIGHT(Table2[[#This Row],[Building]],LEN(Table2[[#This Row],[Building]])-9)</f>
        <v>Charles E. Simon Usc</v>
      </c>
    </row>
    <row r="813" spans="1:8" ht="22.5" x14ac:dyDescent="0.25">
      <c r="A813" s="39" t="s">
        <v>1272</v>
      </c>
      <c r="B813" s="31">
        <v>75002.78</v>
      </c>
      <c r="C813" s="31">
        <v>22741.63</v>
      </c>
      <c r="D813" s="31">
        <v>73483.53</v>
      </c>
      <c r="E813" s="30">
        <v>171227.94</v>
      </c>
      <c r="F813" t="str">
        <f>LEFT(Table2[[#This Row],[Building]],2)</f>
        <v>SC</v>
      </c>
      <c r="G813" t="str">
        <f>LEFT(Table2[[#This Row],[Building]],8)</f>
        <v>SC0004ZZ</v>
      </c>
      <c r="H813" t="str">
        <f>RIGHT(Table2[[#This Row],[Building]],LEN(Table2[[#This Row],[Building]])-9)</f>
        <v>G. Ross Anderson Jr.</v>
      </c>
    </row>
    <row r="814" spans="1:8" x14ac:dyDescent="0.25">
      <c r="A814" s="39" t="s">
        <v>1273</v>
      </c>
      <c r="B814" s="29">
        <v>409772.49</v>
      </c>
      <c r="C814" s="29">
        <v>510363.61</v>
      </c>
      <c r="D814" s="29">
        <v>456015.22</v>
      </c>
      <c r="E814" s="30">
        <v>1376151.32</v>
      </c>
      <c r="F814" t="str">
        <f>LEFT(Table2[[#This Row],[Building]],2)</f>
        <v>SC</v>
      </c>
      <c r="G814" t="str">
        <f>LEFT(Table2[[#This Row],[Building]],8)</f>
        <v>SC0010ZZ</v>
      </c>
      <c r="H814" t="str">
        <f>RIGHT(Table2[[#This Row],[Building]],LEN(Table2[[#This Row],[Building]])-9)</f>
        <v>Matthew Perry Usct</v>
      </c>
    </row>
    <row r="815" spans="1:8" x14ac:dyDescent="0.25">
      <c r="A815" s="39" t="s">
        <v>1274</v>
      </c>
      <c r="B815" s="31">
        <v>107746.83</v>
      </c>
      <c r="C815" s="31">
        <v>91775.06</v>
      </c>
      <c r="D815" s="31">
        <v>53734.07</v>
      </c>
      <c r="E815" s="30">
        <v>253255.96</v>
      </c>
      <c r="F815" t="str">
        <f>LEFT(Table2[[#This Row],[Building]],2)</f>
        <v>SC</v>
      </c>
      <c r="G815" t="str">
        <f>LEFT(Table2[[#This Row],[Building]],8)</f>
        <v>SC0011ZZ</v>
      </c>
      <c r="H815" t="str">
        <f>RIGHT(Table2[[#This Row],[Building]],LEN(Table2[[#This Row],[Building]])-9)</f>
        <v>U.S. Customhouse</v>
      </c>
    </row>
    <row r="816" spans="1:8" x14ac:dyDescent="0.25">
      <c r="A816" s="39" t="s">
        <v>1275</v>
      </c>
      <c r="B816" s="29">
        <v>106293.18</v>
      </c>
      <c r="C816" s="29">
        <v>160603</v>
      </c>
      <c r="D816" s="29">
        <v>68073.179999999993</v>
      </c>
      <c r="E816" s="30">
        <v>334969.36</v>
      </c>
      <c r="F816" t="str">
        <f>LEFT(Table2[[#This Row],[Building]],2)</f>
        <v>SC</v>
      </c>
      <c r="G816" t="str">
        <f>LEFT(Table2[[#This Row],[Building]],8)</f>
        <v>SC0012AC</v>
      </c>
      <c r="H816" t="str">
        <f>RIGHT(Table2[[#This Row],[Building]],LEN(Table2[[#This Row],[Building]])-9)</f>
        <v>Po-Ct</v>
      </c>
    </row>
    <row r="817" spans="1:8" x14ac:dyDescent="0.25">
      <c r="A817" s="39" t="s">
        <v>1276</v>
      </c>
      <c r="B817" s="31">
        <v>48178.87</v>
      </c>
      <c r="C817" s="31">
        <v>29466.95</v>
      </c>
      <c r="D817" s="31">
        <v>181450.38</v>
      </c>
      <c r="E817" s="30">
        <v>259096.2</v>
      </c>
      <c r="F817" t="str">
        <f>LEFT(Table2[[#This Row],[Building]],2)</f>
        <v>SC</v>
      </c>
      <c r="G817" t="str">
        <f>LEFT(Table2[[#This Row],[Building]],8)</f>
        <v>SC0013ZZ</v>
      </c>
      <c r="H817" t="str">
        <f>RIGHT(Table2[[#This Row],[Building]],LEN(Table2[[#This Row],[Building]])-9)</f>
        <v>Matthew J. Perry, Jr</v>
      </c>
    </row>
    <row r="818" spans="1:8" x14ac:dyDescent="0.25">
      <c r="A818" s="39" t="s">
        <v>1277</v>
      </c>
      <c r="B818" s="29">
        <v>118929.3</v>
      </c>
      <c r="C818" s="29">
        <v>124572.25</v>
      </c>
      <c r="D818" s="29">
        <v>199229.26</v>
      </c>
      <c r="E818" s="30">
        <v>442730.81</v>
      </c>
      <c r="F818" t="str">
        <f>LEFT(Table2[[#This Row],[Building]],2)</f>
        <v>SC</v>
      </c>
      <c r="G818" t="str">
        <f>LEFT(Table2[[#This Row],[Building]],8)</f>
        <v>SC0018ZZ</v>
      </c>
      <c r="H818" t="str">
        <f>RIGHT(Table2[[#This Row],[Building]],LEN(Table2[[#This Row],[Building]])-9)</f>
        <v>J. Bratton Davis Us</v>
      </c>
    </row>
    <row r="819" spans="1:8" ht="22.5" x14ac:dyDescent="0.25">
      <c r="A819" s="39" t="s">
        <v>1279</v>
      </c>
      <c r="B819" s="31">
        <v>153275.84</v>
      </c>
      <c r="C819" s="31">
        <v>100463.15</v>
      </c>
      <c r="D819" s="31">
        <v>138281.45000000001</v>
      </c>
      <c r="E819" s="30">
        <v>392020.44</v>
      </c>
      <c r="F819" t="str">
        <f>LEFT(Table2[[#This Row],[Building]],2)</f>
        <v>SC</v>
      </c>
      <c r="G819" t="str">
        <f>LEFT(Table2[[#This Row],[Building]],8)</f>
        <v>SC0028ZZ</v>
      </c>
      <c r="H819" t="str">
        <f>RIGHT(Table2[[#This Row],[Building]],LEN(Table2[[#This Row],[Building]])-9)</f>
        <v>C.F.Haynsworth Fbct</v>
      </c>
    </row>
    <row r="820" spans="1:8" ht="22.5" x14ac:dyDescent="0.25">
      <c r="A820" s="39" t="s">
        <v>1280</v>
      </c>
      <c r="B820" s="29">
        <v>101766.86</v>
      </c>
      <c r="C820" s="29">
        <v>71994.22</v>
      </c>
      <c r="D820" s="29">
        <v>141037.91</v>
      </c>
      <c r="E820" s="30">
        <v>314798.99</v>
      </c>
      <c r="F820" t="str">
        <f>LEFT(Table2[[#This Row],[Building]],2)</f>
        <v>SC</v>
      </c>
      <c r="G820" t="str">
        <f>LEFT(Table2[[#This Row],[Building]],8)</f>
        <v>SC0041ZZ</v>
      </c>
      <c r="H820" t="str">
        <f>RIGHT(Table2[[#This Row],[Building]],LEN(Table2[[#This Row],[Building]])-9)</f>
        <v>Donald Stuart Russel</v>
      </c>
    </row>
    <row r="821" spans="1:8" x14ac:dyDescent="0.25">
      <c r="A821" s="39" t="s">
        <v>1281</v>
      </c>
      <c r="B821" s="31">
        <v>240098.38</v>
      </c>
      <c r="C821" s="31">
        <v>143258.88</v>
      </c>
      <c r="D821" s="31">
        <v>187465.26</v>
      </c>
      <c r="E821" s="30">
        <v>570822.52</v>
      </c>
      <c r="F821" t="str">
        <f>LEFT(Table2[[#This Row],[Building]],2)</f>
        <v>SC</v>
      </c>
      <c r="G821" t="str">
        <f>LEFT(Table2[[#This Row],[Building]],8)</f>
        <v>SC0058ZZ</v>
      </c>
      <c r="H821" t="str">
        <f>RIGHT(Table2[[#This Row],[Building]],LEN(Table2[[#This Row],[Building]])-9)</f>
        <v>J.L. Mcmillan Fb-Ct</v>
      </c>
    </row>
    <row r="822" spans="1:8" x14ac:dyDescent="0.25">
      <c r="A822" s="39" t="s">
        <v>1282</v>
      </c>
      <c r="B822" s="29">
        <v>640202.99</v>
      </c>
      <c r="C822" s="29">
        <v>583399.25</v>
      </c>
      <c r="D822" s="29">
        <v>486603.09</v>
      </c>
      <c r="E822" s="30">
        <v>1710205.33</v>
      </c>
      <c r="F822" t="str">
        <f>LEFT(Table2[[#This Row],[Building]],2)</f>
        <v>SC</v>
      </c>
      <c r="G822" t="str">
        <f>LEFT(Table2[[#This Row],[Building]],8)</f>
        <v>SC0068AA</v>
      </c>
      <c r="H822" t="str">
        <f>RIGHT(Table2[[#This Row],[Building]],LEN(Table2[[#This Row],[Building]])-9)</f>
        <v>Strom Thurmond Fb</v>
      </c>
    </row>
    <row r="823" spans="1:8" ht="22.5" x14ac:dyDescent="0.25">
      <c r="A823" s="39" t="s">
        <v>1283</v>
      </c>
      <c r="B823" s="31">
        <v>82736.789999999994</v>
      </c>
      <c r="C823" s="34" t="s">
        <v>1284</v>
      </c>
      <c r="D823" s="31">
        <v>163777.37</v>
      </c>
      <c r="E823" s="30">
        <v>242639.51</v>
      </c>
      <c r="F823" t="str">
        <f>LEFT(Table2[[#This Row],[Building]],2)</f>
        <v>SC</v>
      </c>
      <c r="G823" t="str">
        <f>LEFT(Table2[[#This Row],[Building]],8)</f>
        <v>SC0069AA</v>
      </c>
      <c r="H823" t="str">
        <f>RIGHT(Table2[[#This Row],[Building]],LEN(Table2[[#This Row],[Building]])-9)</f>
        <v>Strom Thurmond Cths</v>
      </c>
    </row>
    <row r="824" spans="1:8" x14ac:dyDescent="0.25">
      <c r="A824" s="39" t="s">
        <v>1285</v>
      </c>
      <c r="B824" s="29">
        <v>102748</v>
      </c>
      <c r="C824" s="29">
        <v>11777.6</v>
      </c>
      <c r="D824" s="29">
        <v>66921.679999999993</v>
      </c>
      <c r="E824" s="30">
        <v>181447.28</v>
      </c>
      <c r="F824" t="str">
        <f>LEFT(Table2[[#This Row],[Building]],2)</f>
        <v>SC</v>
      </c>
      <c r="G824" t="str">
        <f>LEFT(Table2[[#This Row],[Building]],8)</f>
        <v>SC0076AC</v>
      </c>
      <c r="H824" t="str">
        <f>RIGHT(Table2[[#This Row],[Building]],LEN(Table2[[#This Row],[Building]])-9)</f>
        <v>Hollings Jud Ctr</v>
      </c>
    </row>
    <row r="825" spans="1:8" x14ac:dyDescent="0.25">
      <c r="A825" s="39" t="s">
        <v>1286</v>
      </c>
      <c r="B825" s="31">
        <v>169391.23</v>
      </c>
      <c r="C825" s="31">
        <v>79433.94</v>
      </c>
      <c r="D825" s="31">
        <v>224480.97</v>
      </c>
      <c r="E825" s="30">
        <v>473306.14</v>
      </c>
      <c r="F825" t="str">
        <f>LEFT(Table2[[#This Row],[Building]],2)</f>
        <v>SD</v>
      </c>
      <c r="G825" t="str">
        <f>LEFT(Table2[[#This Row],[Building]],8)</f>
        <v>SD0021ZZ</v>
      </c>
      <c r="H825" t="str">
        <f>RIGHT(Table2[[#This Row],[Building]],LEN(Table2[[#This Row],[Building]])-9)</f>
        <v>U.S. Courthouse</v>
      </c>
    </row>
    <row r="826" spans="1:8" x14ac:dyDescent="0.25">
      <c r="A826" s="39" t="s">
        <v>1287</v>
      </c>
      <c r="B826" s="29">
        <v>164694.46</v>
      </c>
      <c r="C826" s="29">
        <v>60735.64</v>
      </c>
      <c r="D826" s="29">
        <v>189951.62</v>
      </c>
      <c r="E826" s="30">
        <v>415381.72</v>
      </c>
      <c r="F826" t="str">
        <f>LEFT(Table2[[#This Row],[Building]],2)</f>
        <v>SD</v>
      </c>
      <c r="G826" t="str">
        <f>LEFT(Table2[[#This Row],[Building]],8)</f>
        <v>SD0034ZZ</v>
      </c>
      <c r="H826" t="str">
        <f>RIGHT(Table2[[#This Row],[Building]],LEN(Table2[[#This Row],[Building]])-9)</f>
        <v>Fb-Po-Ct</v>
      </c>
    </row>
    <row r="827" spans="1:8" ht="22.5" x14ac:dyDescent="0.25">
      <c r="A827" s="39" t="s">
        <v>1288</v>
      </c>
      <c r="B827" s="31">
        <v>134383.53</v>
      </c>
      <c r="C827" s="31">
        <v>96317.95</v>
      </c>
      <c r="D827" s="31">
        <v>167015.39000000001</v>
      </c>
      <c r="E827" s="30">
        <v>397716.87</v>
      </c>
      <c r="F827" t="str">
        <f>LEFT(Table2[[#This Row],[Building]],2)</f>
        <v>SD</v>
      </c>
      <c r="G827" t="str">
        <f>LEFT(Table2[[#This Row],[Building]],8)</f>
        <v>SD0035ZZ</v>
      </c>
      <c r="H827" t="str">
        <f>RIGHT(Table2[[#This Row],[Building]],LEN(Table2[[#This Row],[Building]])-9)</f>
        <v>Andrew W. Bogue Fb/C</v>
      </c>
    </row>
    <row r="828" spans="1:8" x14ac:dyDescent="0.25">
      <c r="A828" s="39" t="s">
        <v>1289</v>
      </c>
      <c r="B828" s="29">
        <v>243259.04</v>
      </c>
      <c r="C828" s="29">
        <v>86808.97</v>
      </c>
      <c r="D828" s="29">
        <v>236878.97</v>
      </c>
      <c r="E828" s="30">
        <v>566946.98</v>
      </c>
      <c r="F828" t="str">
        <f>LEFT(Table2[[#This Row],[Building]],2)</f>
        <v>SD</v>
      </c>
      <c r="G828" t="str">
        <f>LEFT(Table2[[#This Row],[Building]],8)</f>
        <v>SD0038ZZ</v>
      </c>
      <c r="H828" t="str">
        <f>RIGHT(Table2[[#This Row],[Building]],LEN(Table2[[#This Row],[Building]])-9)</f>
        <v>Fb</v>
      </c>
    </row>
    <row r="829" spans="1:8" x14ac:dyDescent="0.25">
      <c r="A829" s="39" t="s">
        <v>1290</v>
      </c>
      <c r="B829" s="31">
        <v>259276.17</v>
      </c>
      <c r="C829" s="31">
        <v>154053.81</v>
      </c>
      <c r="D829" s="31">
        <v>278456.09999999998</v>
      </c>
      <c r="E829" s="30">
        <v>691786.08</v>
      </c>
      <c r="F829" t="str">
        <f>LEFT(Table2[[#This Row],[Building]],2)</f>
        <v>SD</v>
      </c>
      <c r="G829" t="str">
        <f>LEFT(Table2[[#This Row],[Building]],8)</f>
        <v>SD0040ZZ</v>
      </c>
      <c r="H829" t="str">
        <f>RIGHT(Table2[[#This Row],[Building]],LEN(Table2[[#This Row],[Building]])-9)</f>
        <v>Fb</v>
      </c>
    </row>
    <row r="830" spans="1:8" ht="22.5" x14ac:dyDescent="0.25">
      <c r="A830" s="39" t="s">
        <v>1291</v>
      </c>
      <c r="B830" s="29">
        <v>556028.76</v>
      </c>
      <c r="C830" s="29">
        <v>472702.43</v>
      </c>
      <c r="D830" s="29">
        <v>445318.56</v>
      </c>
      <c r="E830" s="30">
        <v>1474049.75</v>
      </c>
      <c r="F830" t="str">
        <f>LEFT(Table2[[#This Row],[Building]],2)</f>
        <v>TN</v>
      </c>
      <c r="G830" t="str">
        <f>LEFT(Table2[[#This Row],[Building]],8)</f>
        <v>TN0004ZZ</v>
      </c>
      <c r="H830" t="str">
        <f>RIGHT(Table2[[#This Row],[Building]],LEN(Table2[[#This Row],[Building]])-9)</f>
        <v>Howard Baker Jr Cths</v>
      </c>
    </row>
    <row r="831" spans="1:8" ht="22.5" x14ac:dyDescent="0.25">
      <c r="A831" s="39" t="s">
        <v>1292</v>
      </c>
      <c r="B831" s="31">
        <v>388294.8</v>
      </c>
      <c r="C831" s="31">
        <v>192360.48</v>
      </c>
      <c r="D831" s="31">
        <v>332826.71000000002</v>
      </c>
      <c r="E831" s="30">
        <v>913481.99</v>
      </c>
      <c r="F831" t="str">
        <f>LEFT(Table2[[#This Row],[Building]],2)</f>
        <v>TN</v>
      </c>
      <c r="G831" t="str">
        <f>LEFT(Table2[[#This Row],[Building]],8)</f>
        <v>TN0006ZZ</v>
      </c>
      <c r="H831" t="str">
        <f>RIGHT(Table2[[#This Row],[Building]],LEN(Table2[[#This Row],[Building]])-9)</f>
        <v>Joel W.Solomon Fbct</v>
      </c>
    </row>
    <row r="832" spans="1:8" x14ac:dyDescent="0.25">
      <c r="A832" s="39" t="s">
        <v>1293</v>
      </c>
      <c r="B832" s="29">
        <v>34559.58</v>
      </c>
      <c r="C832" s="29">
        <v>32437.64</v>
      </c>
      <c r="D832" s="29">
        <v>92853.14</v>
      </c>
      <c r="E832" s="30">
        <v>159850.35999999999</v>
      </c>
      <c r="F832" t="str">
        <f>LEFT(Table2[[#This Row],[Building]],2)</f>
        <v>TN</v>
      </c>
      <c r="G832" t="str">
        <f>LEFT(Table2[[#This Row],[Building]],8)</f>
        <v>TN0010ZZ</v>
      </c>
      <c r="H832" t="str">
        <f>RIGHT(Table2[[#This Row],[Building]],LEN(Table2[[#This Row],[Building]])-9)</f>
        <v>Fb-Ct</v>
      </c>
    </row>
    <row r="833" spans="1:8" ht="22.5" x14ac:dyDescent="0.25">
      <c r="A833" s="39" t="s">
        <v>1294</v>
      </c>
      <c r="B833" s="31">
        <v>34853.06</v>
      </c>
      <c r="C833" s="31">
        <v>17716.68</v>
      </c>
      <c r="D833" s="31">
        <v>77515.38</v>
      </c>
      <c r="E833" s="30">
        <v>130085.12</v>
      </c>
      <c r="F833" t="str">
        <f>LEFT(Table2[[#This Row],[Building]],2)</f>
        <v>TN</v>
      </c>
      <c r="G833" t="str">
        <f>LEFT(Table2[[#This Row],[Building]],8)</f>
        <v>TN0011ZZ</v>
      </c>
      <c r="H833" t="str">
        <f>RIGHT(Table2[[#This Row],[Building]],LEN(Table2[[#This Row],[Building]])-9)</f>
        <v>L. Clure Morton Us P</v>
      </c>
    </row>
    <row r="834" spans="1:8" ht="22.5" x14ac:dyDescent="0.25">
      <c r="A834" s="39" t="s">
        <v>1295</v>
      </c>
      <c r="B834" s="29">
        <v>245689.43</v>
      </c>
      <c r="C834" s="29">
        <v>159278.31</v>
      </c>
      <c r="D834" s="29">
        <v>180088.46</v>
      </c>
      <c r="E834" s="30">
        <v>585056.19999999995</v>
      </c>
      <c r="F834" t="str">
        <f>LEFT(Table2[[#This Row],[Building]],2)</f>
        <v>TN</v>
      </c>
      <c r="G834" t="str">
        <f>LEFT(Table2[[#This Row],[Building]],8)</f>
        <v>TN0012ZZ</v>
      </c>
      <c r="H834" t="str">
        <f>RIGHT(Table2[[#This Row],[Building]],LEN(Table2[[#This Row],[Building]])-9)</f>
        <v>James H. Quillen Usc</v>
      </c>
    </row>
    <row r="835" spans="1:8" x14ac:dyDescent="0.25">
      <c r="A835" s="39" t="s">
        <v>1299</v>
      </c>
      <c r="B835" s="31">
        <v>116081.52</v>
      </c>
      <c r="C835" s="31">
        <v>74793.429999999993</v>
      </c>
      <c r="D835" s="31">
        <v>156302.1</v>
      </c>
      <c r="E835" s="30">
        <v>347177.05</v>
      </c>
      <c r="F835" t="str">
        <f>LEFT(Table2[[#This Row],[Building]],2)</f>
        <v>TN</v>
      </c>
      <c r="G835" t="str">
        <f>LEFT(Table2[[#This Row],[Building]],8)</f>
        <v>TN0029ZZ</v>
      </c>
      <c r="H835" t="str">
        <f>RIGHT(Table2[[#This Row],[Building]],LEN(Table2[[#This Row],[Building]])-9)</f>
        <v>Ed Jones Fb-Ct</v>
      </c>
    </row>
    <row r="836" spans="1:8" x14ac:dyDescent="0.25">
      <c r="A836" s="39" t="s">
        <v>1300</v>
      </c>
      <c r="B836" s="29">
        <v>504369.39</v>
      </c>
      <c r="C836" s="29">
        <v>524485.9</v>
      </c>
      <c r="D836" s="29">
        <v>375474.7</v>
      </c>
      <c r="E836" s="30">
        <v>1404329.99</v>
      </c>
      <c r="F836" t="str">
        <f>LEFT(Table2[[#This Row],[Building]],2)</f>
        <v>TN</v>
      </c>
      <c r="G836" t="str">
        <f>LEFT(Table2[[#This Row],[Building]],8)</f>
        <v>TN0052AA</v>
      </c>
      <c r="H836" t="str">
        <f>RIGHT(Table2[[#This Row],[Building]],LEN(Table2[[#This Row],[Building]])-9)</f>
        <v>E Kefauver Fed Bldg</v>
      </c>
    </row>
    <row r="837" spans="1:8" x14ac:dyDescent="0.25">
      <c r="A837" s="39" t="s">
        <v>1301</v>
      </c>
      <c r="B837" s="31">
        <v>248847.18</v>
      </c>
      <c r="C837" s="31">
        <v>145967.87</v>
      </c>
      <c r="D837" s="31">
        <v>252104.93</v>
      </c>
      <c r="E837" s="30">
        <v>646919.98</v>
      </c>
      <c r="F837" t="str">
        <f>LEFT(Table2[[#This Row],[Building]],2)</f>
        <v>TN</v>
      </c>
      <c r="G837" t="str">
        <f>LEFT(Table2[[#This Row],[Building]],8)</f>
        <v>TN0076ZZ</v>
      </c>
      <c r="H837" t="str">
        <f>RIGHT(Table2[[#This Row],[Building]],LEN(Table2[[#This Row],[Building]])-9)</f>
        <v>John J. Duncan Fb</v>
      </c>
    </row>
    <row r="838" spans="1:8" x14ac:dyDescent="0.25">
      <c r="A838" s="39" t="s">
        <v>1302</v>
      </c>
      <c r="B838" s="29">
        <v>654757.13</v>
      </c>
      <c r="C838" s="29">
        <v>574629.64</v>
      </c>
      <c r="D838" s="29">
        <v>590516.44999999995</v>
      </c>
      <c r="E838" s="30">
        <v>1819903.22</v>
      </c>
      <c r="F838" t="str">
        <f>LEFT(Table2[[#This Row],[Building]],2)</f>
        <v>TN</v>
      </c>
      <c r="G838" t="str">
        <f>LEFT(Table2[[#This Row],[Building]],8)</f>
        <v>TN0088ZZ</v>
      </c>
      <c r="H838" t="str">
        <f>RIGHT(Table2[[#This Row],[Building]],LEN(Table2[[#This Row],[Building]])-9)</f>
        <v>Clifford Davis-Odell</v>
      </c>
    </row>
    <row r="839" spans="1:8" x14ac:dyDescent="0.25">
      <c r="A839" s="39" t="s">
        <v>1303</v>
      </c>
      <c r="B839" s="31">
        <v>120213.06</v>
      </c>
      <c r="C839" s="31">
        <v>26308.37</v>
      </c>
      <c r="D839" s="31">
        <v>221821.15</v>
      </c>
      <c r="E839" s="30">
        <v>368342.58</v>
      </c>
      <c r="F839" t="str">
        <f>LEFT(Table2[[#This Row],[Building]],2)</f>
        <v>TN</v>
      </c>
      <c r="G839" t="str">
        <f>LEFT(Table2[[#This Row],[Building]],8)</f>
        <v>TN0096ZZ</v>
      </c>
      <c r="H839" t="str">
        <f>RIGHT(Table2[[#This Row],[Building]],LEN(Table2[[#This Row],[Building]])-9)</f>
        <v>Fb-Po-Ct</v>
      </c>
    </row>
    <row r="840" spans="1:8" ht="22.5" x14ac:dyDescent="0.25">
      <c r="A840" s="39" t="s">
        <v>1305</v>
      </c>
      <c r="B840" s="29">
        <v>421902.39</v>
      </c>
      <c r="C840" s="29">
        <v>229020.21</v>
      </c>
      <c r="D840" s="29">
        <v>315884.69</v>
      </c>
      <c r="E840" s="30">
        <v>966807.29</v>
      </c>
      <c r="F840" t="str">
        <f>LEFT(Table2[[#This Row],[Building]],2)</f>
        <v>TN</v>
      </c>
      <c r="G840" t="str">
        <f>LEFT(Table2[[#This Row],[Building]],8)</f>
        <v>TN0111AA</v>
      </c>
      <c r="H840" t="str">
        <f>RIGHT(Table2[[#This Row],[Building]],LEN(Table2[[#This Row],[Building]])-9)</f>
        <v>Estes Kefauver Fb-Ct</v>
      </c>
    </row>
    <row r="841" spans="1:8" ht="22.5" x14ac:dyDescent="0.25">
      <c r="A841" s="39" t="s">
        <v>1306</v>
      </c>
      <c r="B841" s="31">
        <v>27055.82</v>
      </c>
      <c r="C841" s="31">
        <v>2843.33</v>
      </c>
      <c r="D841" s="31">
        <v>52993.11</v>
      </c>
      <c r="E841" s="30">
        <v>82892.259999999995</v>
      </c>
      <c r="F841" t="str">
        <f>LEFT(Table2[[#This Row],[Building]],2)</f>
        <v>TN</v>
      </c>
      <c r="G841" t="str">
        <f>LEFT(Table2[[#This Row],[Building]],8)</f>
        <v>TN0112AA</v>
      </c>
      <c r="H841" t="str">
        <f>RIGHT(Table2[[#This Row],[Building]],LEN(Table2[[#This Row],[Building]])-9)</f>
        <v>Estes Kefauver Fb-Ct</v>
      </c>
    </row>
    <row r="842" spans="1:8" ht="22.5" x14ac:dyDescent="0.25">
      <c r="A842" s="39" t="s">
        <v>1307</v>
      </c>
      <c r="B842" s="29">
        <v>94853.01</v>
      </c>
      <c r="C842" s="29">
        <v>82380.56</v>
      </c>
      <c r="D842" s="29">
        <v>129546.43</v>
      </c>
      <c r="E842" s="30">
        <v>306780</v>
      </c>
      <c r="F842" t="str">
        <f>LEFT(Table2[[#This Row],[Building]],2)</f>
        <v>TX</v>
      </c>
      <c r="G842" t="str">
        <f>LEFT(Table2[[#This Row],[Building]],8)</f>
        <v>TX0006ZZ</v>
      </c>
      <c r="H842" t="str">
        <f>RIGHT(Table2[[#This Row],[Building]],LEN(Table2[[#This Row],[Building]])-9)</f>
        <v>Jm Jones Federal Bld</v>
      </c>
    </row>
    <row r="843" spans="1:8" x14ac:dyDescent="0.25">
      <c r="A843" s="39" t="s">
        <v>1308</v>
      </c>
      <c r="B843" s="31">
        <v>20151.32</v>
      </c>
      <c r="C843" s="31">
        <v>43225.17</v>
      </c>
      <c r="D843" s="31">
        <v>71805.490000000005</v>
      </c>
      <c r="E843" s="30">
        <v>135181.98000000001</v>
      </c>
      <c r="F843" t="str">
        <f>LEFT(Table2[[#This Row],[Building]],2)</f>
        <v>TX</v>
      </c>
      <c r="G843" t="str">
        <f>LEFT(Table2[[#This Row],[Building]],8)</f>
        <v>TX0012ZZ</v>
      </c>
      <c r="H843" t="str">
        <f>RIGHT(Table2[[#This Row],[Building]],LEN(Table2[[#This Row],[Building]])-9)</f>
        <v>Austin Courthouse</v>
      </c>
    </row>
    <row r="844" spans="1:8" x14ac:dyDescent="0.25">
      <c r="A844" s="39" t="s">
        <v>1309</v>
      </c>
      <c r="B844" s="29">
        <v>196127.37</v>
      </c>
      <c r="C844" s="29">
        <v>137402.35</v>
      </c>
      <c r="D844" s="29">
        <v>204616.04</v>
      </c>
      <c r="E844" s="30">
        <v>538145.76</v>
      </c>
      <c r="F844" t="str">
        <f>LEFT(Table2[[#This Row],[Building]],2)</f>
        <v>TX</v>
      </c>
      <c r="G844" t="str">
        <f>LEFT(Table2[[#This Row],[Building]],8)</f>
        <v>TX0019ZZ</v>
      </c>
      <c r="H844" t="str">
        <f>RIGHT(Table2[[#This Row],[Building]],LEN(Table2[[#This Row],[Building]])-9)</f>
        <v>J Brooks Federal Bld</v>
      </c>
    </row>
    <row r="845" spans="1:8" ht="22.5" x14ac:dyDescent="0.25">
      <c r="A845" s="39" t="s">
        <v>1310</v>
      </c>
      <c r="B845" s="34" t="s">
        <v>1311</v>
      </c>
      <c r="C845" s="31">
        <v>7834.2</v>
      </c>
      <c r="D845" s="34" t="s">
        <v>1312</v>
      </c>
      <c r="E845" s="33" t="s">
        <v>1313</v>
      </c>
      <c r="F845" t="str">
        <f>LEFT(Table2[[#This Row],[Building]],2)</f>
        <v>TX</v>
      </c>
      <c r="G845" t="str">
        <f>LEFT(Table2[[#This Row],[Building]],8)</f>
        <v>TX0020DO</v>
      </c>
      <c r="H845" t="str">
        <f>RIGHT(Table2[[#This Row],[Building]],LEN(Table2[[#This Row],[Building]])-9)</f>
        <v>Usbs Donna Admin Bld</v>
      </c>
    </row>
    <row r="846" spans="1:8" ht="22.5" x14ac:dyDescent="0.25">
      <c r="A846" s="39" t="s">
        <v>1314</v>
      </c>
      <c r="B846" s="29">
        <v>12528</v>
      </c>
      <c r="C846" s="29">
        <v>454.32</v>
      </c>
      <c r="D846" s="29">
        <v>12538.09</v>
      </c>
      <c r="E846" s="30">
        <v>25520.41</v>
      </c>
      <c r="F846" t="str">
        <f>LEFT(Table2[[#This Row],[Building]],2)</f>
        <v>TX</v>
      </c>
      <c r="G846" t="str">
        <f>LEFT(Table2[[#This Row],[Building]],8)</f>
        <v>TX0022DO</v>
      </c>
      <c r="H846" t="str">
        <f>RIGHT(Table2[[#This Row],[Building]],LEN(Table2[[#This Row],[Building]])-9)</f>
        <v>Usbs Donna Headhouse</v>
      </c>
    </row>
    <row r="847" spans="1:8" ht="22.5" x14ac:dyDescent="0.25">
      <c r="A847" s="39" t="s">
        <v>1316</v>
      </c>
      <c r="B847" s="29">
        <v>6811.29</v>
      </c>
      <c r="C847" s="29">
        <v>378.84</v>
      </c>
      <c r="D847" s="29">
        <v>6816.8</v>
      </c>
      <c r="E847" s="30">
        <v>14006.93</v>
      </c>
      <c r="F847" t="str">
        <f>LEFT(Table2[[#This Row],[Building]],2)</f>
        <v>TX</v>
      </c>
      <c r="G847" t="str">
        <f>LEFT(Table2[[#This Row],[Building]],8)</f>
        <v>TX0024DO</v>
      </c>
      <c r="H847" t="str">
        <f>RIGHT(Table2[[#This Row],[Building]],LEN(Table2[[#This Row],[Building]])-9)</f>
        <v>Usbs Donna Kennel</v>
      </c>
    </row>
    <row r="848" spans="1:8" ht="22.5" x14ac:dyDescent="0.25">
      <c r="A848" s="39" t="s">
        <v>1318</v>
      </c>
      <c r="B848" s="29">
        <v>39860.559999999998</v>
      </c>
      <c r="C848" s="29">
        <v>382.4</v>
      </c>
      <c r="D848" s="29">
        <v>39892.769999999997</v>
      </c>
      <c r="E848" s="30">
        <v>80135.73</v>
      </c>
      <c r="F848" t="str">
        <f>LEFT(Table2[[#This Row],[Building]],2)</f>
        <v>TX</v>
      </c>
      <c r="G848" t="str">
        <f>LEFT(Table2[[#This Row],[Building]],8)</f>
        <v>TX0026DO</v>
      </c>
      <c r="H848" t="str">
        <f>RIGHT(Table2[[#This Row],[Building]],LEN(Table2[[#This Row],[Building]])-9)</f>
        <v>Usbs Donna Outbound</v>
      </c>
    </row>
    <row r="849" spans="1:8" ht="22.5" x14ac:dyDescent="0.25">
      <c r="A849" s="39" t="s">
        <v>1319</v>
      </c>
      <c r="B849" s="31">
        <v>248897.23</v>
      </c>
      <c r="C849" s="31">
        <v>123132.33</v>
      </c>
      <c r="D849" s="31">
        <v>511787.48</v>
      </c>
      <c r="E849" s="30">
        <v>883817.04</v>
      </c>
      <c r="F849" t="str">
        <f>LEFT(Table2[[#This Row],[Building]],2)</f>
        <v>TX</v>
      </c>
      <c r="G849" t="str">
        <f>LEFT(Table2[[#This Row],[Building]],8)</f>
        <v>TX0057ZZ</v>
      </c>
      <c r="H849" t="str">
        <f>RIGHT(Table2[[#This Row],[Building]],LEN(Table2[[#This Row],[Building]])-9)</f>
        <v>Terminal Annex Feder</v>
      </c>
    </row>
    <row r="850" spans="1:8" ht="22.5" x14ac:dyDescent="0.25">
      <c r="A850" s="39" t="s">
        <v>1320</v>
      </c>
      <c r="B850" s="29">
        <v>349166</v>
      </c>
      <c r="C850" s="29">
        <v>285053.17</v>
      </c>
      <c r="D850" s="29">
        <v>356632.04</v>
      </c>
      <c r="E850" s="30">
        <v>990851.21</v>
      </c>
      <c r="F850" t="str">
        <f>LEFT(Table2[[#This Row],[Building]],2)</f>
        <v>TX</v>
      </c>
      <c r="G850" t="str">
        <f>LEFT(Table2[[#This Row],[Building]],8)</f>
        <v>TX0058DA</v>
      </c>
      <c r="H850" t="str">
        <f>RIGHT(Table2[[#This Row],[Building]],LEN(Table2[[#This Row],[Building]])-9)</f>
        <v>Santa Fe Federal Bld</v>
      </c>
    </row>
    <row r="851" spans="1:8" x14ac:dyDescent="0.25">
      <c r="A851" s="39" t="s">
        <v>1321</v>
      </c>
      <c r="B851" s="31">
        <v>121510.61</v>
      </c>
      <c r="C851" s="31">
        <v>150658.59</v>
      </c>
      <c r="D851" s="31">
        <v>146057.60000000001</v>
      </c>
      <c r="E851" s="30">
        <v>418226.8</v>
      </c>
      <c r="F851" t="str">
        <f>LEFT(Table2[[#This Row],[Building]],2)</f>
        <v>TX</v>
      </c>
      <c r="G851" t="str">
        <f>LEFT(Table2[[#This Row],[Building]],8)</f>
        <v>TX0069ZZ</v>
      </c>
      <c r="H851" t="str">
        <f>RIGHT(Table2[[#This Row],[Building]],LEN(Table2[[#This Row],[Building]])-9)</f>
        <v>El Paso Courthouse</v>
      </c>
    </row>
    <row r="852" spans="1:8" ht="22.5" x14ac:dyDescent="0.25">
      <c r="A852" s="39" t="s">
        <v>1322</v>
      </c>
      <c r="B852" s="32" t="s">
        <v>865</v>
      </c>
      <c r="C852" s="29">
        <v>33974.17</v>
      </c>
      <c r="D852" s="32" t="s">
        <v>1323</v>
      </c>
      <c r="E852" s="30">
        <v>32622.59</v>
      </c>
      <c r="F852" t="str">
        <f>LEFT(Table2[[#This Row],[Building]],2)</f>
        <v>TX</v>
      </c>
      <c r="G852" t="str">
        <f>LEFT(Table2[[#This Row],[Building]],8)</f>
        <v>TX0072FB</v>
      </c>
      <c r="H852" t="str">
        <f>RIGHT(Table2[[#This Row],[Building]],LEN(Table2[[#This Row],[Building]])-9)</f>
        <v>Usbs Fabens Admin Bl</v>
      </c>
    </row>
    <row r="853" spans="1:8" ht="22.5" x14ac:dyDescent="0.25">
      <c r="A853" s="39" t="s">
        <v>1324</v>
      </c>
      <c r="B853" s="31">
        <v>181222.61</v>
      </c>
      <c r="C853" s="31">
        <v>116457.13</v>
      </c>
      <c r="D853" s="31">
        <v>221090.94</v>
      </c>
      <c r="E853" s="30">
        <v>518770.68</v>
      </c>
      <c r="F853" t="str">
        <f>LEFT(Table2[[#This Row],[Building]],2)</f>
        <v>TX</v>
      </c>
      <c r="G853" t="str">
        <f>LEFT(Table2[[#This Row],[Building]],8)</f>
        <v>TX0075ZZ</v>
      </c>
      <c r="H853" t="str">
        <f>RIGHT(Table2[[#This Row],[Building]],LEN(Table2[[#This Row],[Building]])-9)</f>
        <v>Eldon B. Mahon Us Co</v>
      </c>
    </row>
    <row r="854" spans="1:8" ht="22.5" x14ac:dyDescent="0.25">
      <c r="A854" s="39" t="s">
        <v>1325</v>
      </c>
      <c r="B854" s="29">
        <v>144414.17000000001</v>
      </c>
      <c r="C854" s="32" t="s">
        <v>1326</v>
      </c>
      <c r="D854" s="29">
        <v>233627.88</v>
      </c>
      <c r="E854" s="30">
        <v>304538.52</v>
      </c>
      <c r="F854" t="str">
        <f>LEFT(Table2[[#This Row],[Building]],2)</f>
        <v>TX</v>
      </c>
      <c r="G854" t="str">
        <f>LEFT(Table2[[#This Row],[Building]],8)</f>
        <v>TX0081ZZ</v>
      </c>
      <c r="H854" t="str">
        <f>RIGHT(Table2[[#This Row],[Building]],LEN(Table2[[#This Row],[Building]])-9)</f>
        <v>Galveston Uspo/Court</v>
      </c>
    </row>
    <row r="855" spans="1:8" ht="22.5" x14ac:dyDescent="0.25">
      <c r="A855" s="39" t="s">
        <v>1327</v>
      </c>
      <c r="B855" s="31">
        <v>205949.14</v>
      </c>
      <c r="C855" s="31">
        <v>50167.74</v>
      </c>
      <c r="D855" s="31">
        <v>237936.41</v>
      </c>
      <c r="E855" s="30">
        <v>494053.29</v>
      </c>
      <c r="F855" t="str">
        <f>LEFT(Table2[[#This Row],[Building]],2)</f>
        <v>TX</v>
      </c>
      <c r="G855" t="str">
        <f>LEFT(Table2[[#This Row],[Building]],8)</f>
        <v>TX0101ZZ</v>
      </c>
      <c r="H855" t="str">
        <f>RIGHT(Table2[[#This Row],[Building]],LEN(Table2[[#This Row],[Building]])-9)</f>
        <v>Houston Customs Hous</v>
      </c>
    </row>
    <row r="856" spans="1:8" x14ac:dyDescent="0.25">
      <c r="A856" s="39" t="s">
        <v>1328</v>
      </c>
      <c r="B856" s="32" t="s">
        <v>1329</v>
      </c>
      <c r="C856" s="32" t="s">
        <v>1330</v>
      </c>
      <c r="D856" s="29">
        <v>995.98000000000195</v>
      </c>
      <c r="E856" s="33" t="s">
        <v>1331</v>
      </c>
      <c r="F856" t="str">
        <f>LEFT(Table2[[#This Row],[Building]],2)</f>
        <v>TX</v>
      </c>
      <c r="G856" t="str">
        <f>LEFT(Table2[[#This Row],[Building]],8)</f>
        <v>TX0116CV</v>
      </c>
      <c r="H856" t="str">
        <f>RIGHT(Table2[[#This Row],[Building]],LEN(Table2[[#This Row],[Building]])-9)</f>
        <v>Usbs Convent</v>
      </c>
    </row>
    <row r="857" spans="1:8" ht="22.5" x14ac:dyDescent="0.25">
      <c r="A857" s="39" t="s">
        <v>1332</v>
      </c>
      <c r="B857" s="31">
        <v>27667.24</v>
      </c>
      <c r="C857" s="31">
        <v>23631.41</v>
      </c>
      <c r="D857" s="31">
        <v>50959.12</v>
      </c>
      <c r="E857" s="30">
        <v>102257.77</v>
      </c>
      <c r="F857" t="str">
        <f>LEFT(Table2[[#This Row],[Building]],2)</f>
        <v>TX</v>
      </c>
      <c r="G857" t="str">
        <f>LEFT(Table2[[#This Row],[Building]],8)</f>
        <v>TX0126ZZ</v>
      </c>
      <c r="H857" t="str">
        <f>RIGHT(Table2[[#This Row],[Building]],LEN(Table2[[#This Row],[Building]])-9)</f>
        <v>Wr Burke Courthouse</v>
      </c>
    </row>
    <row r="858" spans="1:8" x14ac:dyDescent="0.25">
      <c r="A858" s="39" t="s">
        <v>1333</v>
      </c>
      <c r="B858" s="29">
        <v>33098.22</v>
      </c>
      <c r="C858" s="29">
        <v>22944.43</v>
      </c>
      <c r="D858" s="29">
        <v>62136.36</v>
      </c>
      <c r="E858" s="30">
        <v>118179.01</v>
      </c>
      <c r="F858" t="str">
        <f>LEFT(Table2[[#This Row],[Building]],2)</f>
        <v>TX</v>
      </c>
      <c r="G858" t="str">
        <f>LEFT(Table2[[#This Row],[Building]],8)</f>
        <v>TX0130ZZ</v>
      </c>
      <c r="H858" t="str">
        <f>RIGHT(Table2[[#This Row],[Building]],LEN(Table2[[#This Row],[Building]])-9)</f>
        <v>Sb Hall Jr Federal B</v>
      </c>
    </row>
    <row r="859" spans="1:8" ht="22.5" x14ac:dyDescent="0.25">
      <c r="A859" s="39" t="s">
        <v>1334</v>
      </c>
      <c r="B859" s="31">
        <v>55243.3</v>
      </c>
      <c r="C859" s="31">
        <v>40680.559999999998</v>
      </c>
      <c r="D859" s="31">
        <v>91720.71</v>
      </c>
      <c r="E859" s="30">
        <v>187644.57</v>
      </c>
      <c r="F859" t="str">
        <f>LEFT(Table2[[#This Row],[Building]],2)</f>
        <v>TX</v>
      </c>
      <c r="G859" t="str">
        <f>LEFT(Table2[[#This Row],[Building]],8)</f>
        <v>TX0163ZZ</v>
      </c>
      <c r="H859" t="str">
        <f>RIGHT(Table2[[#This Row],[Building]],LEN(Table2[[#This Row],[Building]])-9)</f>
        <v>Oc Fisher Fed Bldg/C</v>
      </c>
    </row>
    <row r="860" spans="1:8" x14ac:dyDescent="0.25">
      <c r="A860" s="39" t="s">
        <v>1335</v>
      </c>
      <c r="B860" s="29">
        <v>291844.34000000003</v>
      </c>
      <c r="C860" s="29">
        <v>146135.42000000001</v>
      </c>
      <c r="D860" s="29">
        <v>356780.37</v>
      </c>
      <c r="E860" s="30">
        <v>794760.13</v>
      </c>
      <c r="F860" t="str">
        <f>LEFT(Table2[[#This Row],[Building]],2)</f>
        <v>TX</v>
      </c>
      <c r="G860" t="str">
        <f>LEFT(Table2[[#This Row],[Building]],8)</f>
        <v>TX0164ZZ</v>
      </c>
      <c r="H860" t="str">
        <f>RIGHT(Table2[[#This Row],[Building]],LEN(Table2[[#This Row],[Building]])-9)</f>
        <v>Hipolito F. Garcia F</v>
      </c>
    </row>
    <row r="861" spans="1:8" x14ac:dyDescent="0.25">
      <c r="A861" s="39" t="s">
        <v>1336</v>
      </c>
      <c r="B861" s="31">
        <v>86176.76</v>
      </c>
      <c r="C861" s="31">
        <v>50647.73</v>
      </c>
      <c r="D861" s="31">
        <v>116757.75999999999</v>
      </c>
      <c r="E861" s="30">
        <v>253582.25</v>
      </c>
      <c r="F861" t="str">
        <f>LEFT(Table2[[#This Row],[Building]],2)</f>
        <v>TX</v>
      </c>
      <c r="G861" t="str">
        <f>LEFT(Table2[[#This Row],[Building]],8)</f>
        <v>TX0182TY</v>
      </c>
      <c r="H861" t="str">
        <f>RIGHT(Table2[[#This Row],[Building]],LEN(Table2[[#This Row],[Building]])-9)</f>
        <v>Tyler Post Office/Co</v>
      </c>
    </row>
    <row r="862" spans="1:8" x14ac:dyDescent="0.25">
      <c r="A862" s="39" t="s">
        <v>1337</v>
      </c>
      <c r="B862" s="29">
        <v>96661.71</v>
      </c>
      <c r="C862" s="32" t="s">
        <v>1338</v>
      </c>
      <c r="D862" s="29">
        <v>190460.52</v>
      </c>
      <c r="E862" s="30">
        <v>272072.42</v>
      </c>
      <c r="F862" t="str">
        <f>LEFT(Table2[[#This Row],[Building]],2)</f>
        <v>TX</v>
      </c>
      <c r="G862" t="str">
        <f>LEFT(Table2[[#This Row],[Building]],8)</f>
        <v>TX0185ZZ</v>
      </c>
      <c r="H862" t="str">
        <f>RIGHT(Table2[[#This Row],[Building]],LEN(Table2[[#This Row],[Building]])-9)</f>
        <v>Ml King Jr Federal B</v>
      </c>
    </row>
    <row r="863" spans="1:8" ht="22.5" x14ac:dyDescent="0.25">
      <c r="A863" s="39" t="s">
        <v>1339</v>
      </c>
      <c r="B863" s="34" t="s">
        <v>1340</v>
      </c>
      <c r="C863" s="31">
        <v>30935</v>
      </c>
      <c r="D863" s="34" t="s">
        <v>1341</v>
      </c>
      <c r="E863" s="33" t="s">
        <v>1342</v>
      </c>
      <c r="F863" t="str">
        <f>LEFT(Table2[[#This Row],[Building]],2)</f>
        <v>TX</v>
      </c>
      <c r="G863" t="str">
        <f>LEFT(Table2[[#This Row],[Building]],8)</f>
        <v>TX0201EP</v>
      </c>
      <c r="H863" t="str">
        <f>RIGHT(Table2[[#This Row],[Building]],LEN(Table2[[#This Row],[Building]])-9)</f>
        <v>Usbs Eagle Pass I Ad</v>
      </c>
    </row>
    <row r="864" spans="1:8" ht="22.5" x14ac:dyDescent="0.25">
      <c r="A864" s="39" t="s">
        <v>1343</v>
      </c>
      <c r="B864" s="29">
        <v>50257.599999999999</v>
      </c>
      <c r="C864" s="29">
        <v>29771.47</v>
      </c>
      <c r="D864" s="29">
        <v>65170.11</v>
      </c>
      <c r="E864" s="30">
        <v>145199.18</v>
      </c>
      <c r="F864" t="str">
        <f>LEFT(Table2[[#This Row],[Building]],2)</f>
        <v>TX</v>
      </c>
      <c r="G864" t="str">
        <f>LEFT(Table2[[#This Row],[Building]],8)</f>
        <v>TX0210ZZ</v>
      </c>
      <c r="H864" t="str">
        <f>RIGHT(Table2[[#This Row],[Building]],LEN(Table2[[#This Row],[Building]])-9)</f>
        <v>Sherman Federal Bldg</v>
      </c>
    </row>
    <row r="865" spans="1:8" x14ac:dyDescent="0.25">
      <c r="A865" s="39" t="s">
        <v>1344</v>
      </c>
      <c r="B865" s="31">
        <v>768432.17</v>
      </c>
      <c r="C865" s="31">
        <v>491615.25</v>
      </c>
      <c r="D865" s="31">
        <v>846475.17</v>
      </c>
      <c r="E865" s="30">
        <v>2106522.59</v>
      </c>
      <c r="F865" t="str">
        <f>LEFT(Table2[[#This Row],[Building]],2)</f>
        <v>TX</v>
      </c>
      <c r="G865" t="str">
        <f>LEFT(Table2[[#This Row],[Building]],8)</f>
        <v>TX0211ZZ</v>
      </c>
      <c r="H865" t="str">
        <f>RIGHT(Table2[[#This Row],[Building]],LEN(Table2[[#This Row],[Building]])-9)</f>
        <v>B Casey Courthouse</v>
      </c>
    </row>
    <row r="866" spans="1:8" ht="22.5" x14ac:dyDescent="0.25">
      <c r="A866" s="39" t="s">
        <v>1345</v>
      </c>
      <c r="B866" s="29">
        <v>166942.87</v>
      </c>
      <c r="C866" s="29">
        <v>76659.8</v>
      </c>
      <c r="D866" s="29">
        <v>206542.77</v>
      </c>
      <c r="E866" s="30">
        <v>450145.44</v>
      </c>
      <c r="F866" t="str">
        <f>LEFT(Table2[[#This Row],[Building]],2)</f>
        <v>TX</v>
      </c>
      <c r="G866" t="str">
        <f>LEFT(Table2[[#This Row],[Building]],8)</f>
        <v>TX0220MD</v>
      </c>
      <c r="H866" t="str">
        <f>RIGHT(Table2[[#This Row],[Building]],LEN(Table2[[#This Row],[Building]])-9)</f>
        <v>G Mahon Post Office/</v>
      </c>
    </row>
    <row r="867" spans="1:8" x14ac:dyDescent="0.25">
      <c r="A867" s="39" t="s">
        <v>1346</v>
      </c>
      <c r="B867" s="31">
        <v>840354.43</v>
      </c>
      <c r="C867" s="31">
        <v>706591.05</v>
      </c>
      <c r="D867" s="31">
        <v>847564.77</v>
      </c>
      <c r="E867" s="30">
        <v>2394510.25</v>
      </c>
      <c r="F867" t="str">
        <f>LEFT(Table2[[#This Row],[Building]],2)</f>
        <v>TX</v>
      </c>
      <c r="G867" t="str">
        <f>LEFT(Table2[[#This Row],[Building]],8)</f>
        <v>TX0224ZZ</v>
      </c>
      <c r="H867" t="str">
        <f>RIGHT(Table2[[#This Row],[Building]],LEN(Table2[[#This Row],[Building]])-9)</f>
        <v>Fg Lanham Fed Bldg</v>
      </c>
    </row>
    <row r="868" spans="1:8" x14ac:dyDescent="0.25">
      <c r="A868" s="39" t="s">
        <v>1347</v>
      </c>
      <c r="B868" s="29">
        <v>298134.25</v>
      </c>
      <c r="C868" s="29">
        <v>81024.160000000003</v>
      </c>
      <c r="D868" s="29">
        <v>310135.82</v>
      </c>
      <c r="E868" s="30">
        <v>689294.23</v>
      </c>
      <c r="F868" t="str">
        <f>LEFT(Table2[[#This Row],[Building]],2)</f>
        <v>TX</v>
      </c>
      <c r="G868" t="str">
        <f>LEFT(Table2[[#This Row],[Building]],8)</f>
        <v>TX0227AU</v>
      </c>
      <c r="H868" t="str">
        <f>RIGHT(Table2[[#This Row],[Building]],LEN(Table2[[#This Row],[Building]])-9)</f>
        <v>Jj Pickle Federal Bl</v>
      </c>
    </row>
    <row r="869" spans="1:8" ht="22.5" x14ac:dyDescent="0.25">
      <c r="A869" s="39" t="s">
        <v>1348</v>
      </c>
      <c r="B869" s="31">
        <v>256463.56</v>
      </c>
      <c r="C869" s="31">
        <v>184500.4</v>
      </c>
      <c r="D869" s="31">
        <v>572755.41</v>
      </c>
      <c r="E869" s="30">
        <v>1013719.37</v>
      </c>
      <c r="F869" t="str">
        <f>LEFT(Table2[[#This Row],[Building]],2)</f>
        <v>TX</v>
      </c>
      <c r="G869" t="str">
        <f>LEFT(Table2[[#This Row],[Building]],8)</f>
        <v>TX0230ZZ</v>
      </c>
      <c r="H869" t="str">
        <f>RIGHT(Table2[[#This Row],[Building]],LEN(Table2[[#This Row],[Building]])-9)</f>
        <v>Gh Mahon Fed Bldg/Co</v>
      </c>
    </row>
    <row r="870" spans="1:8" ht="22.5" x14ac:dyDescent="0.25">
      <c r="A870" s="39" t="s">
        <v>1349</v>
      </c>
      <c r="B870" s="29">
        <v>11670</v>
      </c>
      <c r="C870" s="29">
        <v>11678.66</v>
      </c>
      <c r="D870" s="29">
        <v>20169.830000000002</v>
      </c>
      <c r="E870" s="30">
        <v>43518.49</v>
      </c>
      <c r="F870" t="str">
        <f>LEFT(Table2[[#This Row],[Building]],2)</f>
        <v>TX</v>
      </c>
      <c r="G870" t="str">
        <f>LEFT(Table2[[#This Row],[Building]],8)</f>
        <v>TX0231ZZ</v>
      </c>
      <c r="H870" t="str">
        <f>RIGHT(Table2[[#This Row],[Building]],LEN(Table2[[#This Row],[Building]])-9)</f>
        <v>Pearsall Fed Bldg/Po</v>
      </c>
    </row>
    <row r="871" spans="1:8" ht="22.5" x14ac:dyDescent="0.25">
      <c r="A871" s="39" t="s">
        <v>1350</v>
      </c>
      <c r="B871" s="31">
        <v>22697.040000000001</v>
      </c>
      <c r="C871" s="31">
        <v>28642.26</v>
      </c>
      <c r="D871" s="31">
        <v>75137.86</v>
      </c>
      <c r="E871" s="30">
        <v>126477.16</v>
      </c>
      <c r="F871" t="str">
        <f>LEFT(Table2[[#This Row],[Building]],2)</f>
        <v>TX</v>
      </c>
      <c r="G871" t="str">
        <f>LEFT(Table2[[#This Row],[Building]],8)</f>
        <v>TX0247ZZ</v>
      </c>
      <c r="H871" t="str">
        <f>RIGHT(Table2[[#This Row],[Building]],LEN(Table2[[#This Row],[Building]])-9)</f>
        <v>Fort Worth Federal P</v>
      </c>
    </row>
    <row r="872" spans="1:8" ht="22.5" x14ac:dyDescent="0.25">
      <c r="A872" s="39" t="s">
        <v>1351</v>
      </c>
      <c r="B872" s="29">
        <v>238501</v>
      </c>
      <c r="C872" s="29">
        <v>322083.59999999998</v>
      </c>
      <c r="D872" s="29">
        <v>223920.11</v>
      </c>
      <c r="E872" s="30">
        <v>784504.71</v>
      </c>
      <c r="F872" t="str">
        <f>LEFT(Table2[[#This Row],[Building]],2)</f>
        <v>TX</v>
      </c>
      <c r="G872" t="str">
        <f>LEFT(Table2[[#This Row],[Building]],8)</f>
        <v>TX0250AU</v>
      </c>
      <c r="H872" t="str">
        <f>RIGHT(Table2[[#This Row],[Building]],LEN(Table2[[#This Row],[Building]])-9)</f>
        <v>Homer Thornberry Bld</v>
      </c>
    </row>
    <row r="873" spans="1:8" x14ac:dyDescent="0.25">
      <c r="A873" s="39" t="s">
        <v>1352</v>
      </c>
      <c r="B873" s="31">
        <v>89077.17</v>
      </c>
      <c r="C873" s="31">
        <v>63476.51</v>
      </c>
      <c r="D873" s="31">
        <v>154295.22</v>
      </c>
      <c r="E873" s="30">
        <v>306848.90000000002</v>
      </c>
      <c r="F873" t="str">
        <f>LEFT(Table2[[#This Row],[Building]],2)</f>
        <v>TX</v>
      </c>
      <c r="G873" t="str">
        <f>LEFT(Table2[[#This Row],[Building]],8)</f>
        <v>TX0262TY</v>
      </c>
      <c r="H873" t="str">
        <f>RIGHT(Table2[[#This Row],[Building]],LEN(Table2[[#This Row],[Building]])-9)</f>
        <v>Tyler Federal Bldg/C</v>
      </c>
    </row>
    <row r="874" spans="1:8" ht="22.5" x14ac:dyDescent="0.25">
      <c r="A874" s="39" t="s">
        <v>1353</v>
      </c>
      <c r="B874" s="29">
        <v>175407.24</v>
      </c>
      <c r="C874" s="29">
        <v>199030.93</v>
      </c>
      <c r="D874" s="29">
        <v>189314.74</v>
      </c>
      <c r="E874" s="30">
        <v>563752.91</v>
      </c>
      <c r="F874" t="str">
        <f>LEFT(Table2[[#This Row],[Building]],2)</f>
        <v>TX</v>
      </c>
      <c r="G874" t="str">
        <f>LEFT(Table2[[#This Row],[Building]],8)</f>
        <v>TX0272ZZ</v>
      </c>
      <c r="H874" t="str">
        <f>RIGHT(Table2[[#This Row],[Building]],LEN(Table2[[#This Row],[Building]])-9)</f>
        <v>Rc White Federal Bld</v>
      </c>
    </row>
    <row r="875" spans="1:8" ht="22.5" x14ac:dyDescent="0.25">
      <c r="A875" s="39" t="s">
        <v>1354</v>
      </c>
      <c r="B875" s="34" t="s">
        <v>1355</v>
      </c>
      <c r="C875" s="34" t="s">
        <v>1356</v>
      </c>
      <c r="D875" s="34" t="s">
        <v>1357</v>
      </c>
      <c r="E875" s="33" t="s">
        <v>1358</v>
      </c>
      <c r="F875" t="str">
        <f>LEFT(Table2[[#This Row],[Building]],2)</f>
        <v>TX</v>
      </c>
      <c r="G875" t="str">
        <f>LEFT(Table2[[#This Row],[Building]],8)</f>
        <v>TX0282JL</v>
      </c>
      <c r="H875" t="str">
        <f>RIGHT(Table2[[#This Row],[Building]],LEN(Table2[[#This Row],[Building]])-9)</f>
        <v>Usbs J&amp;L Bldg 2 Admi</v>
      </c>
    </row>
    <row r="876" spans="1:8" ht="22.5" x14ac:dyDescent="0.25">
      <c r="A876" s="39" t="s">
        <v>1359</v>
      </c>
      <c r="B876" s="29">
        <v>1144707.1200000001</v>
      </c>
      <c r="C876" s="29">
        <v>804437.85</v>
      </c>
      <c r="D876" s="29">
        <v>1153161.77</v>
      </c>
      <c r="E876" s="30">
        <v>3102306.74</v>
      </c>
      <c r="F876" t="str">
        <f>LEFT(Table2[[#This Row],[Building]],2)</f>
        <v>TX</v>
      </c>
      <c r="G876" t="str">
        <f>LEFT(Table2[[#This Row],[Building]],8)</f>
        <v>TX0284DA</v>
      </c>
      <c r="H876" t="str">
        <f>RIGHT(Table2[[#This Row],[Building]],LEN(Table2[[#This Row],[Building]])-9)</f>
        <v>E Cabell Fob/Uspo/Ct</v>
      </c>
    </row>
    <row r="877" spans="1:8" ht="22.5" x14ac:dyDescent="0.25">
      <c r="A877" s="39" t="s">
        <v>1360</v>
      </c>
      <c r="B877" s="31">
        <v>389576.01</v>
      </c>
      <c r="C877" s="31">
        <v>195650.12</v>
      </c>
      <c r="D877" s="31">
        <v>446937.81</v>
      </c>
      <c r="E877" s="30">
        <v>1032163.94</v>
      </c>
      <c r="F877" t="str">
        <f>LEFT(Table2[[#This Row],[Building]],2)</f>
        <v>TX</v>
      </c>
      <c r="G877" t="str">
        <f>LEFT(Table2[[#This Row],[Building]],8)</f>
        <v>TX0292ZZ</v>
      </c>
      <c r="H877" t="str">
        <f>RIGHT(Table2[[#This Row],[Building]],LEN(Table2[[#This Row],[Building]])-9)</f>
        <v>Am Smith Federal Bld</v>
      </c>
    </row>
    <row r="878" spans="1:8" ht="22.5" x14ac:dyDescent="0.25">
      <c r="A878" s="39" t="s">
        <v>1361</v>
      </c>
      <c r="B878" s="29">
        <v>4144.42</v>
      </c>
      <c r="C878" s="29">
        <v>3484.97</v>
      </c>
      <c r="D878" s="29">
        <v>2311.86</v>
      </c>
      <c r="E878" s="30">
        <v>9941.25</v>
      </c>
      <c r="F878" t="str">
        <f>LEFT(Table2[[#This Row],[Building]],2)</f>
        <v>TX</v>
      </c>
      <c r="G878" t="str">
        <f>LEFT(Table2[[#This Row],[Building]],8)</f>
        <v>TX0296MF</v>
      </c>
      <c r="H878" t="str">
        <f>RIGHT(Table2[[#This Row],[Building]],LEN(Table2[[#This Row],[Building]])-9)</f>
        <v>Bpsh Marfa Mod Bldg</v>
      </c>
    </row>
    <row r="879" spans="1:8" x14ac:dyDescent="0.25">
      <c r="A879" s="39" t="s">
        <v>1362</v>
      </c>
      <c r="B879" s="31">
        <v>348599.44</v>
      </c>
      <c r="C879" s="31">
        <v>234901.47</v>
      </c>
      <c r="D879" s="31">
        <v>562826.88</v>
      </c>
      <c r="E879" s="30">
        <v>1146327.79</v>
      </c>
      <c r="F879" t="str">
        <f>LEFT(Table2[[#This Row],[Building]],2)</f>
        <v>TX</v>
      </c>
      <c r="G879" t="str">
        <f>LEFT(Table2[[#This Row],[Building]],8)</f>
        <v>TX0297ZZ</v>
      </c>
      <c r="H879" t="str">
        <f>RIGHT(Table2[[#This Row],[Building]],LEN(Table2[[#This Row],[Building]])-9)</f>
        <v>Alliance Tower</v>
      </c>
    </row>
    <row r="880" spans="1:8" ht="22.5" x14ac:dyDescent="0.25">
      <c r="A880" s="39" t="s">
        <v>1363</v>
      </c>
      <c r="B880" s="29">
        <v>474903</v>
      </c>
      <c r="C880" s="29">
        <v>361789.37</v>
      </c>
      <c r="D880" s="29">
        <v>662408.81000000006</v>
      </c>
      <c r="E880" s="30">
        <v>1499101.18</v>
      </c>
      <c r="F880" t="str">
        <f>LEFT(Table2[[#This Row],[Building]],2)</f>
        <v>TX</v>
      </c>
      <c r="G880" t="str">
        <f>LEFT(Table2[[#This Row],[Building]],8)</f>
        <v>TX0298ZZ</v>
      </c>
      <c r="H880" t="str">
        <f>RIGHT(Table2[[#This Row],[Building]],LEN(Table2[[#This Row],[Building]])-9)</f>
        <v>Gt Leland Federal Bl</v>
      </c>
    </row>
    <row r="881" spans="1:8" ht="22.5" x14ac:dyDescent="0.25">
      <c r="A881" s="39" t="s">
        <v>1364</v>
      </c>
      <c r="B881" s="34" t="s">
        <v>1365</v>
      </c>
      <c r="C881" s="34" t="s">
        <v>1366</v>
      </c>
      <c r="D881" s="34" t="s">
        <v>1367</v>
      </c>
      <c r="E881" s="33" t="s">
        <v>1368</v>
      </c>
      <c r="F881" t="str">
        <f>LEFT(Table2[[#This Row],[Building]],2)</f>
        <v>TX</v>
      </c>
      <c r="G881" t="str">
        <f>LEFT(Table2[[#This Row],[Building]],8)</f>
        <v>TX0301LI</v>
      </c>
      <c r="H881" t="str">
        <f>RIGHT(Table2[[#This Row],[Building]],LEN(Table2[[#This Row],[Building]])-9)</f>
        <v>Usbs Los Indios Admi</v>
      </c>
    </row>
    <row r="882" spans="1:8" x14ac:dyDescent="0.25">
      <c r="A882" s="39" t="s">
        <v>1369</v>
      </c>
      <c r="B882" s="29">
        <v>332987.73</v>
      </c>
      <c r="C882" s="29">
        <v>261786.71</v>
      </c>
      <c r="D882" s="29">
        <v>492693.1</v>
      </c>
      <c r="E882" s="30">
        <v>1087467.54</v>
      </c>
      <c r="F882" t="str">
        <f>LEFT(Table2[[#This Row],[Building]],2)</f>
        <v>TX</v>
      </c>
      <c r="G882" t="str">
        <f>LEFT(Table2[[#This Row],[Building]],8)</f>
        <v>TX0302ZZ</v>
      </c>
      <c r="H882" t="str">
        <f>RIGHT(Table2[[#This Row],[Building]],LEN(Table2[[#This Row],[Building]])-9)</f>
        <v>The Centre Phase 5</v>
      </c>
    </row>
    <row r="883" spans="1:8" ht="22.5" x14ac:dyDescent="0.25">
      <c r="A883" s="39" t="s">
        <v>1370</v>
      </c>
      <c r="B883" s="34" t="s">
        <v>1371</v>
      </c>
      <c r="C883" s="34" t="s">
        <v>1372</v>
      </c>
      <c r="D883" s="34" t="s">
        <v>1373</v>
      </c>
      <c r="E883" s="33" t="s">
        <v>1374</v>
      </c>
      <c r="F883" t="str">
        <f>LEFT(Table2[[#This Row],[Building]],2)</f>
        <v>TX</v>
      </c>
      <c r="G883" t="str">
        <f>LEFT(Table2[[#This Row],[Building]],8)</f>
        <v>TX0306CB</v>
      </c>
      <c r="H883" t="str">
        <f>RIGHT(Table2[[#This Row],[Building]],LEN(Table2[[#This Row],[Building]])-9)</f>
        <v>Usbs Colombia Admin</v>
      </c>
    </row>
    <row r="884" spans="1:8" ht="22.5" x14ac:dyDescent="0.25">
      <c r="A884" s="39" t="s">
        <v>1376</v>
      </c>
      <c r="B884" s="31">
        <v>191393.56</v>
      </c>
      <c r="C884" s="31">
        <v>149875.79999999999</v>
      </c>
      <c r="D884" s="31">
        <v>230103.78</v>
      </c>
      <c r="E884" s="30">
        <v>571373.14</v>
      </c>
      <c r="F884" t="str">
        <f>LEFT(Table2[[#This Row],[Building]],2)</f>
        <v>TX</v>
      </c>
      <c r="G884" t="str">
        <f>LEFT(Table2[[#This Row],[Building]],8)</f>
        <v>TX0311ZZ</v>
      </c>
      <c r="H884" t="str">
        <f>RIGHT(Table2[[#This Row],[Building]],LEN(Table2[[#This Row],[Building]])-9)</f>
        <v>Laredo Federal Bldg/</v>
      </c>
    </row>
    <row r="885" spans="1:8" ht="22.5" x14ac:dyDescent="0.25">
      <c r="A885" s="39" t="s">
        <v>1377</v>
      </c>
      <c r="B885" s="32" t="s">
        <v>1378</v>
      </c>
      <c r="C885" s="29">
        <v>10027.93</v>
      </c>
      <c r="D885" s="32" t="s">
        <v>1379</v>
      </c>
      <c r="E885" s="33" t="s">
        <v>1380</v>
      </c>
      <c r="F885" t="str">
        <f>LEFT(Table2[[#This Row],[Building]],2)</f>
        <v>TX</v>
      </c>
      <c r="G885" t="str">
        <f>LEFT(Table2[[#This Row],[Building]],8)</f>
        <v>TX0312BM</v>
      </c>
      <c r="H885" t="str">
        <f>RIGHT(Table2[[#This Row],[Building]],LEN(Table2[[#This Row],[Building]])-9)</f>
        <v>Usbs B&amp;M Admin Bldg</v>
      </c>
    </row>
    <row r="886" spans="1:8" ht="22.5" x14ac:dyDescent="0.25">
      <c r="A886" s="39" t="s">
        <v>1381</v>
      </c>
      <c r="B886" s="31">
        <v>210384.75</v>
      </c>
      <c r="C886" s="31">
        <v>270053.86</v>
      </c>
      <c r="D886" s="31">
        <v>292591.99</v>
      </c>
      <c r="E886" s="30">
        <v>773030.6</v>
      </c>
      <c r="F886" t="str">
        <f>LEFT(Table2[[#This Row],[Building]],2)</f>
        <v>TX</v>
      </c>
      <c r="G886" t="str">
        <f>LEFT(Table2[[#This Row],[Building]],8)</f>
        <v>TX0313ZZ</v>
      </c>
      <c r="H886" t="str">
        <f>RIGHT(Table2[[#This Row],[Building]],LEN(Table2[[#This Row],[Building]])-9)</f>
        <v>Corpus Christi Court</v>
      </c>
    </row>
    <row r="887" spans="1:8" ht="22.5" x14ac:dyDescent="0.25">
      <c r="A887" s="39" t="s">
        <v>1382</v>
      </c>
      <c r="B887" s="29">
        <v>233412.76</v>
      </c>
      <c r="C887" s="29">
        <v>217347.96</v>
      </c>
      <c r="D887" s="29">
        <v>120774.76</v>
      </c>
      <c r="E887" s="30">
        <v>571535.48</v>
      </c>
      <c r="F887" t="str">
        <f>LEFT(Table2[[#This Row],[Building]],2)</f>
        <v>TX</v>
      </c>
      <c r="G887" t="str">
        <f>LEFT(Table2[[#This Row],[Building]],8)</f>
        <v>TX0316ZZ</v>
      </c>
      <c r="H887" t="str">
        <f>RIGHT(Table2[[#This Row],[Building]],LEN(Table2[[#This Row],[Building]])-9)</f>
        <v>Brownsville Fed Bldg</v>
      </c>
    </row>
    <row r="888" spans="1:8" ht="22.5" x14ac:dyDescent="0.25">
      <c r="A888" s="39" t="s">
        <v>1383</v>
      </c>
      <c r="B888" s="34" t="s">
        <v>1384</v>
      </c>
      <c r="C888" s="31">
        <v>89358.03</v>
      </c>
      <c r="D888" s="34" t="s">
        <v>1385</v>
      </c>
      <c r="E888" s="33" t="s">
        <v>1386</v>
      </c>
      <c r="F888" t="str">
        <f>LEFT(Table2[[#This Row],[Building]],2)</f>
        <v>TX</v>
      </c>
      <c r="G888" t="str">
        <f>LEFT(Table2[[#This Row],[Building]],8)</f>
        <v>TX0318PH</v>
      </c>
      <c r="H888" t="str">
        <f>RIGHT(Table2[[#This Row],[Building]],LEN(Table2[[#This Row],[Building]])-9)</f>
        <v>Usbs Pharr Admin Bld</v>
      </c>
    </row>
    <row r="889" spans="1:8" ht="22.5" x14ac:dyDescent="0.25">
      <c r="A889" s="39" t="s">
        <v>1387</v>
      </c>
      <c r="B889" s="29">
        <v>280995.55</v>
      </c>
      <c r="C889" s="29">
        <v>380831.3</v>
      </c>
      <c r="D889" s="29">
        <v>276731.90000000002</v>
      </c>
      <c r="E889" s="30">
        <v>938558.75</v>
      </c>
      <c r="F889" t="str">
        <f>LEFT(Table2[[#This Row],[Building]],2)</f>
        <v>TX</v>
      </c>
      <c r="G889" t="str">
        <f>LEFT(Table2[[#This Row],[Building]],8)</f>
        <v>TX0319ZZ</v>
      </c>
      <c r="H889" t="str">
        <f>RIGHT(Table2[[#This Row],[Building]],LEN(Table2[[#This Row],[Building]])-9)</f>
        <v>Armenadriz U.S. Cour</v>
      </c>
    </row>
    <row r="890" spans="1:8" x14ac:dyDescent="0.25">
      <c r="A890" s="39" t="s">
        <v>1408</v>
      </c>
      <c r="B890" s="34" t="s">
        <v>1409</v>
      </c>
      <c r="C890" s="34" t="s">
        <v>1410</v>
      </c>
      <c r="D890" s="31">
        <v>220.22</v>
      </c>
      <c r="E890" s="33" t="s">
        <v>1411</v>
      </c>
      <c r="F890" t="str">
        <f>LEFT(Table2[[#This Row],[Building]],2)</f>
        <v>TX</v>
      </c>
      <c r="G890" t="str">
        <f>LEFT(Table2[[#This Row],[Building]],8)</f>
        <v>TX0343LI</v>
      </c>
      <c r="H890" t="str">
        <f>RIGHT(Table2[[#This Row],[Building]],LEN(Table2[[#This Row],[Building]])-9)</f>
        <v>Usbs Los Indios Dot</v>
      </c>
    </row>
    <row r="891" spans="1:8" ht="22.5" x14ac:dyDescent="0.25">
      <c r="A891" s="39" t="s">
        <v>1425</v>
      </c>
      <c r="B891" s="31">
        <v>8188.18</v>
      </c>
      <c r="C891" s="31">
        <v>7957.36</v>
      </c>
      <c r="D891" s="31">
        <v>8188.17</v>
      </c>
      <c r="E891" s="30">
        <v>24333.71</v>
      </c>
      <c r="F891" t="str">
        <f>LEFT(Table2[[#This Row],[Building]],2)</f>
        <v>TX</v>
      </c>
      <c r="G891" t="str">
        <f>LEFT(Table2[[#This Row],[Building]],8)</f>
        <v>TX0362PH</v>
      </c>
      <c r="H891" t="str">
        <f>RIGHT(Table2[[#This Row],[Building]],LEN(Table2[[#This Row],[Building]])-9)</f>
        <v>Usbs Pharr Intell X2</v>
      </c>
    </row>
    <row r="892" spans="1:8" ht="22.5" x14ac:dyDescent="0.25">
      <c r="A892" s="39" t="s">
        <v>1427</v>
      </c>
      <c r="B892" s="31">
        <v>3484.64</v>
      </c>
      <c r="C892" s="34" t="s">
        <v>1428</v>
      </c>
      <c r="D892" s="34" t="s">
        <v>1429</v>
      </c>
      <c r="E892" s="33" t="s">
        <v>1430</v>
      </c>
      <c r="F892" t="str">
        <f>LEFT(Table2[[#This Row],[Building]],2)</f>
        <v>TX</v>
      </c>
      <c r="G892" t="str">
        <f>LEFT(Table2[[#This Row],[Building]],8)</f>
        <v>TX0364PH</v>
      </c>
      <c r="H892" t="str">
        <f>RIGHT(Table2[[#This Row],[Building]],LEN(Table2[[#This Row],[Building]])-9)</f>
        <v>Usbs Pharr Dot Mod B</v>
      </c>
    </row>
    <row r="893" spans="1:8" ht="22.5" x14ac:dyDescent="0.25">
      <c r="A893" s="39" t="s">
        <v>1431</v>
      </c>
      <c r="B893" s="29">
        <v>10505.09</v>
      </c>
      <c r="C893" s="29">
        <v>6678.43</v>
      </c>
      <c r="D893" s="29">
        <v>1399.11</v>
      </c>
      <c r="E893" s="30">
        <v>18582.63</v>
      </c>
      <c r="F893" t="str">
        <f>LEFT(Table2[[#This Row],[Building]],2)</f>
        <v>TX</v>
      </c>
      <c r="G893" t="str">
        <f>LEFT(Table2[[#This Row],[Building]],8)</f>
        <v>TX0365DL</v>
      </c>
      <c r="H893" t="str">
        <f>RIGHT(Table2[[#This Row],[Building]],LEN(Table2[[#This Row],[Building]])-9)</f>
        <v>Usbs Del Rio Fda Mod</v>
      </c>
    </row>
    <row r="894" spans="1:8" ht="22.5" x14ac:dyDescent="0.25">
      <c r="A894" s="39" t="s">
        <v>1432</v>
      </c>
      <c r="B894" s="31">
        <v>5283.67</v>
      </c>
      <c r="C894" s="31">
        <v>444.8</v>
      </c>
      <c r="D894" s="31">
        <v>1648.31</v>
      </c>
      <c r="E894" s="30">
        <v>7376.78</v>
      </c>
      <c r="F894" t="str">
        <f>LEFT(Table2[[#This Row],[Building]],2)</f>
        <v>TX</v>
      </c>
      <c r="G894" t="str">
        <f>LEFT(Table2[[#This Row],[Building]],8)</f>
        <v>TX0366DL</v>
      </c>
      <c r="H894" t="str">
        <f>RIGHT(Table2[[#This Row],[Building]],LEN(Table2[[#This Row],[Building]])-9)</f>
        <v>Usbs Del Rio Dot Mod</v>
      </c>
    </row>
    <row r="895" spans="1:8" x14ac:dyDescent="0.25">
      <c r="A895" s="39" t="s">
        <v>1433</v>
      </c>
      <c r="B895" s="29">
        <v>31458.33</v>
      </c>
      <c r="C895" s="29">
        <v>40656.11</v>
      </c>
      <c r="D895" s="29">
        <v>9813.7199999999993</v>
      </c>
      <c r="E895" s="30">
        <v>81928.160000000003</v>
      </c>
      <c r="F895" t="str">
        <f>LEFT(Table2[[#This Row],[Building]],2)</f>
        <v>TX</v>
      </c>
      <c r="G895" t="str">
        <f>LEFT(Table2[[#This Row],[Building]],8)</f>
        <v>TX0377DL</v>
      </c>
      <c r="H895" t="str">
        <f>RIGHT(Table2[[#This Row],[Building]],LEN(Table2[[#This Row],[Building]])-9)</f>
        <v>Usbs Del Rio Export</v>
      </c>
    </row>
    <row r="896" spans="1:8" ht="22.5" x14ac:dyDescent="0.25">
      <c r="A896" s="39" t="s">
        <v>1434</v>
      </c>
      <c r="B896" s="31">
        <v>108101.78</v>
      </c>
      <c r="C896" s="31">
        <v>21013.18</v>
      </c>
      <c r="D896" s="31">
        <v>33723.440000000002</v>
      </c>
      <c r="E896" s="30">
        <v>162838.39999999999</v>
      </c>
      <c r="F896" t="str">
        <f>LEFT(Table2[[#This Row],[Building]],2)</f>
        <v>TX</v>
      </c>
      <c r="G896" t="str">
        <f>LEFT(Table2[[#This Row],[Building]],8)</f>
        <v>TX0378DL</v>
      </c>
      <c r="H896" t="str">
        <f>RIGHT(Table2[[#This Row],[Building]],LEN(Table2[[#This Row],[Building]])-9)</f>
        <v>Usbs Del Rio Import</v>
      </c>
    </row>
    <row r="897" spans="1:8" ht="22.5" x14ac:dyDescent="0.25">
      <c r="A897" s="39" t="s">
        <v>1435</v>
      </c>
      <c r="B897" s="29">
        <v>352870.24</v>
      </c>
      <c r="C897" s="29">
        <v>444300.49</v>
      </c>
      <c r="D897" s="29">
        <v>652931.31999999995</v>
      </c>
      <c r="E897" s="30">
        <v>1450102.05</v>
      </c>
      <c r="F897" t="str">
        <f>LEFT(Table2[[#This Row],[Building]],2)</f>
        <v>TX</v>
      </c>
      <c r="G897" t="str">
        <f>LEFT(Table2[[#This Row],[Building]],8)</f>
        <v>TX0397ZZ</v>
      </c>
      <c r="H897" t="str">
        <f>RIGHT(Table2[[#This Row],[Building]],LEN(Table2[[#This Row],[Building]])-9)</f>
        <v>New Austin Courthous</v>
      </c>
    </row>
    <row r="898" spans="1:8" ht="22.5" x14ac:dyDescent="0.25">
      <c r="A898" s="39" t="s">
        <v>1436</v>
      </c>
      <c r="B898" s="34" t="s">
        <v>1437</v>
      </c>
      <c r="C898" s="34" t="s">
        <v>1438</v>
      </c>
      <c r="D898" s="34" t="s">
        <v>1439</v>
      </c>
      <c r="E898" s="33" t="s">
        <v>1440</v>
      </c>
      <c r="F898" t="str">
        <f>LEFT(Table2[[#This Row],[Building]],2)</f>
        <v>TX</v>
      </c>
      <c r="G898" t="str">
        <f>LEFT(Table2[[#This Row],[Building]],8)</f>
        <v>TX0406DL</v>
      </c>
      <c r="H898" t="str">
        <f>RIGHT(Table2[[#This Row],[Building]],LEN(Table2[[#This Row],[Building]])-9)</f>
        <v>Usbs Del Rio New Adm</v>
      </c>
    </row>
    <row r="899" spans="1:8" ht="22.5" x14ac:dyDescent="0.25">
      <c r="A899" s="39" t="s">
        <v>1441</v>
      </c>
      <c r="B899" s="29">
        <v>16039.64</v>
      </c>
      <c r="C899" s="29">
        <v>549.61</v>
      </c>
      <c r="D899" s="29">
        <v>5003.7299999999996</v>
      </c>
      <c r="E899" s="30">
        <v>21592.98</v>
      </c>
      <c r="F899" t="str">
        <f>LEFT(Table2[[#This Row],[Building]],2)</f>
        <v>TX</v>
      </c>
      <c r="G899" t="str">
        <f>LEFT(Table2[[#This Row],[Building]],8)</f>
        <v>TX0407DL</v>
      </c>
      <c r="H899" t="str">
        <f>RIGHT(Table2[[#This Row],[Building]],LEN(Table2[[#This Row],[Building]])-9)</f>
        <v>Usbs Del Rio New Ken</v>
      </c>
    </row>
    <row r="900" spans="1:8" ht="22.5" x14ac:dyDescent="0.25">
      <c r="A900" s="39" t="s">
        <v>1445</v>
      </c>
      <c r="B900" s="29">
        <v>60012.03</v>
      </c>
      <c r="C900" s="29">
        <v>552.9</v>
      </c>
      <c r="D900" s="29">
        <v>18721.310000000001</v>
      </c>
      <c r="E900" s="30">
        <v>79286.240000000005</v>
      </c>
      <c r="F900" t="str">
        <f>LEFT(Table2[[#This Row],[Building]],2)</f>
        <v>TX</v>
      </c>
      <c r="G900" t="str">
        <f>LEFT(Table2[[#This Row],[Building]],8)</f>
        <v>TX0411DL</v>
      </c>
      <c r="H900" t="str">
        <f>RIGHT(Table2[[#This Row],[Building]],LEN(Table2[[#This Row],[Building]])-9)</f>
        <v>Usbs Del Rio New Hea</v>
      </c>
    </row>
    <row r="901" spans="1:8" ht="22.5" x14ac:dyDescent="0.25">
      <c r="A901" s="39" t="s">
        <v>1447</v>
      </c>
      <c r="B901" s="32" t="s">
        <v>1448</v>
      </c>
      <c r="C901" s="29">
        <v>4264.49</v>
      </c>
      <c r="D901" s="32" t="s">
        <v>1449</v>
      </c>
      <c r="E901" s="33" t="s">
        <v>1450</v>
      </c>
      <c r="F901" t="str">
        <f>LEFT(Table2[[#This Row],[Building]],2)</f>
        <v>TX</v>
      </c>
      <c r="G901" t="str">
        <f>LEFT(Table2[[#This Row],[Building]],8)</f>
        <v>TX0425LW</v>
      </c>
      <c r="H901" t="str">
        <f>RIGHT(Table2[[#This Row],[Building]],LEN(Table2[[#This Row],[Building]])-9)</f>
        <v>Usbp Laredo West Adm</v>
      </c>
    </row>
    <row r="902" spans="1:8" x14ac:dyDescent="0.25">
      <c r="A902" s="39" t="s">
        <v>1455</v>
      </c>
      <c r="B902" s="31">
        <v>478197.46</v>
      </c>
      <c r="C902" s="31">
        <v>558210.13</v>
      </c>
      <c r="D902" s="31">
        <v>496987.01</v>
      </c>
      <c r="E902" s="30">
        <v>1533394.6</v>
      </c>
      <c r="F902" t="str">
        <f>LEFT(Table2[[#This Row],[Building]],2)</f>
        <v>TX</v>
      </c>
      <c r="G902" t="str">
        <f>LEFT(Table2[[#This Row],[Building]],8)</f>
        <v>TX0435HF</v>
      </c>
      <c r="H902" t="str">
        <f>RIGHT(Table2[[#This Row],[Building]],LEN(Table2[[#This Row],[Building]])-9)</f>
        <v>1 Justice Park Drive</v>
      </c>
    </row>
    <row r="903" spans="1:8" x14ac:dyDescent="0.25">
      <c r="A903" s="39" t="s">
        <v>1456</v>
      </c>
      <c r="B903" s="29">
        <v>708.3</v>
      </c>
      <c r="C903" s="29">
        <v>57.75</v>
      </c>
      <c r="D903" s="29">
        <v>667.32</v>
      </c>
      <c r="E903" s="30">
        <v>1433.37</v>
      </c>
      <c r="F903" t="str">
        <f>LEFT(Table2[[#This Row],[Building]],2)</f>
        <v>TX</v>
      </c>
      <c r="G903" t="str">
        <f>LEFT(Table2[[#This Row],[Building]],8)</f>
        <v>TX0436HF</v>
      </c>
      <c r="H903" t="str">
        <f>RIGHT(Table2[[#This Row],[Building]],LEN(Table2[[#This Row],[Building]])-9)</f>
        <v>1 Justice Park Dr. G</v>
      </c>
    </row>
    <row r="904" spans="1:8" x14ac:dyDescent="0.25">
      <c r="A904" s="39" t="s">
        <v>1457</v>
      </c>
      <c r="B904" s="31">
        <v>28194.84</v>
      </c>
      <c r="C904" s="31">
        <v>288.75</v>
      </c>
      <c r="D904" s="31">
        <v>170730.95</v>
      </c>
      <c r="E904" s="30">
        <v>199214.54</v>
      </c>
      <c r="F904" t="str">
        <f>LEFT(Table2[[#This Row],[Building]],2)</f>
        <v>TX</v>
      </c>
      <c r="G904" t="str">
        <f>LEFT(Table2[[#This Row],[Building]],8)</f>
        <v>TX0437HF</v>
      </c>
      <c r="H904" t="str">
        <f>RIGHT(Table2[[#This Row],[Building]],LEN(Table2[[#This Row],[Building]])-9)</f>
        <v>1 Justice Park Dr Pk</v>
      </c>
    </row>
    <row r="905" spans="1:8" ht="22.5" x14ac:dyDescent="0.25">
      <c r="A905" s="39" t="s">
        <v>1459</v>
      </c>
      <c r="B905" s="31">
        <v>45739.43</v>
      </c>
      <c r="C905" s="31">
        <v>9046.81</v>
      </c>
      <c r="D905" s="31">
        <v>63386.75</v>
      </c>
      <c r="E905" s="30">
        <v>118172.99</v>
      </c>
      <c r="F905" t="str">
        <f>LEFT(Table2[[#This Row],[Building]],2)</f>
        <v>TX</v>
      </c>
      <c r="G905" t="str">
        <f>LEFT(Table2[[#This Row],[Building]],8)</f>
        <v>TX0441ZZ</v>
      </c>
      <c r="H905" t="str">
        <f>RIGHT(Table2[[#This Row],[Building]],LEN(Table2[[#This Row],[Building]])-9)</f>
        <v>San Antonio Fed Park</v>
      </c>
    </row>
    <row r="906" spans="1:8" ht="22.5" x14ac:dyDescent="0.25">
      <c r="A906" s="39" t="s">
        <v>1460</v>
      </c>
      <c r="B906" s="29">
        <v>227047.18</v>
      </c>
      <c r="C906" s="29">
        <v>345799.56</v>
      </c>
      <c r="D906" s="29">
        <v>255266.34</v>
      </c>
      <c r="E906" s="30">
        <v>828113.08</v>
      </c>
      <c r="F906" t="str">
        <f>LEFT(Table2[[#This Row],[Building]],2)</f>
        <v>TX</v>
      </c>
      <c r="G906" t="str">
        <f>LEFT(Table2[[#This Row],[Building]],8)</f>
        <v>TX0501HS</v>
      </c>
      <c r="H906" t="str">
        <f>RIGHT(Table2[[#This Row],[Building]],LEN(Table2[[#This Row],[Building]])-9)</f>
        <v>San Antonio Federal</v>
      </c>
    </row>
    <row r="907" spans="1:8" x14ac:dyDescent="0.25">
      <c r="A907" s="39" t="s">
        <v>1461</v>
      </c>
      <c r="B907" s="31">
        <v>160324.14000000001</v>
      </c>
      <c r="C907" s="31">
        <v>211312.95</v>
      </c>
      <c r="D907" s="31">
        <v>259168.17</v>
      </c>
      <c r="E907" s="30">
        <v>630805.26</v>
      </c>
      <c r="F907" t="str">
        <f>LEFT(Table2[[#This Row],[Building]],2)</f>
        <v>TX</v>
      </c>
      <c r="G907" t="str">
        <f>LEFT(Table2[[#This Row],[Building]],8)</f>
        <v>TX0502HS</v>
      </c>
      <c r="H907" t="str">
        <f>RIGHT(Table2[[#This Row],[Building]],LEN(Table2[[#This Row],[Building]])-9)</f>
        <v>J Wood Courthouse</v>
      </c>
    </row>
    <row r="908" spans="1:8" ht="22.5" x14ac:dyDescent="0.25">
      <c r="A908" s="39" t="s">
        <v>1462</v>
      </c>
      <c r="B908" s="29">
        <v>23215.59</v>
      </c>
      <c r="C908" s="29">
        <v>34703.26</v>
      </c>
      <c r="D908" s="29">
        <v>36787.22</v>
      </c>
      <c r="E908" s="30">
        <v>94706.07</v>
      </c>
      <c r="F908" t="str">
        <f>LEFT(Table2[[#This Row],[Building]],2)</f>
        <v>TX</v>
      </c>
      <c r="G908" t="str">
        <f>LEFT(Table2[[#This Row],[Building]],8)</f>
        <v>TX0503HS</v>
      </c>
      <c r="H908" t="str">
        <f>RIGHT(Table2[[#This Row],[Building]],LEN(Table2[[#This Row],[Building]])-9)</f>
        <v>Aa Spears Judge Trai</v>
      </c>
    </row>
    <row r="909" spans="1:8" x14ac:dyDescent="0.25">
      <c r="A909" s="39" t="s">
        <v>1468</v>
      </c>
      <c r="B909" s="29">
        <v>8769.99</v>
      </c>
      <c r="C909" s="29">
        <v>66302.600000000006</v>
      </c>
      <c r="D909" s="29">
        <v>22509.63</v>
      </c>
      <c r="E909" s="30">
        <v>97582.22</v>
      </c>
      <c r="F909" t="str">
        <f>LEFT(Table2[[#This Row],[Building]],2)</f>
        <v>TX</v>
      </c>
      <c r="G909" t="str">
        <f>LEFT(Table2[[#This Row],[Building]],8)</f>
        <v>TX0511LR</v>
      </c>
      <c r="H909" t="str">
        <f>RIGHT(Table2[[#This Row],[Building]],LEN(Table2[[#This Row],[Building]])-9)</f>
        <v>Bpsh Laredo Bldg A</v>
      </c>
    </row>
    <row r="910" spans="1:8" ht="22.5" x14ac:dyDescent="0.25">
      <c r="A910" s="39" t="s">
        <v>1471</v>
      </c>
      <c r="B910" s="31">
        <v>18217.419999999998</v>
      </c>
      <c r="C910" s="31">
        <v>15319.11</v>
      </c>
      <c r="D910" s="31">
        <v>10552.15</v>
      </c>
      <c r="E910" s="30">
        <v>44088.68</v>
      </c>
      <c r="F910" t="str">
        <f>LEFT(Table2[[#This Row],[Building]],2)</f>
        <v>TX</v>
      </c>
      <c r="G910" t="str">
        <f>LEFT(Table2[[#This Row],[Building]],8)</f>
        <v>TX0521MF</v>
      </c>
      <c r="H910" t="str">
        <f>RIGHT(Table2[[#This Row],[Building]],LEN(Table2[[#This Row],[Building]])-9)</f>
        <v>Bpsh Marfa Admin Bld</v>
      </c>
    </row>
    <row r="911" spans="1:8" ht="22.5" x14ac:dyDescent="0.25">
      <c r="A911" s="39" t="s">
        <v>1472</v>
      </c>
      <c r="B911" s="29">
        <v>15076.86</v>
      </c>
      <c r="C911" s="29">
        <v>12678.14</v>
      </c>
      <c r="D911" s="29">
        <v>8410.39</v>
      </c>
      <c r="E911" s="30">
        <v>36165.39</v>
      </c>
      <c r="F911" t="str">
        <f>LEFT(Table2[[#This Row],[Building]],2)</f>
        <v>TX</v>
      </c>
      <c r="G911" t="str">
        <f>LEFT(Table2[[#This Row],[Building]],8)</f>
        <v>TX0522MF</v>
      </c>
      <c r="H911" t="str">
        <f>RIGHT(Table2[[#This Row],[Building]],LEN(Table2[[#This Row],[Building]])-9)</f>
        <v>Bpsh Marfa Repair Ga</v>
      </c>
    </row>
    <row r="912" spans="1:8" ht="22.5" x14ac:dyDescent="0.25">
      <c r="A912" s="39" t="s">
        <v>1473</v>
      </c>
      <c r="B912" s="31">
        <v>14342.36</v>
      </c>
      <c r="C912" s="31">
        <v>12060.55</v>
      </c>
      <c r="D912" s="31">
        <v>8000.75</v>
      </c>
      <c r="E912" s="30">
        <v>34403.660000000003</v>
      </c>
      <c r="F912" t="str">
        <f>LEFT(Table2[[#This Row],[Building]],2)</f>
        <v>TX</v>
      </c>
      <c r="G912" t="str">
        <f>LEFT(Table2[[#This Row],[Building]],8)</f>
        <v>TX0523MF</v>
      </c>
      <c r="H912" t="str">
        <f>RIGHT(Table2[[#This Row],[Building]],LEN(Table2[[#This Row],[Building]])-9)</f>
        <v>Bpsh Marfa Storage G</v>
      </c>
    </row>
    <row r="913" spans="1:8" ht="22.5" x14ac:dyDescent="0.25">
      <c r="A913" s="39" t="s">
        <v>1474</v>
      </c>
      <c r="B913" s="29">
        <v>7735.39</v>
      </c>
      <c r="C913" s="29">
        <v>6504.72</v>
      </c>
      <c r="D913" s="29">
        <v>4315.09</v>
      </c>
      <c r="E913" s="30">
        <v>18555.2</v>
      </c>
      <c r="F913" t="str">
        <f>LEFT(Table2[[#This Row],[Building]],2)</f>
        <v>TX</v>
      </c>
      <c r="G913" t="str">
        <f>LEFT(Table2[[#This Row],[Building]],8)</f>
        <v>TX0524MF</v>
      </c>
      <c r="H913" t="str">
        <f>RIGHT(Table2[[#This Row],[Building]],LEN(Table2[[#This Row],[Building]])-9)</f>
        <v>Bpsh Marfa Pistol Ra</v>
      </c>
    </row>
    <row r="914" spans="1:8" ht="22.5" x14ac:dyDescent="0.25">
      <c r="A914" s="39" t="s">
        <v>1475</v>
      </c>
      <c r="B914" s="31">
        <v>7765.94</v>
      </c>
      <c r="C914" s="31">
        <v>6565.77</v>
      </c>
      <c r="D914" s="31">
        <v>7780.94</v>
      </c>
      <c r="E914" s="30">
        <v>22112.65</v>
      </c>
      <c r="F914" t="str">
        <f>LEFT(Table2[[#This Row],[Building]],2)</f>
        <v>TX</v>
      </c>
      <c r="G914" t="str">
        <f>LEFT(Table2[[#This Row],[Building]],8)</f>
        <v>TX0533FB</v>
      </c>
      <c r="H914" t="str">
        <f>RIGHT(Table2[[#This Row],[Building]],LEN(Table2[[#This Row],[Building]])-9)</f>
        <v>Usbs Fabens Addl Sec</v>
      </c>
    </row>
    <row r="915" spans="1:8" ht="22.5" x14ac:dyDescent="0.25">
      <c r="A915" s="39" t="s">
        <v>1481</v>
      </c>
      <c r="B915" s="34" t="s">
        <v>1482</v>
      </c>
      <c r="C915" s="31">
        <v>67482.399999999994</v>
      </c>
      <c r="D915" s="34" t="s">
        <v>1483</v>
      </c>
      <c r="E915" s="33" t="s">
        <v>1484</v>
      </c>
      <c r="F915" t="str">
        <f>LEFT(Table2[[#This Row],[Building]],2)</f>
        <v>TX</v>
      </c>
      <c r="G915" t="str">
        <f>LEFT(Table2[[#This Row],[Building]],8)</f>
        <v>TX0540LT</v>
      </c>
      <c r="H915" t="str">
        <f>RIGHT(Table2[[#This Row],[Building]],LEN(Table2[[#This Row],[Building]])-9)</f>
        <v>Usbs Los Tomates Adm</v>
      </c>
    </row>
    <row r="916" spans="1:8" ht="22.5" x14ac:dyDescent="0.25">
      <c r="A916" s="39" t="s">
        <v>1499</v>
      </c>
      <c r="B916" s="31">
        <v>5531.43</v>
      </c>
      <c r="C916" s="31">
        <v>10245.42</v>
      </c>
      <c r="D916" s="31">
        <v>2840.67</v>
      </c>
      <c r="E916" s="30">
        <v>18617.52</v>
      </c>
      <c r="F916" t="str">
        <f>LEFT(Table2[[#This Row],[Building]],2)</f>
        <v>TX</v>
      </c>
      <c r="G916" t="str">
        <f>LEFT(Table2[[#This Row],[Building]],8)</f>
        <v>TX0555LT</v>
      </c>
      <c r="H916" t="str">
        <f>RIGHT(Table2[[#This Row],[Building]],LEN(Table2[[#This Row],[Building]])-9)</f>
        <v>Usbs Los Tomates Car</v>
      </c>
    </row>
    <row r="917" spans="1:8" ht="22.5" x14ac:dyDescent="0.25">
      <c r="A917" s="39" t="s">
        <v>1500</v>
      </c>
      <c r="B917" s="29">
        <v>334.60999999999899</v>
      </c>
      <c r="C917" s="32" t="s">
        <v>1501</v>
      </c>
      <c r="D917" s="29">
        <v>1892.42</v>
      </c>
      <c r="E917" s="30">
        <v>1028.83</v>
      </c>
      <c r="F917" t="str">
        <f>LEFT(Table2[[#This Row],[Building]],2)</f>
        <v>TX</v>
      </c>
      <c r="G917" t="str">
        <f>LEFT(Table2[[#This Row],[Building]],8)</f>
        <v>TX0556LT</v>
      </c>
      <c r="H917" t="str">
        <f>RIGHT(Table2[[#This Row],[Building]],LEN(Table2[[#This Row],[Building]])-9)</f>
        <v>Usbs Los Tomates Dot</v>
      </c>
    </row>
    <row r="918" spans="1:8" ht="22.5" x14ac:dyDescent="0.25">
      <c r="A918" s="39" t="s">
        <v>1528</v>
      </c>
      <c r="B918" s="31">
        <v>225.75</v>
      </c>
      <c r="C918" s="34" t="s">
        <v>1529</v>
      </c>
      <c r="D918" s="34" t="s">
        <v>1530</v>
      </c>
      <c r="E918" s="33" t="s">
        <v>1531</v>
      </c>
      <c r="F918" t="str">
        <f>LEFT(Table2[[#This Row],[Building]],2)</f>
        <v>TX</v>
      </c>
      <c r="G918" t="str">
        <f>LEFT(Table2[[#This Row],[Building]],8)</f>
        <v>TX0600CB</v>
      </c>
      <c r="H918" t="str">
        <f>RIGHT(Table2[[#This Row],[Building]],LEN(Table2[[#This Row],[Building]])-9)</f>
        <v>Usbs Colombia Dot Mo</v>
      </c>
    </row>
    <row r="919" spans="1:8" ht="22.5" x14ac:dyDescent="0.25">
      <c r="A919" s="39" t="s">
        <v>1534</v>
      </c>
      <c r="B919" s="34" t="s">
        <v>1535</v>
      </c>
      <c r="C919" s="34" t="s">
        <v>1536</v>
      </c>
      <c r="D919" s="34" t="s">
        <v>1537</v>
      </c>
      <c r="E919" s="33" t="s">
        <v>1538</v>
      </c>
      <c r="F919" t="str">
        <f>LEFT(Table2[[#This Row],[Building]],2)</f>
        <v>TX</v>
      </c>
      <c r="G919" t="str">
        <f>LEFT(Table2[[#This Row],[Building]],8)</f>
        <v>TX0604MC</v>
      </c>
      <c r="H919" t="str">
        <f>RIGHT(Table2[[#This Row],[Building]],LEN(Table2[[#This Row],[Building]])-9)</f>
        <v>Usbs Anzalduas Admin</v>
      </c>
    </row>
    <row r="920" spans="1:8" ht="22.5" x14ac:dyDescent="0.25">
      <c r="A920" s="39" t="s">
        <v>1549</v>
      </c>
      <c r="B920" s="32" t="s">
        <v>1550</v>
      </c>
      <c r="C920" s="32" t="s">
        <v>1551</v>
      </c>
      <c r="D920" s="32" t="s">
        <v>1552</v>
      </c>
      <c r="E920" s="33" t="s">
        <v>1553</v>
      </c>
      <c r="F920" t="str">
        <f>LEFT(Table2[[#This Row],[Building]],2)</f>
        <v>TX</v>
      </c>
      <c r="G920" t="str">
        <f>LEFT(Table2[[#This Row],[Building]],8)</f>
        <v>TX0691BN</v>
      </c>
      <c r="H920" t="str">
        <f>RIGHT(Table2[[#This Row],[Building]],LEN(Table2[[#This Row],[Building]])-9)</f>
        <v>Usbs Gateway Bldg A</v>
      </c>
    </row>
    <row r="921" spans="1:8" ht="22.5" x14ac:dyDescent="0.25">
      <c r="A921" s="39" t="s">
        <v>1554</v>
      </c>
      <c r="B921" s="31">
        <v>87322.84</v>
      </c>
      <c r="C921" s="31">
        <v>49969.32</v>
      </c>
      <c r="D921" s="31">
        <v>56551.45</v>
      </c>
      <c r="E921" s="30">
        <v>193843.61</v>
      </c>
      <c r="F921" t="str">
        <f>LEFT(Table2[[#This Row],[Building]],2)</f>
        <v>TX</v>
      </c>
      <c r="G921" t="str">
        <f>LEFT(Table2[[#This Row],[Building]],8)</f>
        <v>TX0693BN</v>
      </c>
      <c r="H921" t="str">
        <f>RIGHT(Table2[[#This Row],[Building]],LEN(Table2[[#This Row],[Building]])-9)</f>
        <v>Usbs Gateway Import</v>
      </c>
    </row>
    <row r="922" spans="1:8" ht="22.5" x14ac:dyDescent="0.25">
      <c r="A922" s="39" t="s">
        <v>1556</v>
      </c>
      <c r="B922" s="31">
        <v>10543.35</v>
      </c>
      <c r="C922" s="31">
        <v>14016.81</v>
      </c>
      <c r="D922" s="31">
        <v>7144.2</v>
      </c>
      <c r="E922" s="30">
        <v>31704.36</v>
      </c>
      <c r="F922" t="str">
        <f>LEFT(Table2[[#This Row],[Building]],2)</f>
        <v>TX</v>
      </c>
      <c r="G922" t="str">
        <f>LEFT(Table2[[#This Row],[Building]],8)</f>
        <v>TX0695BN</v>
      </c>
      <c r="H922" t="str">
        <f>RIGHT(Table2[[#This Row],[Building]],LEN(Table2[[#This Row],[Building]])-9)</f>
        <v>Usbs Gateway Kennels</v>
      </c>
    </row>
    <row r="923" spans="1:8" ht="22.5" x14ac:dyDescent="0.25">
      <c r="A923" s="39" t="s">
        <v>1559</v>
      </c>
      <c r="B923" s="29">
        <v>112914.72</v>
      </c>
      <c r="C923" s="29">
        <v>87758.48</v>
      </c>
      <c r="D923" s="29">
        <v>192887.88</v>
      </c>
      <c r="E923" s="30">
        <v>393561.08</v>
      </c>
      <c r="F923" t="str">
        <f>LEFT(Table2[[#This Row],[Building]],2)</f>
        <v>TX</v>
      </c>
      <c r="G923" t="str">
        <f>LEFT(Table2[[#This Row],[Building]],8)</f>
        <v>TX0701HO</v>
      </c>
      <c r="H923" t="str">
        <f>RIGHT(Table2[[#This Row],[Building]],LEN(Table2[[#This Row],[Building]])-9)</f>
        <v>Labranch Federal Bld</v>
      </c>
    </row>
    <row r="924" spans="1:8" ht="22.5" x14ac:dyDescent="0.25">
      <c r="A924" s="39" t="s">
        <v>1560</v>
      </c>
      <c r="B924" s="34" t="s">
        <v>1561</v>
      </c>
      <c r="C924" s="31">
        <v>14701.48</v>
      </c>
      <c r="D924" s="34" t="s">
        <v>1562</v>
      </c>
      <c r="E924" s="30">
        <v>9737.77</v>
      </c>
      <c r="F924" t="str">
        <f>LEFT(Table2[[#This Row],[Building]],2)</f>
        <v>TX</v>
      </c>
      <c r="G924" t="str">
        <f>LEFT(Table2[[#This Row],[Building]],8)</f>
        <v>TX0705FH</v>
      </c>
      <c r="H924" t="str">
        <f>RIGHT(Table2[[#This Row],[Building]],LEN(Table2[[#This Row],[Building]])-9)</f>
        <v>Usbs Fort Hancock Bl</v>
      </c>
    </row>
    <row r="925" spans="1:8" ht="22.5" x14ac:dyDescent="0.25">
      <c r="A925" s="39" t="s">
        <v>1566</v>
      </c>
      <c r="B925" s="34" t="s">
        <v>1567</v>
      </c>
      <c r="C925" s="31">
        <v>46853.65</v>
      </c>
      <c r="D925" s="31">
        <v>31072.44</v>
      </c>
      <c r="E925" s="30">
        <v>64494.03</v>
      </c>
      <c r="F925" t="str">
        <f>LEFT(Table2[[#This Row],[Building]],2)</f>
        <v>TX</v>
      </c>
      <c r="G925" t="str">
        <f>LEFT(Table2[[#This Row],[Building]],8)</f>
        <v>TX0711TG</v>
      </c>
      <c r="H925" t="str">
        <f>RIGHT(Table2[[#This Row],[Building]],LEN(Table2[[#This Row],[Building]])-9)</f>
        <v>Usbs T&amp;G Admin Bldg</v>
      </c>
    </row>
    <row r="926" spans="1:8" ht="22.5" x14ac:dyDescent="0.25">
      <c r="A926" s="39" t="s">
        <v>1573</v>
      </c>
      <c r="B926" s="34" t="s">
        <v>1574</v>
      </c>
      <c r="C926" s="34" t="s">
        <v>1575</v>
      </c>
      <c r="D926" s="34" t="s">
        <v>1576</v>
      </c>
      <c r="E926" s="33" t="s">
        <v>1577</v>
      </c>
      <c r="F926" t="str">
        <f>LEFT(Table2[[#This Row],[Building]],2)</f>
        <v>TX</v>
      </c>
      <c r="G926" t="str">
        <f>LEFT(Table2[[#This Row],[Building]],8)</f>
        <v>TX0730NW</v>
      </c>
      <c r="H926" t="str">
        <f>RIGHT(Table2[[#This Row],[Building]],LEN(Table2[[#This Row],[Building]])-9)</f>
        <v>Usbs World Trade Adm</v>
      </c>
    </row>
    <row r="927" spans="1:8" ht="22.5" x14ac:dyDescent="0.25">
      <c r="A927" s="39" t="s">
        <v>1578</v>
      </c>
      <c r="B927" s="29">
        <v>31685.67</v>
      </c>
      <c r="C927" s="29">
        <v>24703.59</v>
      </c>
      <c r="D927" s="29">
        <v>10426.56</v>
      </c>
      <c r="E927" s="30">
        <v>66815.820000000007</v>
      </c>
      <c r="F927" t="str">
        <f>LEFT(Table2[[#This Row],[Building]],2)</f>
        <v>TX</v>
      </c>
      <c r="G927" t="str">
        <f>LEFT(Table2[[#This Row],[Building]],8)</f>
        <v>TX0731NW</v>
      </c>
      <c r="H927" t="str">
        <f>RIGHT(Table2[[#This Row],[Building]],LEN(Table2[[#This Row],[Building]])-9)</f>
        <v>Usbs World Trade Tru</v>
      </c>
    </row>
    <row r="928" spans="1:8" ht="22.5" x14ac:dyDescent="0.25">
      <c r="A928" s="39" t="s">
        <v>1579</v>
      </c>
      <c r="B928" s="31">
        <v>24423.81</v>
      </c>
      <c r="C928" s="31">
        <v>1015.68</v>
      </c>
      <c r="D928" s="31">
        <v>8036.99</v>
      </c>
      <c r="E928" s="30">
        <v>33476.480000000003</v>
      </c>
      <c r="F928" t="str">
        <f>LEFT(Table2[[#This Row],[Building]],2)</f>
        <v>TX</v>
      </c>
      <c r="G928" t="str">
        <f>LEFT(Table2[[#This Row],[Building]],8)</f>
        <v>TX0732NW</v>
      </c>
      <c r="H928" t="str">
        <f>RIGHT(Table2[[#This Row],[Building]],LEN(Table2[[#This Row],[Building]])-9)</f>
        <v>Usbs World Trade Tru</v>
      </c>
    </row>
    <row r="929" spans="1:8" ht="22.5" x14ac:dyDescent="0.25">
      <c r="A929" s="39" t="s">
        <v>1580</v>
      </c>
      <c r="B929" s="29">
        <v>312058.58</v>
      </c>
      <c r="C929" s="29">
        <v>3879.53</v>
      </c>
      <c r="D929" s="29">
        <v>102499.19</v>
      </c>
      <c r="E929" s="30">
        <v>418437.3</v>
      </c>
      <c r="F929" t="str">
        <f>LEFT(Table2[[#This Row],[Building]],2)</f>
        <v>TX</v>
      </c>
      <c r="G929" t="str">
        <f>LEFT(Table2[[#This Row],[Building]],8)</f>
        <v>TX0733NW</v>
      </c>
      <c r="H929" t="str">
        <f>RIGHT(Table2[[#This Row],[Building]],LEN(Table2[[#This Row],[Building]])-9)</f>
        <v>Usbs World Trade Imp</v>
      </c>
    </row>
    <row r="930" spans="1:8" ht="22.5" x14ac:dyDescent="0.25">
      <c r="A930" s="39" t="s">
        <v>1581</v>
      </c>
      <c r="B930" s="31">
        <v>3632.35</v>
      </c>
      <c r="C930" s="31">
        <v>2824.5</v>
      </c>
      <c r="D930" s="31">
        <v>11741.28</v>
      </c>
      <c r="E930" s="30">
        <v>18198.13</v>
      </c>
      <c r="F930" t="str">
        <f>LEFT(Table2[[#This Row],[Building]],2)</f>
        <v>TX</v>
      </c>
      <c r="G930" t="str">
        <f>LEFT(Table2[[#This Row],[Building]],8)</f>
        <v>TX0734NW</v>
      </c>
      <c r="H930" t="str">
        <f>RIGHT(Table2[[#This Row],[Building]],LEN(Table2[[#This Row],[Building]])-9)</f>
        <v>Usbs World Trade Tru</v>
      </c>
    </row>
    <row r="931" spans="1:8" ht="22.5" x14ac:dyDescent="0.25">
      <c r="A931" s="39" t="s">
        <v>1582</v>
      </c>
      <c r="B931" s="29">
        <v>2867.35</v>
      </c>
      <c r="C931" s="29">
        <v>19013.330000000002</v>
      </c>
      <c r="D931" s="29">
        <v>943.56</v>
      </c>
      <c r="E931" s="30">
        <v>22824.240000000002</v>
      </c>
      <c r="F931" t="str">
        <f>LEFT(Table2[[#This Row],[Building]],2)</f>
        <v>TX</v>
      </c>
      <c r="G931" t="str">
        <f>LEFT(Table2[[#This Row],[Building]],8)</f>
        <v>TX0735NW</v>
      </c>
      <c r="H931" t="str">
        <f>RIGHT(Table2[[#This Row],[Building]],LEN(Table2[[#This Row],[Building]])-9)</f>
        <v>Usbs World Trade Int</v>
      </c>
    </row>
    <row r="932" spans="1:8" ht="22.5" x14ac:dyDescent="0.25">
      <c r="A932" s="39" t="s">
        <v>1583</v>
      </c>
      <c r="B932" s="31">
        <v>17149.3</v>
      </c>
      <c r="C932" s="31">
        <v>162799.53</v>
      </c>
      <c r="D932" s="31">
        <v>5643.19</v>
      </c>
      <c r="E932" s="30">
        <v>185592.02</v>
      </c>
      <c r="F932" t="str">
        <f>LEFT(Table2[[#This Row],[Building]],2)</f>
        <v>TX</v>
      </c>
      <c r="G932" t="str">
        <f>LEFT(Table2[[#This Row],[Building]],8)</f>
        <v>TX0736NW</v>
      </c>
      <c r="H932" t="str">
        <f>RIGHT(Table2[[#This Row],[Building]],LEN(Table2[[#This Row],[Building]])-9)</f>
        <v>Usbs World Trade Int</v>
      </c>
    </row>
    <row r="933" spans="1:8" ht="22.5" x14ac:dyDescent="0.25">
      <c r="A933" s="39" t="s">
        <v>1584</v>
      </c>
      <c r="B933" s="29">
        <v>8266.08</v>
      </c>
      <c r="C933" s="32" t="s">
        <v>1585</v>
      </c>
      <c r="D933" s="29">
        <v>991.2</v>
      </c>
      <c r="E933" s="33" t="s">
        <v>1586</v>
      </c>
      <c r="F933" t="str">
        <f>LEFT(Table2[[#This Row],[Building]],2)</f>
        <v>TX</v>
      </c>
      <c r="G933" t="str">
        <f>LEFT(Table2[[#This Row],[Building]],8)</f>
        <v>TX0737NW</v>
      </c>
      <c r="H933" t="str">
        <f>RIGHT(Table2[[#This Row],[Building]],LEN(Table2[[#This Row],[Building]])-9)</f>
        <v>Usbs World Trade Dot</v>
      </c>
    </row>
    <row r="934" spans="1:8" ht="22.5" x14ac:dyDescent="0.25">
      <c r="A934" s="39" t="s">
        <v>1589</v>
      </c>
      <c r="B934" s="31">
        <v>12017.19</v>
      </c>
      <c r="C934" s="31">
        <v>18875.18</v>
      </c>
      <c r="D934" s="31">
        <v>3954.4</v>
      </c>
      <c r="E934" s="30">
        <v>34846.769999999997</v>
      </c>
      <c r="F934" t="str">
        <f>LEFT(Table2[[#This Row],[Building]],2)</f>
        <v>TX</v>
      </c>
      <c r="G934" t="str">
        <f>LEFT(Table2[[#This Row],[Building]],8)</f>
        <v>TX0740NW</v>
      </c>
      <c r="H934" t="str">
        <f>RIGHT(Table2[[#This Row],[Building]],LEN(Table2[[#This Row],[Building]])-9)</f>
        <v>Usbs World Trade Sei</v>
      </c>
    </row>
    <row r="935" spans="1:8" ht="22.5" x14ac:dyDescent="0.25">
      <c r="A935" s="39" t="s">
        <v>1592</v>
      </c>
      <c r="B935" s="29">
        <v>32815.24</v>
      </c>
      <c r="C935" s="29">
        <v>17572.650000000001</v>
      </c>
      <c r="D935" s="29">
        <v>31229.1</v>
      </c>
      <c r="E935" s="30">
        <v>81616.990000000005</v>
      </c>
      <c r="F935" t="str">
        <f>LEFT(Table2[[#This Row],[Building]],2)</f>
        <v>TX</v>
      </c>
      <c r="G935" t="str">
        <f>LEFT(Table2[[#This Row],[Building]],8)</f>
        <v>TX0743NW</v>
      </c>
      <c r="H935" t="str">
        <f>RIGHT(Table2[[#This Row],[Building]],LEN(Table2[[#This Row],[Building]])-9)</f>
        <v>Usbs World Trade Exp</v>
      </c>
    </row>
    <row r="936" spans="1:8" x14ac:dyDescent="0.25">
      <c r="A936" s="39" t="s">
        <v>1594</v>
      </c>
      <c r="B936" s="32" t="s">
        <v>1595</v>
      </c>
      <c r="C936" s="32" t="s">
        <v>1596</v>
      </c>
      <c r="D936" s="32" t="s">
        <v>1597</v>
      </c>
      <c r="E936" s="33" t="s">
        <v>1598</v>
      </c>
      <c r="F936" t="str">
        <f>LEFT(Table2[[#This Row],[Building]],2)</f>
        <v>TX</v>
      </c>
      <c r="G936" t="str">
        <f>LEFT(Table2[[#This Row],[Building]],8)</f>
        <v>TX0760CR</v>
      </c>
      <c r="H936" t="str">
        <f>RIGHT(Table2[[#This Row],[Building]],LEN(Table2[[#This Row],[Building]])-9)</f>
        <v>Usbs Eagle Pass Ii P</v>
      </c>
    </row>
    <row r="937" spans="1:8" x14ac:dyDescent="0.25">
      <c r="A937" s="39" t="s">
        <v>1602</v>
      </c>
      <c r="B937" s="31">
        <v>261517.43</v>
      </c>
      <c r="C937" s="31">
        <v>222252.4</v>
      </c>
      <c r="D937" s="31">
        <v>257474.9</v>
      </c>
      <c r="E937" s="30">
        <v>741244.73</v>
      </c>
      <c r="F937" t="str">
        <f>LEFT(Table2[[#This Row],[Building]],2)</f>
        <v>TX</v>
      </c>
      <c r="G937" t="str">
        <f>LEFT(Table2[[#This Row],[Building]],8)</f>
        <v>TX0808FW</v>
      </c>
      <c r="H937" t="str">
        <f>RIGHT(Table2[[#This Row],[Building]],LEN(Table2[[#This Row],[Building]])-9)</f>
        <v>Fed Ctr Bldg 23 Offi</v>
      </c>
    </row>
    <row r="938" spans="1:8" x14ac:dyDescent="0.25">
      <c r="A938" s="39" t="s">
        <v>1603</v>
      </c>
      <c r="B938" s="29">
        <v>42015.040000000001</v>
      </c>
      <c r="C938" s="29">
        <v>45307.49</v>
      </c>
      <c r="D938" s="29">
        <v>42090.2</v>
      </c>
      <c r="E938" s="30">
        <v>129412.73</v>
      </c>
      <c r="F938" t="str">
        <f>LEFT(Table2[[#This Row],[Building]],2)</f>
        <v>TX</v>
      </c>
      <c r="G938" t="str">
        <f>LEFT(Table2[[#This Row],[Building]],8)</f>
        <v>TX0811FW</v>
      </c>
      <c r="H938" t="str">
        <f>RIGHT(Table2[[#This Row],[Building]],LEN(Table2[[#This Row],[Building]])-9)</f>
        <v>Fed Ctr Whse 10</v>
      </c>
    </row>
    <row r="939" spans="1:8" x14ac:dyDescent="0.25">
      <c r="A939" s="39" t="s">
        <v>1604</v>
      </c>
      <c r="B939" s="31">
        <v>42021.98</v>
      </c>
      <c r="C939" s="31">
        <v>44341.59</v>
      </c>
      <c r="D939" s="31">
        <v>41832.910000000003</v>
      </c>
      <c r="E939" s="30">
        <v>128196.48</v>
      </c>
      <c r="F939" t="str">
        <f>LEFT(Table2[[#This Row],[Building]],2)</f>
        <v>TX</v>
      </c>
      <c r="G939" t="str">
        <f>LEFT(Table2[[#This Row],[Building]],8)</f>
        <v>TX0813FW</v>
      </c>
      <c r="H939" t="str">
        <f>RIGHT(Table2[[#This Row],[Building]],LEN(Table2[[#This Row],[Building]])-9)</f>
        <v>Fed Ctr Whse 11</v>
      </c>
    </row>
    <row r="940" spans="1:8" x14ac:dyDescent="0.25">
      <c r="A940" s="39" t="s">
        <v>1605</v>
      </c>
      <c r="B940" s="29">
        <v>91782.34</v>
      </c>
      <c r="C940" s="29">
        <v>79302.23</v>
      </c>
      <c r="D940" s="29">
        <v>71595.88</v>
      </c>
      <c r="E940" s="30">
        <v>242680.45</v>
      </c>
      <c r="F940" t="str">
        <f>LEFT(Table2[[#This Row],[Building]],2)</f>
        <v>TX</v>
      </c>
      <c r="G940" t="str">
        <f>LEFT(Table2[[#This Row],[Building]],8)</f>
        <v>TX0815FW</v>
      </c>
      <c r="H940" t="str">
        <f>RIGHT(Table2[[#This Row],[Building]],LEN(Table2[[#This Row],[Building]])-9)</f>
        <v>Fed Ctr Whse 9</v>
      </c>
    </row>
    <row r="941" spans="1:8" x14ac:dyDescent="0.25">
      <c r="A941" s="39" t="s">
        <v>1606</v>
      </c>
      <c r="B941" s="31">
        <v>103774.37</v>
      </c>
      <c r="C941" s="31">
        <v>111017.14</v>
      </c>
      <c r="D941" s="31">
        <v>105996.25</v>
      </c>
      <c r="E941" s="30">
        <v>320787.76</v>
      </c>
      <c r="F941" t="str">
        <f>LEFT(Table2[[#This Row],[Building]],2)</f>
        <v>TX</v>
      </c>
      <c r="G941" t="str">
        <f>LEFT(Table2[[#This Row],[Building]],8)</f>
        <v>TX0816FW</v>
      </c>
      <c r="H941" t="str">
        <f>RIGHT(Table2[[#This Row],[Building]],LEN(Table2[[#This Row],[Building]])-9)</f>
        <v>Fed Ctr Whse 12</v>
      </c>
    </row>
    <row r="942" spans="1:8" x14ac:dyDescent="0.25">
      <c r="A942" s="39" t="s">
        <v>1608</v>
      </c>
      <c r="B942" s="29">
        <v>111476.25</v>
      </c>
      <c r="C942" s="29">
        <v>114331.28</v>
      </c>
      <c r="D942" s="29">
        <v>129065.48</v>
      </c>
      <c r="E942" s="30">
        <v>354873.01</v>
      </c>
      <c r="F942" t="str">
        <f>LEFT(Table2[[#This Row],[Building]],2)</f>
        <v>TX</v>
      </c>
      <c r="G942" t="str">
        <f>LEFT(Table2[[#This Row],[Building]],8)</f>
        <v>TX0821FW</v>
      </c>
      <c r="H942" t="str">
        <f>RIGHT(Table2[[#This Row],[Building]],LEN(Table2[[#This Row],[Building]])-9)</f>
        <v>Fed Ctr Bldg 24 Offi</v>
      </c>
    </row>
    <row r="943" spans="1:8" ht="22.5" x14ac:dyDescent="0.25">
      <c r="A943" s="39" t="s">
        <v>1609</v>
      </c>
      <c r="B943" s="31">
        <v>3345.26</v>
      </c>
      <c r="C943" s="31">
        <v>3572.89</v>
      </c>
      <c r="D943" s="31">
        <v>3366.55</v>
      </c>
      <c r="E943" s="30">
        <v>10284.700000000001</v>
      </c>
      <c r="F943" t="str">
        <f>LEFT(Table2[[#This Row],[Building]],2)</f>
        <v>TX</v>
      </c>
      <c r="G943" t="str">
        <f>LEFT(Table2[[#This Row],[Building]],8)</f>
        <v>TX0824FW</v>
      </c>
      <c r="H943" t="str">
        <f>RIGHT(Table2[[#This Row],[Building]],LEN(Table2[[#This Row],[Building]])-9)</f>
        <v>Fed Ctr Bldg 41 N Gu</v>
      </c>
    </row>
    <row r="944" spans="1:8" x14ac:dyDescent="0.25">
      <c r="A944" s="39" t="s">
        <v>1610</v>
      </c>
      <c r="B944" s="29">
        <v>11853.25</v>
      </c>
      <c r="C944" s="32" t="s">
        <v>1611</v>
      </c>
      <c r="D944" s="29">
        <v>32549.040000000001</v>
      </c>
      <c r="E944" s="30">
        <v>37888.639999999999</v>
      </c>
      <c r="F944" t="str">
        <f>LEFT(Table2[[#This Row],[Building]],2)</f>
        <v>TX</v>
      </c>
      <c r="G944" t="str">
        <f>LEFT(Table2[[#This Row],[Building]],8)</f>
        <v>TX0831DR</v>
      </c>
      <c r="H944" t="str">
        <f>RIGHT(Table2[[#This Row],[Building]],LEN(Table2[[#This Row],[Building]])-9)</f>
        <v>Bpsh Del Rio Bldg 1</v>
      </c>
    </row>
    <row r="945" spans="1:8" x14ac:dyDescent="0.25">
      <c r="A945" s="39" t="s">
        <v>1613</v>
      </c>
      <c r="B945" s="29">
        <v>5833.29</v>
      </c>
      <c r="C945" s="29">
        <v>6187.74</v>
      </c>
      <c r="D945" s="29">
        <v>5889.67</v>
      </c>
      <c r="E945" s="30">
        <v>17910.7</v>
      </c>
      <c r="F945" t="str">
        <f>LEFT(Table2[[#This Row],[Building]],2)</f>
        <v>TX</v>
      </c>
      <c r="G945" t="str">
        <f>LEFT(Table2[[#This Row],[Building]],8)</f>
        <v>TX0891FW</v>
      </c>
      <c r="H945" t="str">
        <f>RIGHT(Table2[[#This Row],[Building]],LEN(Table2[[#This Row],[Building]])-9)</f>
        <v>Fed Ctr Bldg 52 Offi</v>
      </c>
    </row>
    <row r="946" spans="1:8" ht="22.5" x14ac:dyDescent="0.25">
      <c r="A946" s="39" t="s">
        <v>1614</v>
      </c>
      <c r="B946" s="31">
        <v>1394.95</v>
      </c>
      <c r="C946" s="31">
        <v>6187.78</v>
      </c>
      <c r="D946" s="31">
        <v>5889.71</v>
      </c>
      <c r="E946" s="30">
        <v>13472.44</v>
      </c>
      <c r="F946" t="str">
        <f>LEFT(Table2[[#This Row],[Building]],2)</f>
        <v>TX</v>
      </c>
      <c r="G946" t="str">
        <f>LEFT(Table2[[#This Row],[Building]],8)</f>
        <v>TX0892FW</v>
      </c>
      <c r="H946" t="str">
        <f>RIGHT(Table2[[#This Row],[Building]],LEN(Table2[[#This Row],[Building]])-9)</f>
        <v>Fed Ctr Shed 53 Vehi</v>
      </c>
    </row>
    <row r="947" spans="1:8" ht="22.5" x14ac:dyDescent="0.25">
      <c r="A947" s="39" t="s">
        <v>1615</v>
      </c>
      <c r="B947" s="29">
        <v>5833.31</v>
      </c>
      <c r="C947" s="29">
        <v>6187.8</v>
      </c>
      <c r="D947" s="29">
        <v>5889.69</v>
      </c>
      <c r="E947" s="30">
        <v>17910.8</v>
      </c>
      <c r="F947" t="str">
        <f>LEFT(Table2[[#This Row],[Building]],2)</f>
        <v>TX</v>
      </c>
      <c r="G947" t="str">
        <f>LEFT(Table2[[#This Row],[Building]],8)</f>
        <v>TX0912FW</v>
      </c>
      <c r="H947" t="str">
        <f>RIGHT(Table2[[#This Row],[Building]],LEN(Table2[[#This Row],[Building]])-9)</f>
        <v>Fed Ctr Bldg 49 Moto</v>
      </c>
    </row>
    <row r="948" spans="1:8" ht="22.5" x14ac:dyDescent="0.25">
      <c r="A948" s="39" t="s">
        <v>1616</v>
      </c>
      <c r="B948" s="31">
        <v>15068.89</v>
      </c>
      <c r="C948" s="31">
        <v>75976.89</v>
      </c>
      <c r="D948" s="31">
        <v>13324.09</v>
      </c>
      <c r="E948" s="30">
        <v>104369.87</v>
      </c>
      <c r="F948" t="str">
        <f>LEFT(Table2[[#This Row],[Building]],2)</f>
        <v>TX</v>
      </c>
      <c r="G948" t="str">
        <f>LEFT(Table2[[#This Row],[Building]],8)</f>
        <v>TX0921MA</v>
      </c>
      <c r="H948" t="str">
        <f>RIGHT(Table2[[#This Row],[Building]],LEN(Table2[[#This Row],[Building]])-9)</f>
        <v>Bpsh Mcallen Admin B</v>
      </c>
    </row>
    <row r="949" spans="1:8" ht="22.5" x14ac:dyDescent="0.25">
      <c r="A949" s="39" t="s">
        <v>1617</v>
      </c>
      <c r="B949" s="29">
        <v>14882.38</v>
      </c>
      <c r="C949" s="29">
        <v>390.91</v>
      </c>
      <c r="D949" s="29">
        <v>12830.75</v>
      </c>
      <c r="E949" s="30">
        <v>28104.04</v>
      </c>
      <c r="F949" t="str">
        <f>LEFT(Table2[[#This Row],[Building]],2)</f>
        <v>TX</v>
      </c>
      <c r="G949" t="str">
        <f>LEFT(Table2[[#This Row],[Building]],8)</f>
        <v>TX0922MA</v>
      </c>
      <c r="H949" t="str">
        <f>RIGHT(Table2[[#This Row],[Building]],LEN(Table2[[#This Row],[Building]])-9)</f>
        <v>Bpsh Mcallen Bldg B</v>
      </c>
    </row>
    <row r="950" spans="1:8" ht="22.5" x14ac:dyDescent="0.25">
      <c r="A950" s="39" t="s">
        <v>1618</v>
      </c>
      <c r="B950" s="31">
        <v>20308.919999999998</v>
      </c>
      <c r="C950" s="31">
        <v>6593.6</v>
      </c>
      <c r="D950" s="31">
        <v>17509.22</v>
      </c>
      <c r="E950" s="30">
        <v>44411.74</v>
      </c>
      <c r="F950" t="str">
        <f>LEFT(Table2[[#This Row],[Building]],2)</f>
        <v>TX</v>
      </c>
      <c r="G950" t="str">
        <f>LEFT(Table2[[#This Row],[Building]],8)</f>
        <v>TX0923MA</v>
      </c>
      <c r="H950" t="str">
        <f>RIGHT(Table2[[#This Row],[Building]],LEN(Table2[[#This Row],[Building]])-9)</f>
        <v>Bpsh Mcallen Bldg C</v>
      </c>
    </row>
    <row r="951" spans="1:8" ht="22.5" x14ac:dyDescent="0.25">
      <c r="A951" s="39" t="s">
        <v>1619</v>
      </c>
      <c r="B951" s="29">
        <v>7366.47</v>
      </c>
      <c r="C951" s="29">
        <v>272.33999999999997</v>
      </c>
      <c r="D951" s="29">
        <v>3071.48</v>
      </c>
      <c r="E951" s="30">
        <v>10710.29</v>
      </c>
      <c r="F951" t="str">
        <f>LEFT(Table2[[#This Row],[Building]],2)</f>
        <v>TX</v>
      </c>
      <c r="G951" t="str">
        <f>LEFT(Table2[[#This Row],[Building]],8)</f>
        <v>TX0929EL</v>
      </c>
      <c r="H951" t="str">
        <f>RIGHT(Table2[[#This Row],[Building]],LEN(Table2[[#This Row],[Building]])-9)</f>
        <v>Usbs Bota Cbp Mod Bl</v>
      </c>
    </row>
    <row r="952" spans="1:8" ht="22.5" x14ac:dyDescent="0.25">
      <c r="A952" s="39" t="s">
        <v>1626</v>
      </c>
      <c r="B952" s="31">
        <v>4985.3999999999996</v>
      </c>
      <c r="C952" s="31">
        <v>879.25</v>
      </c>
      <c r="D952" s="31">
        <v>4860.7</v>
      </c>
      <c r="E952" s="30">
        <v>10725.35</v>
      </c>
      <c r="F952" t="str">
        <f>LEFT(Table2[[#This Row],[Building]],2)</f>
        <v>TX</v>
      </c>
      <c r="G952" t="str">
        <f>LEFT(Table2[[#This Row],[Building]],8)</f>
        <v>TX0939YS</v>
      </c>
      <c r="H952" t="str">
        <f>RIGHT(Table2[[#This Row],[Building]],LEN(Table2[[#This Row],[Building]])-9)</f>
        <v>Usbs Ysleta Dot Mod</v>
      </c>
    </row>
    <row r="953" spans="1:8" ht="22.5" x14ac:dyDescent="0.25">
      <c r="A953" s="39" t="s">
        <v>1627</v>
      </c>
      <c r="B953" s="32" t="s">
        <v>1628</v>
      </c>
      <c r="C953" s="32" t="s">
        <v>1629</v>
      </c>
      <c r="D953" s="32" t="s">
        <v>1630</v>
      </c>
      <c r="E953" s="33" t="s">
        <v>1631</v>
      </c>
      <c r="F953" t="str">
        <f>LEFT(Table2[[#This Row],[Building]],2)</f>
        <v>TX</v>
      </c>
      <c r="G953" t="str">
        <f>LEFT(Table2[[#This Row],[Building]],8)</f>
        <v>TX0941PN</v>
      </c>
      <c r="H953" t="str">
        <f>RIGHT(Table2[[#This Row],[Building]],LEN(Table2[[#This Row],[Building]])-9)</f>
        <v>Usbs Pdn Bldg A Admi</v>
      </c>
    </row>
    <row r="954" spans="1:8" ht="22.5" x14ac:dyDescent="0.25">
      <c r="A954" s="39" t="s">
        <v>1632</v>
      </c>
      <c r="B954" s="31">
        <v>101734.86</v>
      </c>
      <c r="C954" s="31">
        <v>28149.919999999998</v>
      </c>
      <c r="D954" s="31">
        <v>59017.24</v>
      </c>
      <c r="E954" s="30">
        <v>188902.02</v>
      </c>
      <c r="F954" t="str">
        <f>LEFT(Table2[[#This Row],[Building]],2)</f>
        <v>TX</v>
      </c>
      <c r="G954" t="str">
        <f>LEFT(Table2[[#This Row],[Building]],8)</f>
        <v>TX0943PN</v>
      </c>
      <c r="H954" t="str">
        <f>RIGHT(Table2[[#This Row],[Building]],LEN(Table2[[#This Row],[Building]])-9)</f>
        <v>Usbs Pdn Bldg C Prim</v>
      </c>
    </row>
    <row r="955" spans="1:8" ht="22.5" x14ac:dyDescent="0.25">
      <c r="A955" s="39" t="s">
        <v>1633</v>
      </c>
      <c r="B955" s="29">
        <v>37570.68</v>
      </c>
      <c r="C955" s="29">
        <v>11816.05</v>
      </c>
      <c r="D955" s="29">
        <v>24377.919999999998</v>
      </c>
      <c r="E955" s="30">
        <v>73764.649999999994</v>
      </c>
      <c r="F955" t="str">
        <f>LEFT(Table2[[#This Row],[Building]],2)</f>
        <v>TX</v>
      </c>
      <c r="G955" t="str">
        <f>LEFT(Table2[[#This Row],[Building]],8)</f>
        <v>TX0948PN</v>
      </c>
      <c r="H955" t="str">
        <f>RIGHT(Table2[[#This Row],[Building]],LEN(Table2[[#This Row],[Building]])-9)</f>
        <v>Usbs Pdn Bldg D Bord</v>
      </c>
    </row>
    <row r="956" spans="1:8" ht="22.5" x14ac:dyDescent="0.25">
      <c r="A956" s="39" t="s">
        <v>1634</v>
      </c>
      <c r="B956" s="31">
        <v>27947.53</v>
      </c>
      <c r="C956" s="31">
        <v>26243.11</v>
      </c>
      <c r="D956" s="31">
        <v>16244.18</v>
      </c>
      <c r="E956" s="30">
        <v>70434.820000000007</v>
      </c>
      <c r="F956" t="str">
        <f>LEFT(Table2[[#This Row],[Building]],2)</f>
        <v>TX</v>
      </c>
      <c r="G956" t="str">
        <f>LEFT(Table2[[#This Row],[Building]],8)</f>
        <v>TX0949PN</v>
      </c>
      <c r="H956" t="str">
        <f>RIGHT(Table2[[#This Row],[Building]],LEN(Table2[[#This Row],[Building]])-9)</f>
        <v>Usbs Pdn Ice Buildin</v>
      </c>
    </row>
    <row r="957" spans="1:8" ht="22.5" x14ac:dyDescent="0.25">
      <c r="A957" s="39" t="s">
        <v>1635</v>
      </c>
      <c r="B957" s="32" t="s">
        <v>1636</v>
      </c>
      <c r="C957" s="32" t="s">
        <v>1637</v>
      </c>
      <c r="D957" s="29">
        <v>2929.98</v>
      </c>
      <c r="E957" s="30">
        <v>2706.07</v>
      </c>
      <c r="F957" t="str">
        <f>LEFT(Table2[[#This Row],[Building]],2)</f>
        <v>TX</v>
      </c>
      <c r="G957" t="str">
        <f>LEFT(Table2[[#This Row],[Building]],8)</f>
        <v>TX0950EL</v>
      </c>
      <c r="H957" t="str">
        <f>RIGHT(Table2[[#This Row],[Building]],LEN(Table2[[#This Row],[Building]])-9)</f>
        <v>Usbs Bota Dot Mod Bl</v>
      </c>
    </row>
    <row r="958" spans="1:8" ht="22.5" x14ac:dyDescent="0.25">
      <c r="A958" s="39" t="s">
        <v>1638</v>
      </c>
      <c r="B958" s="34" t="s">
        <v>1639</v>
      </c>
      <c r="C958" s="34" t="s">
        <v>1640</v>
      </c>
      <c r="D958" s="34" t="s">
        <v>1641</v>
      </c>
      <c r="E958" s="33" t="s">
        <v>1642</v>
      </c>
      <c r="F958" t="str">
        <f>LEFT(Table2[[#This Row],[Building]],2)</f>
        <v>TX</v>
      </c>
      <c r="G958" t="str">
        <f>LEFT(Table2[[#This Row],[Building]],8)</f>
        <v>TX0951EL</v>
      </c>
      <c r="H958" t="str">
        <f>RIGHT(Table2[[#This Row],[Building]],LEN(Table2[[#This Row],[Building]])-9)</f>
        <v>Usbs Bota Bldg A Adm</v>
      </c>
    </row>
    <row r="959" spans="1:8" ht="22.5" x14ac:dyDescent="0.25">
      <c r="A959" s="39" t="s">
        <v>1643</v>
      </c>
      <c r="B959" s="29">
        <v>42386.78</v>
      </c>
      <c r="C959" s="29">
        <v>2668.66</v>
      </c>
      <c r="D959" s="29">
        <v>30094.48</v>
      </c>
      <c r="E959" s="30">
        <v>75149.919999999998</v>
      </c>
      <c r="F959" t="str">
        <f>LEFT(Table2[[#This Row],[Building]],2)</f>
        <v>TX</v>
      </c>
      <c r="G959" t="str">
        <f>LEFT(Table2[[#This Row],[Building]],8)</f>
        <v>TX0952EL</v>
      </c>
      <c r="H959" t="str">
        <f>RIGHT(Table2[[#This Row],[Building]],LEN(Table2[[#This Row],[Building]])-9)</f>
        <v>Usbs Bota Bldg B Cus</v>
      </c>
    </row>
    <row r="960" spans="1:8" ht="22.5" x14ac:dyDescent="0.25">
      <c r="A960" s="39" t="s">
        <v>1644</v>
      </c>
      <c r="B960" s="31">
        <v>311948.59000000003</v>
      </c>
      <c r="C960" s="31">
        <v>19640.22</v>
      </c>
      <c r="D960" s="31">
        <v>221482.7</v>
      </c>
      <c r="E960" s="30">
        <v>553071.51</v>
      </c>
      <c r="F960" t="str">
        <f>LEFT(Table2[[#This Row],[Building]],2)</f>
        <v>TX</v>
      </c>
      <c r="G960" t="str">
        <f>LEFT(Table2[[#This Row],[Building]],8)</f>
        <v>TX0954EL</v>
      </c>
      <c r="H960" t="str">
        <f>RIGHT(Table2[[#This Row],[Building]],LEN(Table2[[#This Row],[Building]])-9)</f>
        <v>Usbs Bota Bldg D Imp</v>
      </c>
    </row>
    <row r="961" spans="1:8" ht="22.5" x14ac:dyDescent="0.25">
      <c r="A961" s="39" t="s">
        <v>1645</v>
      </c>
      <c r="B961" s="29">
        <v>34985.629999999997</v>
      </c>
      <c r="C961" s="29">
        <v>2202.69</v>
      </c>
      <c r="D961" s="29">
        <v>25639.73</v>
      </c>
      <c r="E961" s="30">
        <v>62828.05</v>
      </c>
      <c r="F961" t="str">
        <f>LEFT(Table2[[#This Row],[Building]],2)</f>
        <v>TX</v>
      </c>
      <c r="G961" t="str">
        <f>LEFT(Table2[[#This Row],[Building]],8)</f>
        <v>TX0955EL</v>
      </c>
      <c r="H961" t="str">
        <f>RIGHT(Table2[[#This Row],[Building]],LEN(Table2[[#This Row],[Building]])-9)</f>
        <v>Usbs Bota Bldg E Exp</v>
      </c>
    </row>
    <row r="962" spans="1:8" x14ac:dyDescent="0.25">
      <c r="A962" s="39" t="s">
        <v>1647</v>
      </c>
      <c r="B962" s="31">
        <v>100457.57</v>
      </c>
      <c r="C962" s="31">
        <v>6324.8</v>
      </c>
      <c r="D962" s="31">
        <v>71324.679999999993</v>
      </c>
      <c r="E962" s="30">
        <v>178107.05</v>
      </c>
      <c r="F962" t="str">
        <f>LEFT(Table2[[#This Row],[Building]],2)</f>
        <v>TX</v>
      </c>
      <c r="G962" t="str">
        <f>LEFT(Table2[[#This Row],[Building]],8)</f>
        <v>TX0957EL</v>
      </c>
      <c r="H962" t="str">
        <f>RIGHT(Table2[[#This Row],[Building]],LEN(Table2[[#This Row],[Building]])-9)</f>
        <v>Usbs Bota Bldg K Pri</v>
      </c>
    </row>
    <row r="963" spans="1:8" x14ac:dyDescent="0.25">
      <c r="A963" s="39" t="s">
        <v>1648</v>
      </c>
      <c r="B963" s="29">
        <v>43271.05</v>
      </c>
      <c r="C963" s="29">
        <v>2724.36</v>
      </c>
      <c r="D963" s="29">
        <v>30722.32</v>
      </c>
      <c r="E963" s="30">
        <v>76717.73</v>
      </c>
      <c r="F963" t="str">
        <f>LEFT(Table2[[#This Row],[Building]],2)</f>
        <v>TX</v>
      </c>
      <c r="G963" t="str">
        <f>LEFT(Table2[[#This Row],[Building]],8)</f>
        <v>TX0958EL</v>
      </c>
      <c r="H963" t="str">
        <f>RIGHT(Table2[[#This Row],[Building]],LEN(Table2[[#This Row],[Building]])-9)</f>
        <v>Usbs Bota Bldg S Tru</v>
      </c>
    </row>
    <row r="964" spans="1:8" ht="22.5" x14ac:dyDescent="0.25">
      <c r="A964" s="39" t="s">
        <v>1649</v>
      </c>
      <c r="B964" s="31">
        <v>6160.9</v>
      </c>
      <c r="C964" s="31">
        <v>16114.54</v>
      </c>
      <c r="D964" s="31">
        <v>4374.22</v>
      </c>
      <c r="E964" s="30">
        <v>26649.66</v>
      </c>
      <c r="F964" t="str">
        <f>LEFT(Table2[[#This Row],[Building]],2)</f>
        <v>TX</v>
      </c>
      <c r="G964" t="str">
        <f>LEFT(Table2[[#This Row],[Building]],8)</f>
        <v>TX0959EL</v>
      </c>
      <c r="H964" t="str">
        <f>RIGHT(Table2[[#This Row],[Building]],LEN(Table2[[#This Row],[Building]])-9)</f>
        <v>Usbs Bota Import Lot</v>
      </c>
    </row>
    <row r="965" spans="1:8" ht="22.5" x14ac:dyDescent="0.25">
      <c r="A965" s="39" t="s">
        <v>1650</v>
      </c>
      <c r="B965" s="29">
        <v>46593.63</v>
      </c>
      <c r="C965" s="29">
        <v>56109.74</v>
      </c>
      <c r="D965" s="29">
        <v>33081.33</v>
      </c>
      <c r="E965" s="30">
        <v>135784.70000000001</v>
      </c>
      <c r="F965" t="str">
        <f>LEFT(Table2[[#This Row],[Building]],2)</f>
        <v>TX</v>
      </c>
      <c r="G965" t="str">
        <f>LEFT(Table2[[#This Row],[Building]],8)</f>
        <v>TX0961EL</v>
      </c>
      <c r="H965" t="str">
        <f>RIGHT(Table2[[#This Row],[Building]],LEN(Table2[[#This Row],[Building]])-9)</f>
        <v>Usbs Bota Bldg C Hea</v>
      </c>
    </row>
    <row r="966" spans="1:8" x14ac:dyDescent="0.25">
      <c r="A966" s="39" t="s">
        <v>1652</v>
      </c>
      <c r="B966" s="29">
        <v>264904.67</v>
      </c>
      <c r="C966" s="29">
        <v>220026.29</v>
      </c>
      <c r="D966" s="29">
        <v>196779.33</v>
      </c>
      <c r="E966" s="30">
        <v>681710.29</v>
      </c>
      <c r="F966" t="str">
        <f>LEFT(Table2[[#This Row],[Building]],2)</f>
        <v>TX</v>
      </c>
      <c r="G966" t="str">
        <f>LEFT(Table2[[#This Row],[Building]],8)</f>
        <v>TX0964YS</v>
      </c>
      <c r="H966" t="str">
        <f>RIGHT(Table2[[#This Row],[Building]],LEN(Table2[[#This Row],[Building]])-9)</f>
        <v>Usbs Ysleta Bldg D I</v>
      </c>
    </row>
    <row r="967" spans="1:8" x14ac:dyDescent="0.25">
      <c r="A967" s="39" t="s">
        <v>1657</v>
      </c>
      <c r="B967" s="31">
        <v>157104.68</v>
      </c>
      <c r="C967" s="31">
        <v>65945.27</v>
      </c>
      <c r="D967" s="31">
        <v>111198.39999999999</v>
      </c>
      <c r="E967" s="30">
        <v>334248.34999999998</v>
      </c>
      <c r="F967" t="str">
        <f>LEFT(Table2[[#This Row],[Building]],2)</f>
        <v>TX</v>
      </c>
      <c r="G967" t="str">
        <f>LEFT(Table2[[#This Row],[Building]],8)</f>
        <v>TX0971YS</v>
      </c>
      <c r="H967" t="str">
        <f>RIGHT(Table2[[#This Row],[Building]],LEN(Table2[[#This Row],[Building]])-9)</f>
        <v>Usbs Ysleta Bldg O P</v>
      </c>
    </row>
    <row r="968" spans="1:8" x14ac:dyDescent="0.25">
      <c r="A968" s="39" t="s">
        <v>1658</v>
      </c>
      <c r="B968" s="32" t="s">
        <v>1659</v>
      </c>
      <c r="C968" s="32" t="s">
        <v>1660</v>
      </c>
      <c r="D968" s="32" t="s">
        <v>1661</v>
      </c>
      <c r="E968" s="33" t="s">
        <v>1662</v>
      </c>
      <c r="F968" t="str">
        <f>LEFT(Table2[[#This Row],[Building]],2)</f>
        <v>TX</v>
      </c>
      <c r="G968" t="str">
        <f>LEFT(Table2[[#This Row],[Building]],8)</f>
        <v>TX0972YS</v>
      </c>
      <c r="H968" t="str">
        <f>RIGHT(Table2[[#This Row],[Building]],LEN(Table2[[#This Row],[Building]])-9)</f>
        <v>Usbs Ysleta Bldg A -</v>
      </c>
    </row>
    <row r="969" spans="1:8" x14ac:dyDescent="0.25">
      <c r="A969" s="39" t="s">
        <v>1663</v>
      </c>
      <c r="B969" s="31">
        <v>40379.129999999997</v>
      </c>
      <c r="C969" s="31">
        <v>15461.99</v>
      </c>
      <c r="D969" s="31">
        <v>28580.25</v>
      </c>
      <c r="E969" s="30">
        <v>84421.37</v>
      </c>
      <c r="F969" t="str">
        <f>LEFT(Table2[[#This Row],[Building]],2)</f>
        <v>TX</v>
      </c>
      <c r="G969" t="str">
        <f>LEFT(Table2[[#This Row],[Building]],8)</f>
        <v>TX0973YS</v>
      </c>
      <c r="H969" t="str">
        <f>RIGHT(Table2[[#This Row],[Building]],LEN(Table2[[#This Row],[Building]])-9)</f>
        <v>Usbs Ysleta Bldg B -</v>
      </c>
    </row>
    <row r="970" spans="1:8" x14ac:dyDescent="0.25">
      <c r="A970" s="39" t="s">
        <v>1669</v>
      </c>
      <c r="B970" s="31">
        <v>43315.96</v>
      </c>
      <c r="C970" s="31">
        <v>6348.99</v>
      </c>
      <c r="D970" s="31">
        <v>25176.880000000001</v>
      </c>
      <c r="E970" s="30">
        <v>74841.83</v>
      </c>
      <c r="F970" t="str">
        <f>LEFT(Table2[[#This Row],[Building]],2)</f>
        <v>TX</v>
      </c>
      <c r="G970" t="str">
        <f>LEFT(Table2[[#This Row],[Building]],8)</f>
        <v>TX0985PN</v>
      </c>
      <c r="H970" t="str">
        <f>RIGHT(Table2[[#This Row],[Building]],LEN(Table2[[#This Row],[Building]])-9)</f>
        <v>Usbspdn Kennels</v>
      </c>
    </row>
    <row r="971" spans="1:8" ht="22.5" x14ac:dyDescent="0.25">
      <c r="A971" s="39" t="s">
        <v>1670</v>
      </c>
      <c r="B971" s="29">
        <v>60278.14</v>
      </c>
      <c r="C971" s="29">
        <v>8835.25</v>
      </c>
      <c r="D971" s="29">
        <v>35035.99</v>
      </c>
      <c r="E971" s="30">
        <v>104149.38</v>
      </c>
      <c r="F971" t="str">
        <f>LEFT(Table2[[#This Row],[Building]],2)</f>
        <v>TX</v>
      </c>
      <c r="G971" t="str">
        <f>LEFT(Table2[[#This Row],[Building]],8)</f>
        <v>TX0986PN</v>
      </c>
      <c r="H971" t="str">
        <f>RIGHT(Table2[[#This Row],[Building]],LEN(Table2[[#This Row],[Building]])-9)</f>
        <v>Usbs Pdn Headhouse</v>
      </c>
    </row>
    <row r="972" spans="1:8" ht="22.5" x14ac:dyDescent="0.25">
      <c r="A972" s="39" t="s">
        <v>1672</v>
      </c>
      <c r="B972" s="31">
        <v>5146.28</v>
      </c>
      <c r="C972" s="31">
        <v>5515.07</v>
      </c>
      <c r="D972" s="31">
        <v>30287.37</v>
      </c>
      <c r="E972" s="30">
        <v>40948.720000000001</v>
      </c>
      <c r="F972" t="str">
        <f>LEFT(Table2[[#This Row],[Building]],2)</f>
        <v>TX</v>
      </c>
      <c r="G972" t="str">
        <f>LEFT(Table2[[#This Row],[Building]],8)</f>
        <v>TX0999NW</v>
      </c>
      <c r="H972" t="str">
        <f>RIGHT(Table2[[#This Row],[Building]],LEN(Table2[[#This Row],[Building]])-9)</f>
        <v>Usbs World Trade Exp</v>
      </c>
    </row>
    <row r="973" spans="1:8" ht="22.5" x14ac:dyDescent="0.25">
      <c r="A973" s="39" t="s">
        <v>1673</v>
      </c>
      <c r="B973" s="29">
        <v>342104.08</v>
      </c>
      <c r="C973" s="32" t="s">
        <v>1674</v>
      </c>
      <c r="D973" s="29">
        <v>317703.86</v>
      </c>
      <c r="E973" s="30">
        <v>615594.17000000004</v>
      </c>
      <c r="F973" t="str">
        <f>LEFT(Table2[[#This Row],[Building]],2)</f>
        <v>TX</v>
      </c>
      <c r="G973" t="str">
        <f>LEFT(Table2[[#This Row],[Building]],8)</f>
        <v>TX1128AT</v>
      </c>
      <c r="H973" t="str">
        <f>RIGHT(Table2[[#This Row],[Building]],LEN(Table2[[#This Row],[Building]])-9)</f>
        <v>Va Austin Auto Cente</v>
      </c>
    </row>
    <row r="974" spans="1:8" ht="22.5" x14ac:dyDescent="0.25">
      <c r="A974" s="39" t="s">
        <v>1675</v>
      </c>
      <c r="B974" s="31">
        <v>116005.47</v>
      </c>
      <c r="C974" s="34" t="s">
        <v>1676</v>
      </c>
      <c r="D974" s="31">
        <v>115834.02</v>
      </c>
      <c r="E974" s="30">
        <v>182104.73</v>
      </c>
      <c r="F974" t="str">
        <f>LEFT(Table2[[#This Row],[Building]],2)</f>
        <v>TX</v>
      </c>
      <c r="G974" t="str">
        <f>LEFT(Table2[[#This Row],[Building]],8)</f>
        <v>TX1618AT</v>
      </c>
      <c r="H974" t="str">
        <f>RIGHT(Table2[[#This Row],[Building]],LEN(Table2[[#This Row],[Building]])-9)</f>
        <v>Austin Finance Cente</v>
      </c>
    </row>
    <row r="975" spans="1:8" x14ac:dyDescent="0.25">
      <c r="A975" s="39" t="s">
        <v>1684</v>
      </c>
      <c r="B975" s="29">
        <v>82615.73</v>
      </c>
      <c r="C975" s="29">
        <v>52285.7</v>
      </c>
      <c r="D975" s="29">
        <v>69076.3</v>
      </c>
      <c r="E975" s="30">
        <v>203977.73</v>
      </c>
      <c r="F975" t="str">
        <f>LEFT(Table2[[#This Row],[Building]],2)</f>
        <v>UT</v>
      </c>
      <c r="G975" t="str">
        <f>LEFT(Table2[[#This Row],[Building]],8)</f>
        <v>UT0010ZZ</v>
      </c>
      <c r="H975" t="str">
        <f>RIGHT(Table2[[#This Row],[Building]],LEN(Table2[[#This Row],[Building]])-9)</f>
        <v>Forest Service Bldg</v>
      </c>
    </row>
    <row r="976" spans="1:8" x14ac:dyDescent="0.25">
      <c r="A976" s="39" t="s">
        <v>1685</v>
      </c>
      <c r="B976" s="31">
        <v>30851.69</v>
      </c>
      <c r="C976" s="31">
        <v>27337.94</v>
      </c>
      <c r="D976" s="31">
        <v>71592.399999999994</v>
      </c>
      <c r="E976" s="30">
        <v>129782.03</v>
      </c>
      <c r="F976" t="str">
        <f>LEFT(Table2[[#This Row],[Building]],2)</f>
        <v>UT</v>
      </c>
      <c r="G976" t="str">
        <f>LEFT(Table2[[#This Row],[Building]],8)</f>
        <v>UT0014ZZ</v>
      </c>
      <c r="H976" t="str">
        <f>RIGHT(Table2[[#This Row],[Building]],LEN(Table2[[#This Row],[Building]])-9)</f>
        <v>J. Will Robinson Fb</v>
      </c>
    </row>
    <row r="977" spans="1:8" ht="22.5" x14ac:dyDescent="0.25">
      <c r="A977" s="39" t="s">
        <v>1686</v>
      </c>
      <c r="B977" s="29">
        <v>202632.71</v>
      </c>
      <c r="C977" s="29">
        <v>158567.04000000001</v>
      </c>
      <c r="D977" s="29">
        <v>451554.97</v>
      </c>
      <c r="E977" s="30">
        <v>812754.72</v>
      </c>
      <c r="F977" t="str">
        <f>LEFT(Table2[[#This Row],[Building]],2)</f>
        <v>UT</v>
      </c>
      <c r="G977" t="str">
        <f>LEFT(Table2[[#This Row],[Building]],8)</f>
        <v>UT0017ZZ</v>
      </c>
      <c r="H977" t="str">
        <f>RIGHT(Table2[[#This Row],[Building]],LEN(Table2[[#This Row],[Building]])-9)</f>
        <v>Frank E Moss Courtho</v>
      </c>
    </row>
    <row r="978" spans="1:8" x14ac:dyDescent="0.25">
      <c r="A978" s="39" t="s">
        <v>1687</v>
      </c>
      <c r="B978" s="31">
        <v>524692.47</v>
      </c>
      <c r="C978" s="31">
        <v>838217.02</v>
      </c>
      <c r="D978" s="31">
        <v>638490.96</v>
      </c>
      <c r="E978" s="30">
        <v>2001400.45</v>
      </c>
      <c r="F978" t="str">
        <f>LEFT(Table2[[#This Row],[Building]],2)</f>
        <v>UT</v>
      </c>
      <c r="G978" t="str">
        <f>LEFT(Table2[[#This Row],[Building]],8)</f>
        <v>UT0018ZZ</v>
      </c>
      <c r="H978" t="str">
        <f>RIGHT(Table2[[#This Row],[Building]],LEN(Table2[[#This Row],[Building]])-9)</f>
        <v>United States Distri</v>
      </c>
    </row>
    <row r="979" spans="1:8" ht="22.5" x14ac:dyDescent="0.25">
      <c r="A979" s="39" t="s">
        <v>1688</v>
      </c>
      <c r="B979" s="29">
        <v>398235.27</v>
      </c>
      <c r="C979" s="29">
        <v>261556.76</v>
      </c>
      <c r="D979" s="29">
        <v>523635.08</v>
      </c>
      <c r="E979" s="30">
        <v>1183427.1100000001</v>
      </c>
      <c r="F979" t="str">
        <f>LEFT(Table2[[#This Row],[Building]],2)</f>
        <v>UT</v>
      </c>
      <c r="G979" t="str">
        <f>LEFT(Table2[[#This Row],[Building]],8)</f>
        <v>UT0032ZZ</v>
      </c>
      <c r="H979" t="str">
        <f>RIGHT(Table2[[#This Row],[Building]],LEN(Table2[[#This Row],[Building]])-9)</f>
        <v>Wallace F Bennett Fb</v>
      </c>
    </row>
    <row r="980" spans="1:8" ht="22.5" x14ac:dyDescent="0.25">
      <c r="A980" s="39" t="s">
        <v>1689</v>
      </c>
      <c r="B980" s="31">
        <v>228747.34</v>
      </c>
      <c r="C980" s="31">
        <v>170535.94</v>
      </c>
      <c r="D980" s="31">
        <v>280912.83</v>
      </c>
      <c r="E980" s="30">
        <v>680196.11</v>
      </c>
      <c r="F980" t="str">
        <f>LEFT(Table2[[#This Row],[Building]],2)</f>
        <v>UT</v>
      </c>
      <c r="G980" t="str">
        <f>LEFT(Table2[[#This Row],[Building]],8)</f>
        <v>UT0035ZZ</v>
      </c>
      <c r="H980" t="str">
        <f>RIGHT(Table2[[#This Row],[Building]],LEN(Table2[[#This Row],[Building]])-9)</f>
        <v>James V Hansen Feder</v>
      </c>
    </row>
    <row r="981" spans="1:8" x14ac:dyDescent="0.25">
      <c r="A981" s="39" t="s">
        <v>1692</v>
      </c>
      <c r="B981" s="31">
        <v>14601.08</v>
      </c>
      <c r="C981" s="31">
        <v>10657.01</v>
      </c>
      <c r="D981" s="31">
        <v>18000.54</v>
      </c>
      <c r="E981" s="30">
        <v>43258.63</v>
      </c>
      <c r="F981" t="str">
        <f>LEFT(Table2[[#This Row],[Building]],2)</f>
        <v>UT</v>
      </c>
      <c r="G981" t="str">
        <f>LEFT(Table2[[#This Row],[Building]],8)</f>
        <v>UT0039ZZ</v>
      </c>
      <c r="H981" t="str">
        <f>RIGHT(Table2[[#This Row],[Building]],LEN(Table2[[#This Row],[Building]])-9)</f>
        <v>Irs Building</v>
      </c>
    </row>
    <row r="982" spans="1:8" x14ac:dyDescent="0.25">
      <c r="A982" s="39" t="s">
        <v>1693</v>
      </c>
      <c r="B982" s="29">
        <v>30918.93</v>
      </c>
      <c r="C982" s="29">
        <v>17256.810000000001</v>
      </c>
      <c r="D982" s="29">
        <v>52249.07</v>
      </c>
      <c r="E982" s="30">
        <v>100424.81</v>
      </c>
      <c r="F982" t="str">
        <f>LEFT(Table2[[#This Row],[Building]],2)</f>
        <v>UT</v>
      </c>
      <c r="G982" t="str">
        <f>LEFT(Table2[[#This Row],[Building]],8)</f>
        <v>UT0042ZZ</v>
      </c>
      <c r="H982" t="str">
        <f>RIGHT(Table2[[#This Row],[Building]],LEN(Table2[[#This Row],[Building]])-9)</f>
        <v>Fb</v>
      </c>
    </row>
    <row r="983" spans="1:8" x14ac:dyDescent="0.25">
      <c r="A983" s="39" t="s">
        <v>1694</v>
      </c>
      <c r="B983" s="31">
        <v>68388</v>
      </c>
      <c r="C983" s="31">
        <v>40669.56</v>
      </c>
      <c r="D983" s="31">
        <v>64491.08</v>
      </c>
      <c r="E983" s="30">
        <v>173548.64</v>
      </c>
      <c r="F983" t="str">
        <f>LEFT(Table2[[#This Row],[Building]],2)</f>
        <v>VA</v>
      </c>
      <c r="G983" t="str">
        <f>LEFT(Table2[[#This Row],[Building]],8)</f>
        <v>VA0002ZZ</v>
      </c>
      <c r="H983" t="str">
        <f>RIGHT(Table2[[#This Row],[Building]],LEN(Table2[[#This Row],[Building]])-9)</f>
        <v>Federal Building</v>
      </c>
    </row>
    <row r="984" spans="1:8" ht="22.5" x14ac:dyDescent="0.25">
      <c r="A984" s="39" t="s">
        <v>1695</v>
      </c>
      <c r="B984" s="29">
        <v>185828.84</v>
      </c>
      <c r="C984" s="29">
        <v>49560.480000000003</v>
      </c>
      <c r="D984" s="29">
        <v>267924.07</v>
      </c>
      <c r="E984" s="30">
        <v>503313.39</v>
      </c>
      <c r="F984" t="str">
        <f>LEFT(Table2[[#This Row],[Building]],2)</f>
        <v>VA</v>
      </c>
      <c r="G984" t="str">
        <f>LEFT(Table2[[#This Row],[Building]],8)</f>
        <v>VA0003ZZ</v>
      </c>
      <c r="H984" t="str">
        <f>RIGHT(Table2[[#This Row],[Building]],LEN(Table2[[#This Row],[Building]])-9)</f>
        <v>Martin V.B. Bostette</v>
      </c>
    </row>
    <row r="985" spans="1:8" ht="22.5" x14ac:dyDescent="0.25">
      <c r="A985" s="39" t="s">
        <v>1696</v>
      </c>
      <c r="B985" s="31">
        <v>52844.31</v>
      </c>
      <c r="C985" s="31">
        <v>19214.7</v>
      </c>
      <c r="D985" s="31">
        <v>36141.42</v>
      </c>
      <c r="E985" s="30">
        <v>108200.43</v>
      </c>
      <c r="F985" t="str">
        <f>LEFT(Table2[[#This Row],[Building]],2)</f>
        <v>VA</v>
      </c>
      <c r="G985" t="str">
        <f>LEFT(Table2[[#This Row],[Building]],8)</f>
        <v>VA0020ZZ</v>
      </c>
      <c r="H985" t="str">
        <f>RIGHT(Table2[[#This Row],[Building]],LEN(Table2[[#This Row],[Building]])-9)</f>
        <v>C Bascom Slemp Fed B</v>
      </c>
    </row>
    <row r="986" spans="1:8" ht="22.5" x14ac:dyDescent="0.25">
      <c r="A986" s="39" t="s">
        <v>1697</v>
      </c>
      <c r="B986" s="29">
        <v>78261.149999999994</v>
      </c>
      <c r="C986" s="29">
        <v>50536.84</v>
      </c>
      <c r="D986" s="29">
        <v>29171.46</v>
      </c>
      <c r="E986" s="30">
        <v>157969.45000000001</v>
      </c>
      <c r="F986" t="str">
        <f>LEFT(Table2[[#This Row],[Building]],2)</f>
        <v>VA</v>
      </c>
      <c r="G986" t="str">
        <f>LEFT(Table2[[#This Row],[Building]],8)</f>
        <v>VA0053ZZ</v>
      </c>
      <c r="H986" t="str">
        <f>RIGHT(Table2[[#This Row],[Building]],LEN(Table2[[#This Row],[Building]])-9)</f>
        <v>Owen B Pickett Us Cu</v>
      </c>
    </row>
    <row r="987" spans="1:8" ht="22.5" x14ac:dyDescent="0.25">
      <c r="A987" s="39" t="s">
        <v>1698</v>
      </c>
      <c r="B987" s="31">
        <v>324687.52</v>
      </c>
      <c r="C987" s="31">
        <v>219654.89</v>
      </c>
      <c r="D987" s="31">
        <v>232573.97</v>
      </c>
      <c r="E987" s="30">
        <v>776916.38</v>
      </c>
      <c r="F987" t="str">
        <f>LEFT(Table2[[#This Row],[Building]],2)</f>
        <v>VA</v>
      </c>
      <c r="G987" t="str">
        <f>LEFT(Table2[[#This Row],[Building]],8)</f>
        <v>VA0054ZZ</v>
      </c>
      <c r="H987" t="str">
        <f>RIGHT(Table2[[#This Row],[Building]],LEN(Table2[[#This Row],[Building]])-9)</f>
        <v>Walter E Hoffman Us</v>
      </c>
    </row>
    <row r="988" spans="1:8" x14ac:dyDescent="0.25">
      <c r="A988" s="39" t="s">
        <v>1699</v>
      </c>
      <c r="B988" s="29">
        <v>128543.25</v>
      </c>
      <c r="C988" s="29">
        <v>79356.59</v>
      </c>
      <c r="D988" s="29">
        <v>112848.14</v>
      </c>
      <c r="E988" s="30">
        <v>320747.98</v>
      </c>
      <c r="F988" t="str">
        <f>LEFT(Table2[[#This Row],[Building]],2)</f>
        <v>VA</v>
      </c>
      <c r="G988" t="str">
        <f>LEFT(Table2[[#This Row],[Building]],8)</f>
        <v>VA0062ZZ</v>
      </c>
      <c r="H988" t="str">
        <f>RIGHT(Table2[[#This Row],[Building]],LEN(Table2[[#This Row],[Building]])-9)</f>
        <v>Lewis F Powell Jr Us</v>
      </c>
    </row>
    <row r="989" spans="1:8" x14ac:dyDescent="0.25">
      <c r="A989" s="39" t="s">
        <v>1700</v>
      </c>
      <c r="B989" s="31">
        <v>175041.11</v>
      </c>
      <c r="C989" s="31">
        <v>174266.76</v>
      </c>
      <c r="D989" s="31">
        <v>195707.42</v>
      </c>
      <c r="E989" s="30">
        <v>545015.29</v>
      </c>
      <c r="F989" t="str">
        <f>LEFT(Table2[[#This Row],[Building]],2)</f>
        <v>VA</v>
      </c>
      <c r="G989" t="str">
        <f>LEFT(Table2[[#This Row],[Building]],8)</f>
        <v>VA0063ZZ</v>
      </c>
      <c r="H989" t="str">
        <f>RIGHT(Table2[[#This Row],[Building]],LEN(Table2[[#This Row],[Building]])-9)</f>
        <v>Lewis F Powell Jr Us</v>
      </c>
    </row>
    <row r="990" spans="1:8" x14ac:dyDescent="0.25">
      <c r="A990" s="39" t="s">
        <v>1702</v>
      </c>
      <c r="B990" s="29">
        <v>260017.35</v>
      </c>
      <c r="C990" s="29">
        <v>232667.06</v>
      </c>
      <c r="D990" s="29">
        <v>143496.87</v>
      </c>
      <c r="E990" s="30">
        <v>636181.28</v>
      </c>
      <c r="F990" t="str">
        <f>LEFT(Table2[[#This Row],[Building]],2)</f>
        <v>VA</v>
      </c>
      <c r="G990" t="str">
        <f>LEFT(Table2[[#This Row],[Building]],8)</f>
        <v>VA0087ZZ</v>
      </c>
      <c r="H990" t="str">
        <f>RIGHT(Table2[[#This Row],[Building]],LEN(Table2[[#This Row],[Building]])-9)</f>
        <v>Federal Building</v>
      </c>
    </row>
    <row r="991" spans="1:8" x14ac:dyDescent="0.25">
      <c r="A991" s="39" t="s">
        <v>1703</v>
      </c>
      <c r="B991" s="31">
        <v>521426.03</v>
      </c>
      <c r="C991" s="31">
        <v>333212.28000000003</v>
      </c>
      <c r="D991" s="31">
        <v>353022.85</v>
      </c>
      <c r="E991" s="30">
        <v>1207661.1599999999</v>
      </c>
      <c r="F991" t="str">
        <f>LEFT(Table2[[#This Row],[Building]],2)</f>
        <v>VA</v>
      </c>
      <c r="G991" t="str">
        <f>LEFT(Table2[[#This Row],[Building]],8)</f>
        <v>VA0088ZZ</v>
      </c>
      <c r="H991" t="str">
        <f>RIGHT(Table2[[#This Row],[Building]],LEN(Table2[[#This Row],[Building]])-9)</f>
        <v>Federal Office Build</v>
      </c>
    </row>
    <row r="992" spans="1:8" x14ac:dyDescent="0.25">
      <c r="A992" s="39" t="s">
        <v>1704</v>
      </c>
      <c r="B992" s="29">
        <v>408947.46</v>
      </c>
      <c r="C992" s="29">
        <v>403776.47</v>
      </c>
      <c r="D992" s="29">
        <v>420137.98</v>
      </c>
      <c r="E992" s="30">
        <v>1232861.9099999999</v>
      </c>
      <c r="F992" t="str">
        <f>LEFT(Table2[[#This Row],[Building]],2)</f>
        <v>VA</v>
      </c>
      <c r="G992" t="str">
        <f>LEFT(Table2[[#This Row],[Building]],8)</f>
        <v>VA0095ZZ</v>
      </c>
      <c r="H992" t="str">
        <f>RIGHT(Table2[[#This Row],[Building]],LEN(Table2[[#This Row],[Building]])-9)</f>
        <v>Richard H Poff Fed B</v>
      </c>
    </row>
    <row r="993" spans="1:8" x14ac:dyDescent="0.25">
      <c r="A993" s="39" t="s">
        <v>1706</v>
      </c>
      <c r="B993" s="29">
        <v>785963.98</v>
      </c>
      <c r="C993" s="29">
        <v>9686.31</v>
      </c>
      <c r="D993" s="29">
        <v>39195.1</v>
      </c>
      <c r="E993" s="30">
        <v>834845.39</v>
      </c>
      <c r="F993" t="str">
        <f>LEFT(Table2[[#This Row],[Building]],2)</f>
        <v>VA</v>
      </c>
      <c r="G993" t="str">
        <f>LEFT(Table2[[#This Row],[Building]],8)</f>
        <v>VA0247AN</v>
      </c>
      <c r="H993" t="str">
        <f>RIGHT(Table2[[#This Row],[Building]],LEN(Table2[[#This Row],[Building]])-9)</f>
        <v>Building D</v>
      </c>
    </row>
    <row r="994" spans="1:8" ht="22.5" x14ac:dyDescent="0.25">
      <c r="A994" s="39" t="s">
        <v>1707</v>
      </c>
      <c r="B994" s="31">
        <v>898264.74</v>
      </c>
      <c r="C994" s="31">
        <v>551027.06999999995</v>
      </c>
      <c r="D994" s="31">
        <v>1372993.84</v>
      </c>
      <c r="E994" s="30">
        <v>2822285.65</v>
      </c>
      <c r="F994" t="str">
        <f>LEFT(Table2[[#This Row],[Building]],2)</f>
        <v>VA</v>
      </c>
      <c r="G994" t="str">
        <f>LEFT(Table2[[#This Row],[Building]],8)</f>
        <v>VA0321ZZ</v>
      </c>
      <c r="H994" t="str">
        <f>RIGHT(Table2[[#This Row],[Building]],LEN(Table2[[#This Row],[Building]])-9)</f>
        <v>Av Bryan Sr Courthou</v>
      </c>
    </row>
    <row r="995" spans="1:8" x14ac:dyDescent="0.25">
      <c r="A995" s="39" t="s">
        <v>1711</v>
      </c>
      <c r="B995" s="29">
        <v>859.41</v>
      </c>
      <c r="C995" s="29">
        <v>3126.54</v>
      </c>
      <c r="D995" s="29">
        <v>9626.91</v>
      </c>
      <c r="E995" s="30">
        <v>13612.86</v>
      </c>
      <c r="F995" t="str">
        <f>LEFT(Table2[[#This Row],[Building]],2)</f>
        <v>VA</v>
      </c>
      <c r="G995" t="str">
        <f>LEFT(Table2[[#This Row],[Building]],8)</f>
        <v>VA0504AN</v>
      </c>
      <c r="H995" t="str">
        <f>RIGHT(Table2[[#This Row],[Building]],LEN(Table2[[#This Row],[Building]])-9)</f>
        <v>Butler Bldg 04</v>
      </c>
    </row>
    <row r="996" spans="1:8" x14ac:dyDescent="0.25">
      <c r="A996" s="39" t="s">
        <v>1713</v>
      </c>
      <c r="B996" s="29">
        <v>895046.64</v>
      </c>
      <c r="C996" s="29">
        <v>521166.07</v>
      </c>
      <c r="D996" s="29">
        <v>593702.52</v>
      </c>
      <c r="E996" s="30">
        <v>2009915.23</v>
      </c>
      <c r="F996" t="str">
        <f>LEFT(Table2[[#This Row],[Building]],2)</f>
        <v>VA</v>
      </c>
      <c r="G996" t="str">
        <f>LEFT(Table2[[#This Row],[Building]],8)</f>
        <v>VA0506AN</v>
      </c>
      <c r="H996" t="str">
        <f>RIGHT(Table2[[#This Row],[Building]],LEN(Table2[[#This Row],[Building]])-9)</f>
        <v>Building A, 6810</v>
      </c>
    </row>
    <row r="997" spans="1:8" x14ac:dyDescent="0.25">
      <c r="A997" s="39" t="s">
        <v>1714</v>
      </c>
      <c r="B997" s="31">
        <v>247411.41</v>
      </c>
      <c r="C997" s="34" t="s">
        <v>1715</v>
      </c>
      <c r="D997" s="31">
        <v>437618.36</v>
      </c>
      <c r="E997" s="30">
        <v>560306.82999999996</v>
      </c>
      <c r="F997" t="str">
        <f>LEFT(Table2[[#This Row],[Building]],2)</f>
        <v>VA</v>
      </c>
      <c r="G997" t="str">
        <f>LEFT(Table2[[#This Row],[Building]],8)</f>
        <v>VA0507AN</v>
      </c>
      <c r="H997" t="str">
        <f>RIGHT(Table2[[#This Row],[Building]],LEN(Table2[[#This Row],[Building]])-9)</f>
        <v>Building B</v>
      </c>
    </row>
    <row r="998" spans="1:8" x14ac:dyDescent="0.25">
      <c r="A998" s="39" t="s">
        <v>1716</v>
      </c>
      <c r="B998" s="29">
        <v>25201.59</v>
      </c>
      <c r="C998" s="29">
        <v>4430.18</v>
      </c>
      <c r="D998" s="29">
        <v>40028.629999999997</v>
      </c>
      <c r="E998" s="30">
        <v>69660.399999999994</v>
      </c>
      <c r="F998" t="str">
        <f>LEFT(Table2[[#This Row],[Building]],2)</f>
        <v>VA</v>
      </c>
      <c r="G998" t="str">
        <f>LEFT(Table2[[#This Row],[Building]],8)</f>
        <v>VA0508AN</v>
      </c>
      <c r="H998" t="str">
        <f>RIGHT(Table2[[#This Row],[Building]],LEN(Table2[[#This Row],[Building]])-9)</f>
        <v>Building C</v>
      </c>
    </row>
    <row r="999" spans="1:8" x14ac:dyDescent="0.25">
      <c r="A999" s="39" t="s">
        <v>1719</v>
      </c>
      <c r="B999" s="31">
        <v>859.41</v>
      </c>
      <c r="C999" s="31">
        <v>1049.9000000000001</v>
      </c>
      <c r="D999" s="31">
        <v>17692.36</v>
      </c>
      <c r="E999" s="30">
        <v>19601.669999999998</v>
      </c>
      <c r="F999" t="str">
        <f>LEFT(Table2[[#This Row],[Building]],2)</f>
        <v>VA</v>
      </c>
      <c r="G999" t="str">
        <f>LEFT(Table2[[#This Row],[Building]],8)</f>
        <v>VA0560AN</v>
      </c>
      <c r="H999" t="str">
        <f>RIGHT(Table2[[#This Row],[Building]],LEN(Table2[[#This Row],[Building]])-9)</f>
        <v>Butler Bldg 08</v>
      </c>
    </row>
    <row r="1000" spans="1:8" ht="22.5" x14ac:dyDescent="0.25">
      <c r="A1000" s="39" t="s">
        <v>1722</v>
      </c>
      <c r="B1000" s="29">
        <v>651438.53</v>
      </c>
      <c r="C1000" s="29">
        <v>327057.91999999998</v>
      </c>
      <c r="D1000" s="29">
        <v>363470.7</v>
      </c>
      <c r="E1000" s="30">
        <v>1341967.1499999999</v>
      </c>
      <c r="F1000" t="str">
        <f>LEFT(Table2[[#This Row],[Building]],2)</f>
        <v>VA</v>
      </c>
      <c r="G1000" t="str">
        <f>LEFT(Table2[[#This Row],[Building]],8)</f>
        <v>VA0578ZZ</v>
      </c>
      <c r="H1000" t="str">
        <f>RIGHT(Table2[[#This Row],[Building]],LEN(Table2[[#This Row],[Building]])-9)</f>
        <v>Spottswood W. Robins</v>
      </c>
    </row>
    <row r="1001" spans="1:8" ht="22.5" x14ac:dyDescent="0.25">
      <c r="A1001" s="39" t="s">
        <v>1723</v>
      </c>
      <c r="B1001" s="31">
        <v>13042.08</v>
      </c>
      <c r="C1001" s="31">
        <v>3911.38</v>
      </c>
      <c r="D1001" s="31">
        <v>1486.78</v>
      </c>
      <c r="E1001" s="30">
        <v>18440.240000000002</v>
      </c>
      <c r="F1001" t="str">
        <f>LEFT(Table2[[#This Row],[Building]],2)</f>
        <v>VA</v>
      </c>
      <c r="G1001" t="str">
        <f>LEFT(Table2[[#This Row],[Building]],8)</f>
        <v>VA0657ZZ</v>
      </c>
      <c r="H1001" t="str">
        <f>RIGHT(Table2[[#This Row],[Building]],LEN(Table2[[#This Row],[Building]])-9)</f>
        <v>Annex To Hoffman Cou</v>
      </c>
    </row>
    <row r="1002" spans="1:8" x14ac:dyDescent="0.25">
      <c r="A1002" s="39" t="s">
        <v>1724</v>
      </c>
      <c r="B1002" s="29">
        <v>119847.44</v>
      </c>
      <c r="C1002" s="29">
        <v>66196.37</v>
      </c>
      <c r="D1002" s="29">
        <v>36477.64</v>
      </c>
      <c r="E1002" s="30">
        <v>222521.45</v>
      </c>
      <c r="F1002" t="str">
        <f>LEFT(Table2[[#This Row],[Building]],2)</f>
        <v>VA</v>
      </c>
      <c r="G1002" t="str">
        <f>LEFT(Table2[[#This Row],[Building]],8)</f>
        <v>VA0686ZZ</v>
      </c>
      <c r="H1002" t="str">
        <f>RIGHT(Table2[[#This Row],[Building]],LEN(Table2[[#This Row],[Building]])-9)</f>
        <v>U. S. Courthouse</v>
      </c>
    </row>
    <row r="1003" spans="1:8" x14ac:dyDescent="0.25">
      <c r="A1003" s="39" t="s">
        <v>1725</v>
      </c>
      <c r="B1003" s="31">
        <v>291783.09999999998</v>
      </c>
      <c r="C1003" s="31">
        <v>218253</v>
      </c>
      <c r="D1003" s="31">
        <v>262660.8</v>
      </c>
      <c r="E1003" s="30">
        <v>772696.9</v>
      </c>
      <c r="F1003" t="str">
        <f>LEFT(Table2[[#This Row],[Building]],2)</f>
        <v>VA</v>
      </c>
      <c r="G1003" t="str">
        <f>LEFT(Table2[[#This Row],[Building]],8)</f>
        <v>VA1608ZZ</v>
      </c>
      <c r="H1003" t="str">
        <f>RIGHT(Table2[[#This Row],[Building]],LEN(Table2[[#This Row],[Building]])-9)</f>
        <v>Federal Building</v>
      </c>
    </row>
    <row r="1004" spans="1:8" ht="22.5" x14ac:dyDescent="0.25">
      <c r="A1004" s="39" t="s">
        <v>1726</v>
      </c>
      <c r="B1004" s="29">
        <v>364874.46</v>
      </c>
      <c r="C1004" s="29">
        <v>463475.25</v>
      </c>
      <c r="D1004" s="29">
        <v>428879.22</v>
      </c>
      <c r="E1004" s="30">
        <v>1257228.93</v>
      </c>
      <c r="F1004" t="str">
        <f>LEFT(Table2[[#This Row],[Building]],2)</f>
        <v>VI</v>
      </c>
      <c r="G1004" t="str">
        <f>LEFT(Table2[[#This Row],[Building]],8)</f>
        <v>VI0007ZZ</v>
      </c>
      <c r="H1004" t="str">
        <f>RIGHT(Table2[[#This Row],[Building]],LEN(Table2[[#This Row],[Building]])-9)</f>
        <v>Ron De Lugo Fed Bldg</v>
      </c>
    </row>
    <row r="1005" spans="1:8" x14ac:dyDescent="0.25">
      <c r="A1005" s="39" t="s">
        <v>1727</v>
      </c>
      <c r="B1005" s="31">
        <v>354090.48</v>
      </c>
      <c r="C1005" s="31">
        <v>180187.11</v>
      </c>
      <c r="D1005" s="31">
        <v>550497.31999999995</v>
      </c>
      <c r="E1005" s="30">
        <v>1084774.9099999999</v>
      </c>
      <c r="F1005" t="str">
        <f>LEFT(Table2[[#This Row],[Building]],2)</f>
        <v>VI</v>
      </c>
      <c r="G1005" t="str">
        <f>LEFT(Table2[[#This Row],[Building]],8)</f>
        <v>VI0008ZZ</v>
      </c>
      <c r="H1005" t="str">
        <f>RIGHT(Table2[[#This Row],[Building]],LEN(Table2[[#This Row],[Building]])-9)</f>
        <v>Almeric Christian Fb</v>
      </c>
    </row>
    <row r="1006" spans="1:8" x14ac:dyDescent="0.25">
      <c r="A1006" s="39" t="s">
        <v>1728</v>
      </c>
      <c r="B1006" s="32" t="s">
        <v>1729</v>
      </c>
      <c r="C1006" s="32" t="s">
        <v>1730</v>
      </c>
      <c r="D1006" s="29">
        <v>5441.56</v>
      </c>
      <c r="E1006" s="33" t="s">
        <v>1731</v>
      </c>
      <c r="F1006" t="str">
        <f>LEFT(Table2[[#This Row],[Building]],2)</f>
        <v>VT</v>
      </c>
      <c r="G1006" t="str">
        <f>LEFT(Table2[[#This Row],[Building]],8)</f>
        <v>VT0002ZZ</v>
      </c>
      <c r="H1006" t="str">
        <f>RIGHT(Table2[[#This Row],[Building]],LEN(Table2[[#This Row],[Building]])-9)</f>
        <v>Lpoe, Beecher Falls</v>
      </c>
    </row>
    <row r="1007" spans="1:8" x14ac:dyDescent="0.25">
      <c r="A1007" s="39" t="s">
        <v>1732</v>
      </c>
      <c r="B1007" s="34" t="s">
        <v>1733</v>
      </c>
      <c r="C1007" s="34" t="s">
        <v>1734</v>
      </c>
      <c r="D1007" s="31">
        <v>1854.36</v>
      </c>
      <c r="E1007" s="33" t="s">
        <v>1735</v>
      </c>
      <c r="F1007" t="str">
        <f>LEFT(Table2[[#This Row],[Building]],2)</f>
        <v>VT</v>
      </c>
      <c r="G1007" t="str">
        <f>LEFT(Table2[[#This Row],[Building]],8)</f>
        <v>VT0007ZZ</v>
      </c>
      <c r="H1007" t="str">
        <f>RIGHT(Table2[[#This Row],[Building]],LEN(Table2[[#This Row],[Building]])-9)</f>
        <v>Lpoe, Canaan</v>
      </c>
    </row>
    <row r="1008" spans="1:8" x14ac:dyDescent="0.25">
      <c r="A1008" s="39" t="s">
        <v>1736</v>
      </c>
      <c r="B1008" s="32" t="s">
        <v>1737</v>
      </c>
      <c r="C1008" s="29">
        <v>891.98</v>
      </c>
      <c r="D1008" s="32" t="s">
        <v>1738</v>
      </c>
      <c r="E1008" s="33" t="s">
        <v>1739</v>
      </c>
      <c r="F1008" t="str">
        <f>LEFT(Table2[[#This Row],[Building]],2)</f>
        <v>VT</v>
      </c>
      <c r="G1008" t="str">
        <f>LEFT(Table2[[#This Row],[Building]],8)</f>
        <v>VT0008ZZ</v>
      </c>
      <c r="H1008" t="str">
        <f>RIGHT(Table2[[#This Row],[Building]],LEN(Table2[[#This Row],[Building]])-9)</f>
        <v>Lpoe, East Richford</v>
      </c>
    </row>
    <row r="1009" spans="1:8" x14ac:dyDescent="0.25">
      <c r="A1009" s="39" t="s">
        <v>1740</v>
      </c>
      <c r="B1009" s="34" t="s">
        <v>1741</v>
      </c>
      <c r="C1009" s="34" t="s">
        <v>1742</v>
      </c>
      <c r="D1009" s="34" t="s">
        <v>1743</v>
      </c>
      <c r="E1009" s="33" t="s">
        <v>1744</v>
      </c>
      <c r="F1009" t="str">
        <f>LEFT(Table2[[#This Row],[Building]],2)</f>
        <v>VT</v>
      </c>
      <c r="G1009" t="str">
        <f>LEFT(Table2[[#This Row],[Building]],8)</f>
        <v>VT0014ZZ</v>
      </c>
      <c r="H1009" t="str">
        <f>RIGHT(Table2[[#This Row],[Building]],LEN(Table2[[#This Row],[Building]])-9)</f>
        <v>Lpoe, Richford</v>
      </c>
    </row>
    <row r="1010" spans="1:8" ht="22.5" x14ac:dyDescent="0.25">
      <c r="A1010" s="39" t="s">
        <v>1745</v>
      </c>
      <c r="B1010" s="29">
        <v>117697.82</v>
      </c>
      <c r="C1010" s="29">
        <v>102817.92</v>
      </c>
      <c r="D1010" s="29">
        <v>185565.07</v>
      </c>
      <c r="E1010" s="30">
        <v>406080.81</v>
      </c>
      <c r="F1010" t="str">
        <f>LEFT(Table2[[#This Row],[Building]],2)</f>
        <v>VT</v>
      </c>
      <c r="G1010" t="str">
        <f>LEFT(Table2[[#This Row],[Building]],8)</f>
        <v>VT0018ZZ</v>
      </c>
      <c r="H1010" t="str">
        <f>RIGHT(Table2[[#This Row],[Building]],LEN(Table2[[#This Row],[Building]])-9)</f>
        <v>Federal Bldg Uspo&amp;Cu</v>
      </c>
    </row>
    <row r="1011" spans="1:8" ht="22.5" x14ac:dyDescent="0.25">
      <c r="A1011" s="39" t="s">
        <v>1747</v>
      </c>
      <c r="B1011" s="31">
        <v>341758.36</v>
      </c>
      <c r="C1011" s="31">
        <v>195018.17</v>
      </c>
      <c r="D1011" s="31">
        <v>256629.73</v>
      </c>
      <c r="E1011" s="30">
        <v>793406.26</v>
      </c>
      <c r="F1011" t="str">
        <f>LEFT(Table2[[#This Row],[Building]],2)</f>
        <v>VT</v>
      </c>
      <c r="G1011" t="str">
        <f>LEFT(Table2[[#This Row],[Building]],8)</f>
        <v>VT0024ZZ</v>
      </c>
      <c r="H1011" t="str">
        <f>RIGHT(Table2[[#This Row],[Building]],LEN(Table2[[#This Row],[Building]])-9)</f>
        <v>Federal Bldg Uspo Ct</v>
      </c>
    </row>
    <row r="1012" spans="1:8" ht="22.5" x14ac:dyDescent="0.25">
      <c r="A1012" s="39" t="s">
        <v>1748</v>
      </c>
      <c r="B1012" s="29">
        <v>95990.7</v>
      </c>
      <c r="C1012" s="29">
        <v>153117.70000000001</v>
      </c>
      <c r="D1012" s="29">
        <v>108857.76</v>
      </c>
      <c r="E1012" s="30">
        <v>357966.16</v>
      </c>
      <c r="F1012" t="str">
        <f>LEFT(Table2[[#This Row],[Building]],2)</f>
        <v>VT</v>
      </c>
      <c r="G1012" t="str">
        <f>LEFT(Table2[[#This Row],[Building]],8)</f>
        <v>VT0026ZZ</v>
      </c>
      <c r="H1012" t="str">
        <f>RIGHT(Table2[[#This Row],[Building]],LEN(Table2[[#This Row],[Building]])-9)</f>
        <v>Federal Bldg Uspo&amp;Ct</v>
      </c>
    </row>
    <row r="1013" spans="1:8" x14ac:dyDescent="0.25">
      <c r="A1013" s="39" t="s">
        <v>1749</v>
      </c>
      <c r="B1013" s="31">
        <v>35640.769999999997</v>
      </c>
      <c r="C1013" s="31">
        <v>26677.9</v>
      </c>
      <c r="D1013" s="31">
        <v>37109.74</v>
      </c>
      <c r="E1013" s="30">
        <v>99428.41</v>
      </c>
      <c r="F1013" t="str">
        <f>LEFT(Table2[[#This Row],[Building]],2)</f>
        <v>VT</v>
      </c>
      <c r="G1013" t="str">
        <f>LEFT(Table2[[#This Row],[Building]],8)</f>
        <v>VT0028ZZ</v>
      </c>
      <c r="H1013" t="str">
        <f>RIGHT(Table2[[#This Row],[Building]],LEN(Table2[[#This Row],[Building]])-9)</f>
        <v>Winston Prouty Fb</v>
      </c>
    </row>
    <row r="1014" spans="1:8" ht="22.5" x14ac:dyDescent="0.25">
      <c r="A1014" s="39" t="s">
        <v>1750</v>
      </c>
      <c r="B1014" s="29">
        <v>69127.460000000006</v>
      </c>
      <c r="C1014" s="29">
        <v>9482.69</v>
      </c>
      <c r="D1014" s="29">
        <v>49410.02</v>
      </c>
      <c r="E1014" s="30">
        <v>128020.17</v>
      </c>
      <c r="F1014" t="str">
        <f>LEFT(Table2[[#This Row],[Building]],2)</f>
        <v>VT</v>
      </c>
      <c r="G1014" t="str">
        <f>LEFT(Table2[[#This Row],[Building]],8)</f>
        <v>VT0029SW</v>
      </c>
      <c r="H1014" t="str">
        <f>RIGHT(Table2[[#This Row],[Building]],LEN(Table2[[#This Row],[Building]])-9)</f>
        <v>Usbp Sector Hq, Swan</v>
      </c>
    </row>
    <row r="1015" spans="1:8" x14ac:dyDescent="0.25">
      <c r="A1015" s="39" t="s">
        <v>1751</v>
      </c>
      <c r="B1015" s="31">
        <v>9157.9599999999991</v>
      </c>
      <c r="C1015" s="31">
        <v>20424.32</v>
      </c>
      <c r="D1015" s="31">
        <v>15614.41</v>
      </c>
      <c r="E1015" s="30">
        <v>45196.69</v>
      </c>
      <c r="F1015" t="str">
        <f>LEFT(Table2[[#This Row],[Building]],2)</f>
        <v>VT</v>
      </c>
      <c r="G1015" t="str">
        <f>LEFT(Table2[[#This Row],[Building]],8)</f>
        <v>VT0034ZZ</v>
      </c>
      <c r="H1015" t="str">
        <f>RIGHT(Table2[[#This Row],[Building]],LEN(Table2[[#This Row],[Building]])-9)</f>
        <v>Montpelier Ssa</v>
      </c>
    </row>
    <row r="1016" spans="1:8" x14ac:dyDescent="0.25">
      <c r="A1016" s="39" t="s">
        <v>1752</v>
      </c>
      <c r="B1016" s="29">
        <v>25453.94</v>
      </c>
      <c r="C1016" s="29">
        <v>21996.04</v>
      </c>
      <c r="D1016" s="29">
        <v>31445.64</v>
      </c>
      <c r="E1016" s="30">
        <v>78895.62</v>
      </c>
      <c r="F1016" t="str">
        <f>LEFT(Table2[[#This Row],[Building]],2)</f>
        <v>VT</v>
      </c>
      <c r="G1016" t="str">
        <f>LEFT(Table2[[#This Row],[Building]],8)</f>
        <v>VT0035ZZ</v>
      </c>
      <c r="H1016" t="str">
        <f>RIGHT(Table2[[#This Row],[Building]],LEN(Table2[[#This Row],[Building]])-9)</f>
        <v>Burlington Ssa</v>
      </c>
    </row>
    <row r="1017" spans="1:8" ht="22.5" x14ac:dyDescent="0.25">
      <c r="A1017" s="39" t="s">
        <v>1753</v>
      </c>
      <c r="B1017" s="31">
        <v>7284.5700000000097</v>
      </c>
      <c r="C1017" s="31">
        <v>33221.93</v>
      </c>
      <c r="D1017" s="31">
        <v>34163.9</v>
      </c>
      <c r="E1017" s="30">
        <v>74670.399999999994</v>
      </c>
      <c r="F1017" t="str">
        <f>LEFT(Table2[[#This Row],[Building]],2)</f>
        <v>VT</v>
      </c>
      <c r="G1017" t="str">
        <f>LEFT(Table2[[#This Row],[Building]],8)</f>
        <v>VT0057BH</v>
      </c>
      <c r="H1017" t="str">
        <f>RIGHT(Table2[[#This Row],[Building]],LEN(Table2[[#This Row],[Building]])-9)</f>
        <v>Lpoe, Highgate Sprin</v>
      </c>
    </row>
    <row r="1018" spans="1:8" ht="22.5" x14ac:dyDescent="0.25">
      <c r="A1018" s="39" t="s">
        <v>1758</v>
      </c>
      <c r="B1018" s="29">
        <v>4681.5200000000004</v>
      </c>
      <c r="C1018" s="29">
        <v>3468.42</v>
      </c>
      <c r="D1018" s="29">
        <v>28828.41</v>
      </c>
      <c r="E1018" s="30">
        <v>36978.35</v>
      </c>
      <c r="F1018" t="str">
        <f>LEFT(Table2[[#This Row],[Building]],2)</f>
        <v>VT</v>
      </c>
      <c r="G1018" t="str">
        <f>LEFT(Table2[[#This Row],[Building]],8)</f>
        <v>VT0551BS</v>
      </c>
      <c r="H1018" t="str">
        <f>RIGHT(Table2[[#This Row],[Building]],LEN(Table2[[#This Row],[Building]])-9)</f>
        <v>Lpoe, Alburg Springs</v>
      </c>
    </row>
    <row r="1019" spans="1:8" x14ac:dyDescent="0.25">
      <c r="A1019" s="39" t="s">
        <v>1760</v>
      </c>
      <c r="B1019" s="34" t="s">
        <v>1761</v>
      </c>
      <c r="C1019" s="34" t="s">
        <v>1762</v>
      </c>
      <c r="D1019" s="31">
        <v>1848.81</v>
      </c>
      <c r="E1019" s="33" t="s">
        <v>1763</v>
      </c>
      <c r="F1019" t="str">
        <f>LEFT(Table2[[#This Row],[Building]],2)</f>
        <v>VT</v>
      </c>
      <c r="G1019" t="str">
        <f>LEFT(Table2[[#This Row],[Building]],8)</f>
        <v>VT0601BP</v>
      </c>
      <c r="H1019" t="str">
        <f>RIGHT(Table2[[#This Row],[Building]],LEN(Table2[[#This Row],[Building]])-9)</f>
        <v>Lpoe, Beebe Plain</v>
      </c>
    </row>
    <row r="1020" spans="1:8" ht="22.5" x14ac:dyDescent="0.25">
      <c r="A1020" s="39" t="s">
        <v>1764</v>
      </c>
      <c r="B1020" s="29">
        <v>52667.040000000001</v>
      </c>
      <c r="C1020" s="29">
        <v>9168.15</v>
      </c>
      <c r="D1020" s="29">
        <v>49104.89</v>
      </c>
      <c r="E1020" s="30">
        <v>110940.08</v>
      </c>
      <c r="F1020" t="str">
        <f>LEFT(Table2[[#This Row],[Building]],2)</f>
        <v>VT</v>
      </c>
      <c r="G1020" t="str">
        <f>LEFT(Table2[[#This Row],[Building]],8)</f>
        <v>VT0651PD</v>
      </c>
      <c r="H1020" t="str">
        <f>RIGHT(Table2[[#This Row],[Building]],LEN(Table2[[#This Row],[Building]])-9)</f>
        <v>Lpoe &amp; Uspo, Derby L</v>
      </c>
    </row>
    <row r="1021" spans="1:8" x14ac:dyDescent="0.25">
      <c r="A1021" s="39" t="s">
        <v>1767</v>
      </c>
      <c r="B1021" s="34" t="s">
        <v>1768</v>
      </c>
      <c r="C1021" s="34" t="s">
        <v>1769</v>
      </c>
      <c r="D1021" s="34" t="s">
        <v>1770</v>
      </c>
      <c r="E1021" s="33" t="s">
        <v>1771</v>
      </c>
      <c r="F1021" t="str">
        <f>LEFT(Table2[[#This Row],[Building]],2)</f>
        <v>VT</v>
      </c>
      <c r="G1021" t="str">
        <f>LEFT(Table2[[#This Row],[Building]],8)</f>
        <v>VT0756BT</v>
      </c>
      <c r="H1021" t="str">
        <f>RIGHT(Table2[[#This Row],[Building]],LEN(Table2[[#This Row],[Building]])-9)</f>
        <v>Lpoe, North Troy</v>
      </c>
    </row>
    <row r="1022" spans="1:8" x14ac:dyDescent="0.25">
      <c r="A1022" s="39" t="s">
        <v>1772</v>
      </c>
      <c r="B1022" s="32" t="s">
        <v>1773</v>
      </c>
      <c r="C1022" s="32" t="s">
        <v>1774</v>
      </c>
      <c r="D1022" s="32" t="s">
        <v>1775</v>
      </c>
      <c r="E1022" s="33" t="s">
        <v>1776</v>
      </c>
      <c r="F1022" t="str">
        <f>LEFT(Table2[[#This Row],[Building]],2)</f>
        <v>VT</v>
      </c>
      <c r="G1022" t="str">
        <f>LEFT(Table2[[#This Row],[Building]],8)</f>
        <v>VT0801BN</v>
      </c>
      <c r="H1022" t="str">
        <f>RIGHT(Table2[[#This Row],[Building]],LEN(Table2[[#This Row],[Building]])-9)</f>
        <v>Lpoe, Norton</v>
      </c>
    </row>
    <row r="1023" spans="1:8" ht="22.5" x14ac:dyDescent="0.25">
      <c r="A1023" s="39" t="s">
        <v>1777</v>
      </c>
      <c r="B1023" s="34" t="s">
        <v>1778</v>
      </c>
      <c r="C1023" s="34" t="s">
        <v>1779</v>
      </c>
      <c r="D1023" s="34" t="s">
        <v>1780</v>
      </c>
      <c r="E1023" s="33" t="s">
        <v>1781</v>
      </c>
      <c r="F1023" t="str">
        <f>LEFT(Table2[[#This Row],[Building]],2)</f>
        <v>VT</v>
      </c>
      <c r="G1023" t="str">
        <f>LEFT(Table2[[#This Row],[Building]],8)</f>
        <v>VT0851BW</v>
      </c>
      <c r="H1023" t="str">
        <f>RIGHT(Table2[[#This Row],[Building]],LEN(Table2[[#This Row],[Building]])-9)</f>
        <v>Lpoe, West Berkshire</v>
      </c>
    </row>
    <row r="1024" spans="1:8" ht="22.5" x14ac:dyDescent="0.25">
      <c r="A1024" s="39" t="s">
        <v>1782</v>
      </c>
      <c r="B1024" s="29">
        <v>15254.02</v>
      </c>
      <c r="C1024" s="32" t="s">
        <v>1023</v>
      </c>
      <c r="D1024" s="29">
        <v>4608.58</v>
      </c>
      <c r="E1024" s="30">
        <v>13086.2</v>
      </c>
      <c r="F1024" t="str">
        <f>LEFT(Table2[[#This Row],[Building]],2)</f>
        <v>VT</v>
      </c>
      <c r="G1024" t="str">
        <f>LEFT(Table2[[#This Row],[Building]],8)</f>
        <v>VT0861BD</v>
      </c>
      <c r="H1024" t="str">
        <f>RIGHT(Table2[[#This Row],[Building]],LEN(Table2[[#This Row],[Building]])-9)</f>
        <v>Lpoe, Derby Line I-9</v>
      </c>
    </row>
    <row r="1025" spans="1:8" ht="22.5" x14ac:dyDescent="0.25">
      <c r="A1025" s="39" t="s">
        <v>1785</v>
      </c>
      <c r="B1025" s="31">
        <v>62136.800000000003</v>
      </c>
      <c r="C1025" s="31">
        <v>25961.02</v>
      </c>
      <c r="D1025" s="31">
        <v>39981.96</v>
      </c>
      <c r="E1025" s="30">
        <v>128079.78</v>
      </c>
      <c r="F1025" t="str">
        <f>LEFT(Table2[[#This Row],[Building]],2)</f>
        <v>WA</v>
      </c>
      <c r="G1025" t="str">
        <f>LEFT(Table2[[#This Row],[Building]],8)</f>
        <v>WA0028ZZ</v>
      </c>
      <c r="H1025" t="str">
        <f>RIGHT(Table2[[#This Row],[Building]],LEN(Table2[[#This Row],[Building]])-9)</f>
        <v>Richard B. Anderson</v>
      </c>
    </row>
    <row r="1026" spans="1:8" ht="22.5" x14ac:dyDescent="0.25">
      <c r="A1026" s="39" t="s">
        <v>1786</v>
      </c>
      <c r="B1026" s="29">
        <v>462867.82</v>
      </c>
      <c r="C1026" s="29">
        <v>206629.28</v>
      </c>
      <c r="D1026" s="29">
        <v>357275.82</v>
      </c>
      <c r="E1026" s="30">
        <v>1026772.92</v>
      </c>
      <c r="F1026" t="str">
        <f>LEFT(Table2[[#This Row],[Building]],2)</f>
        <v>WA</v>
      </c>
      <c r="G1026" t="str">
        <f>LEFT(Table2[[#This Row],[Building]],8)</f>
        <v>WA0035ZZ</v>
      </c>
      <c r="H1026" t="str">
        <f>RIGHT(Table2[[#This Row],[Building]],LEN(Table2[[#This Row],[Building]])-9)</f>
        <v>William Kenzo Nakamu</v>
      </c>
    </row>
    <row r="1027" spans="1:8" x14ac:dyDescent="0.25">
      <c r="A1027" s="39" t="s">
        <v>1787</v>
      </c>
      <c r="B1027" s="31">
        <v>487922.31</v>
      </c>
      <c r="C1027" s="31">
        <v>234143</v>
      </c>
      <c r="D1027" s="31">
        <v>309269.56</v>
      </c>
      <c r="E1027" s="30">
        <v>1031334.87</v>
      </c>
      <c r="F1027" t="str">
        <f>LEFT(Table2[[#This Row],[Building]],2)</f>
        <v>WA</v>
      </c>
      <c r="G1027" t="str">
        <f>LEFT(Table2[[#This Row],[Building]],8)</f>
        <v>WA0036ZZ</v>
      </c>
      <c r="H1027" t="str">
        <f>RIGHT(Table2[[#This Row],[Building]],LEN(Table2[[#This Row],[Building]])-9)</f>
        <v>Fed Office Bldg</v>
      </c>
    </row>
    <row r="1028" spans="1:8" ht="22.5" x14ac:dyDescent="0.25">
      <c r="A1028" s="39" t="s">
        <v>1788</v>
      </c>
      <c r="B1028" s="29">
        <v>195024.77</v>
      </c>
      <c r="C1028" s="29">
        <v>62925.01</v>
      </c>
      <c r="D1028" s="29">
        <v>112257.47</v>
      </c>
      <c r="E1028" s="30">
        <v>370207.25</v>
      </c>
      <c r="F1028" t="str">
        <f>LEFT(Table2[[#This Row],[Building]],2)</f>
        <v>WA</v>
      </c>
      <c r="G1028" t="str">
        <f>LEFT(Table2[[#This Row],[Building]],8)</f>
        <v>WA0045ZZ</v>
      </c>
      <c r="H1028" t="str">
        <f>RIGHT(Table2[[#This Row],[Building]],LEN(Table2[[#This Row],[Building]])-9)</f>
        <v>Fed Bldg U S Post Of</v>
      </c>
    </row>
    <row r="1029" spans="1:8" ht="22.5" x14ac:dyDescent="0.25">
      <c r="A1029" s="39" t="s">
        <v>1789</v>
      </c>
      <c r="B1029" s="31">
        <v>117429.56</v>
      </c>
      <c r="C1029" s="31">
        <v>48479.32</v>
      </c>
      <c r="D1029" s="31">
        <v>79093.149999999994</v>
      </c>
      <c r="E1029" s="30">
        <v>245002.03</v>
      </c>
      <c r="F1029" t="str">
        <f>LEFT(Table2[[#This Row],[Building]],2)</f>
        <v>WA</v>
      </c>
      <c r="G1029" t="str">
        <f>LEFT(Table2[[#This Row],[Building]],8)</f>
        <v>WA0053ZZ</v>
      </c>
      <c r="H1029" t="str">
        <f>RIGHT(Table2[[#This Row],[Building]],LEN(Table2[[#This Row],[Building]])-9)</f>
        <v>Wm O Douglas Fbusct</v>
      </c>
    </row>
    <row r="1030" spans="1:8" x14ac:dyDescent="0.25">
      <c r="A1030" s="39" t="s">
        <v>1790</v>
      </c>
      <c r="B1030" s="29">
        <v>145802.29</v>
      </c>
      <c r="C1030" s="29">
        <v>100706.5</v>
      </c>
      <c r="D1030" s="29">
        <v>236405.96</v>
      </c>
      <c r="E1030" s="30">
        <v>482914.75</v>
      </c>
      <c r="F1030" t="str">
        <f>LEFT(Table2[[#This Row],[Building]],2)</f>
        <v>WA</v>
      </c>
      <c r="G1030" t="str">
        <f>LEFT(Table2[[#This Row],[Building]],8)</f>
        <v>WA0059ZZ</v>
      </c>
      <c r="H1030" t="str">
        <f>RIGHT(Table2[[#This Row],[Building]],LEN(Table2[[#This Row],[Building]])-9)</f>
        <v>Fed Arch &amp; Rec Ctr</v>
      </c>
    </row>
    <row r="1031" spans="1:8" ht="22.5" x14ac:dyDescent="0.25">
      <c r="A1031" s="39" t="s">
        <v>1791</v>
      </c>
      <c r="B1031" s="31">
        <v>796294.97</v>
      </c>
      <c r="C1031" s="31">
        <v>248783.09</v>
      </c>
      <c r="D1031" s="31">
        <v>370383.14</v>
      </c>
      <c r="E1031" s="30">
        <v>1415461.2</v>
      </c>
      <c r="F1031" t="str">
        <f>LEFT(Table2[[#This Row],[Building]],2)</f>
        <v>WA</v>
      </c>
      <c r="G1031" t="str">
        <f>LEFT(Table2[[#This Row],[Building]],8)</f>
        <v>WA0063ZZ</v>
      </c>
      <c r="H1031" t="str">
        <f>RIGHT(Table2[[#This Row],[Building]],LEN(Table2[[#This Row],[Building]])-9)</f>
        <v>Fed Bldg Uspo &amp; Ch</v>
      </c>
    </row>
    <row r="1032" spans="1:8" ht="22.5" x14ac:dyDescent="0.25">
      <c r="A1032" s="39" t="s">
        <v>1792</v>
      </c>
      <c r="B1032" s="29">
        <v>453006.74</v>
      </c>
      <c r="C1032" s="29">
        <v>193411.14</v>
      </c>
      <c r="D1032" s="29">
        <v>251575.89</v>
      </c>
      <c r="E1032" s="30">
        <v>897993.77</v>
      </c>
      <c r="F1032" t="str">
        <f>LEFT(Table2[[#This Row],[Building]],2)</f>
        <v>WA</v>
      </c>
      <c r="G1032" t="str">
        <f>LEFT(Table2[[#This Row],[Building]],8)</f>
        <v>WA0064ZZ</v>
      </c>
      <c r="H1032" t="str">
        <f>RIGHT(Table2[[#This Row],[Building]],LEN(Table2[[#This Row],[Building]])-9)</f>
        <v>Thomas S. Foley Us C</v>
      </c>
    </row>
    <row r="1033" spans="1:8" ht="22.5" x14ac:dyDescent="0.25">
      <c r="A1033" s="39" t="s">
        <v>1793</v>
      </c>
      <c r="B1033" s="31">
        <v>44922.27</v>
      </c>
      <c r="C1033" s="34" t="s">
        <v>1794</v>
      </c>
      <c r="D1033" s="31">
        <v>29454.17</v>
      </c>
      <c r="E1033" s="30">
        <v>33166.28</v>
      </c>
      <c r="F1033" t="str">
        <f>LEFT(Table2[[#This Row],[Building]],2)</f>
        <v>WA</v>
      </c>
      <c r="G1033" t="str">
        <f>LEFT(Table2[[#This Row],[Building]],8)</f>
        <v>WA0066BP</v>
      </c>
      <c r="H1033" t="str">
        <f>RIGHT(Table2[[#This Row],[Building]],LEN(Table2[[#This Row],[Building]])-9)</f>
        <v>Blaine Border Patrol</v>
      </c>
    </row>
    <row r="1034" spans="1:8" ht="22.5" x14ac:dyDescent="0.25">
      <c r="A1034" s="39" t="s">
        <v>1795</v>
      </c>
      <c r="B1034" s="29">
        <v>12350.28</v>
      </c>
      <c r="C1034" s="29">
        <v>14080.21</v>
      </c>
      <c r="D1034" s="29">
        <v>15471.93</v>
      </c>
      <c r="E1034" s="30">
        <v>41902.42</v>
      </c>
      <c r="F1034" t="str">
        <f>LEFT(Table2[[#This Row],[Building]],2)</f>
        <v>WA</v>
      </c>
      <c r="G1034" t="str">
        <f>LEFT(Table2[[#This Row],[Building]],8)</f>
        <v>WA0067BP</v>
      </c>
      <c r="H1034" t="str">
        <f>RIGHT(Table2[[#This Row],[Building]],LEN(Table2[[#This Row],[Building]])-9)</f>
        <v>Blaine Border Patrol</v>
      </c>
    </row>
    <row r="1035" spans="1:8" x14ac:dyDescent="0.25">
      <c r="A1035" s="39" t="s">
        <v>1796</v>
      </c>
      <c r="B1035" s="31">
        <v>195962.87</v>
      </c>
      <c r="C1035" s="31">
        <v>38470.33</v>
      </c>
      <c r="D1035" s="31">
        <v>132300.35999999999</v>
      </c>
      <c r="E1035" s="30">
        <v>366733.56</v>
      </c>
      <c r="F1035" t="str">
        <f>LEFT(Table2[[#This Row],[Building]],2)</f>
        <v>WA</v>
      </c>
      <c r="G1035" t="str">
        <f>LEFT(Table2[[#This Row],[Building]],8)</f>
        <v>WA0082ZZ</v>
      </c>
      <c r="H1035" t="str">
        <f>RIGHT(Table2[[#This Row],[Building]],LEN(Table2[[#This Row],[Building]])-9)</f>
        <v>Fed Bldg And Uspo</v>
      </c>
    </row>
    <row r="1036" spans="1:8" ht="22.5" x14ac:dyDescent="0.25">
      <c r="A1036" s="39" t="s">
        <v>1797</v>
      </c>
      <c r="B1036" s="29">
        <v>66218.28</v>
      </c>
      <c r="C1036" s="29">
        <v>17926.240000000002</v>
      </c>
      <c r="D1036" s="29">
        <v>6492.34</v>
      </c>
      <c r="E1036" s="30">
        <v>90636.86</v>
      </c>
      <c r="F1036" t="str">
        <f>LEFT(Table2[[#This Row],[Building]],2)</f>
        <v>WA</v>
      </c>
      <c r="G1036" t="str">
        <f>LEFT(Table2[[#This Row],[Building]],8)</f>
        <v>WA0089HQ</v>
      </c>
      <c r="H1036" t="str">
        <f>RIGHT(Table2[[#This Row],[Building]],LEN(Table2[[#This Row],[Building]])-9)</f>
        <v>Bord Patrol Sect Hq</v>
      </c>
    </row>
    <row r="1037" spans="1:8" ht="22.5" x14ac:dyDescent="0.25">
      <c r="A1037" s="39" t="s">
        <v>1798</v>
      </c>
      <c r="B1037" s="31">
        <v>53481.15</v>
      </c>
      <c r="C1037" s="31">
        <v>21223.57</v>
      </c>
      <c r="D1037" s="31">
        <v>53986.57</v>
      </c>
      <c r="E1037" s="30">
        <v>128691.29</v>
      </c>
      <c r="F1037" t="str">
        <f>LEFT(Table2[[#This Row],[Building]],2)</f>
        <v>WA</v>
      </c>
      <c r="G1037" t="str">
        <f>LEFT(Table2[[#This Row],[Building]],8)</f>
        <v>WA0094ZZ</v>
      </c>
      <c r="H1037" t="str">
        <f>RIGHT(Table2[[#This Row],[Building]],LEN(Table2[[#This Row],[Building]])-9)</f>
        <v>Vancouver Federal Bl</v>
      </c>
    </row>
    <row r="1038" spans="1:8" x14ac:dyDescent="0.25">
      <c r="A1038" s="39" t="s">
        <v>1799</v>
      </c>
      <c r="B1038" s="29">
        <v>1380172.71</v>
      </c>
      <c r="C1038" s="29">
        <v>1007130.31</v>
      </c>
      <c r="D1038" s="29">
        <v>1114182.29</v>
      </c>
      <c r="E1038" s="30">
        <v>3501485.31</v>
      </c>
      <c r="F1038" t="str">
        <f>LEFT(Table2[[#This Row],[Building]],2)</f>
        <v>WA</v>
      </c>
      <c r="G1038" t="str">
        <f>LEFT(Table2[[#This Row],[Building]],8)</f>
        <v>WA0101ZZ</v>
      </c>
      <c r="H1038" t="str">
        <f>RIGHT(Table2[[#This Row],[Building]],LEN(Table2[[#This Row],[Building]])-9)</f>
        <v>Jackson Fb</v>
      </c>
    </row>
    <row r="1039" spans="1:8" ht="22.5" x14ac:dyDescent="0.25">
      <c r="A1039" s="39" t="s">
        <v>1800</v>
      </c>
      <c r="B1039" s="31">
        <v>991147.8</v>
      </c>
      <c r="C1039" s="31">
        <v>617936.73</v>
      </c>
      <c r="D1039" s="31">
        <v>751799.75</v>
      </c>
      <c r="E1039" s="30">
        <v>2360884.2799999998</v>
      </c>
      <c r="F1039" t="str">
        <f>LEFT(Table2[[#This Row],[Building]],2)</f>
        <v>WA</v>
      </c>
      <c r="G1039" t="str">
        <f>LEFT(Table2[[#This Row],[Building]],8)</f>
        <v>WA0102ZZ</v>
      </c>
      <c r="H1039" t="str">
        <f>RIGHT(Table2[[#This Row],[Building]],LEN(Table2[[#This Row],[Building]])-9)</f>
        <v>Us District Courthou</v>
      </c>
    </row>
    <row r="1040" spans="1:8" x14ac:dyDescent="0.25">
      <c r="A1040" s="39" t="s">
        <v>1802</v>
      </c>
      <c r="B1040" s="29">
        <v>182758.57</v>
      </c>
      <c r="C1040" s="29">
        <v>240779.53</v>
      </c>
      <c r="D1040" s="29">
        <v>103230.56</v>
      </c>
      <c r="E1040" s="30">
        <v>526768.66</v>
      </c>
      <c r="F1040" t="str">
        <f>LEFT(Table2[[#This Row],[Building]],2)</f>
        <v>WA</v>
      </c>
      <c r="G1040" t="str">
        <f>LEFT(Table2[[#This Row],[Building]],8)</f>
        <v>WA0118ZZ</v>
      </c>
      <c r="H1040" t="str">
        <f>RIGHT(Table2[[#This Row],[Building]],LEN(Table2[[#This Row],[Building]])-9)</f>
        <v>Fda Bldg</v>
      </c>
    </row>
    <row r="1041" spans="1:8" ht="22.5" x14ac:dyDescent="0.25">
      <c r="A1041" s="39" t="s">
        <v>1803</v>
      </c>
      <c r="B1041" s="31">
        <v>10354.84</v>
      </c>
      <c r="C1041" s="34" t="s">
        <v>1804</v>
      </c>
      <c r="D1041" s="31">
        <v>2998.52</v>
      </c>
      <c r="E1041" s="30">
        <v>7838.21000000001</v>
      </c>
      <c r="F1041" t="str">
        <f>LEFT(Table2[[#This Row],[Building]],2)</f>
        <v>WA</v>
      </c>
      <c r="G1041" t="str">
        <f>LEFT(Table2[[#This Row],[Building]],8)</f>
        <v>WA0119PR</v>
      </c>
      <c r="H1041" t="str">
        <f>RIGHT(Table2[[#This Row],[Building]],LEN(Table2[[#This Row],[Building]])-9)</f>
        <v>Pt Roberts Land Port</v>
      </c>
    </row>
    <row r="1042" spans="1:8" ht="22.5" x14ac:dyDescent="0.25">
      <c r="A1042" s="39" t="s">
        <v>1805</v>
      </c>
      <c r="B1042" s="29">
        <v>292540.28999999998</v>
      </c>
      <c r="C1042" s="29">
        <v>282539.09000000003</v>
      </c>
      <c r="D1042" s="29">
        <v>162910.63</v>
      </c>
      <c r="E1042" s="30">
        <v>737990.01</v>
      </c>
      <c r="F1042" t="str">
        <f>LEFT(Table2[[#This Row],[Building]],2)</f>
        <v>WA</v>
      </c>
      <c r="G1042" t="str">
        <f>LEFT(Table2[[#This Row],[Building]],8)</f>
        <v>WA0120BN</v>
      </c>
      <c r="H1042" t="str">
        <f>RIGHT(Table2[[#This Row],[Building]],LEN(Table2[[#This Row],[Building]])-9)</f>
        <v>Pac Highway Auto Bus</v>
      </c>
    </row>
    <row r="1043" spans="1:8" x14ac:dyDescent="0.25">
      <c r="A1043" s="39" t="s">
        <v>1806</v>
      </c>
      <c r="B1043" s="31">
        <v>46014.53</v>
      </c>
      <c r="C1043" s="31">
        <v>12394.15</v>
      </c>
      <c r="D1043" s="31">
        <v>1617.36</v>
      </c>
      <c r="E1043" s="30">
        <v>60026.04</v>
      </c>
      <c r="F1043" t="str">
        <f>LEFT(Table2[[#This Row],[Building]],2)</f>
        <v>WA</v>
      </c>
      <c r="G1043" t="str">
        <f>LEFT(Table2[[#This Row],[Building]],8)</f>
        <v>WA0122HQ</v>
      </c>
      <c r="H1043" t="str">
        <f>RIGHT(Table2[[#This Row],[Building]],LEN(Table2[[#This Row],[Building]])-9)</f>
        <v>Bord Patrol Annex</v>
      </c>
    </row>
    <row r="1044" spans="1:8" ht="22.5" x14ac:dyDescent="0.25">
      <c r="A1044" s="39" t="s">
        <v>1807</v>
      </c>
      <c r="B1044" s="29">
        <v>126074.85</v>
      </c>
      <c r="C1044" s="29">
        <v>16954.740000000002</v>
      </c>
      <c r="D1044" s="29">
        <v>16905.419999999998</v>
      </c>
      <c r="E1044" s="30">
        <v>159935.01</v>
      </c>
      <c r="F1044" t="str">
        <f>LEFT(Table2[[#This Row],[Building]],2)</f>
        <v>WA</v>
      </c>
      <c r="G1044" t="str">
        <f>LEFT(Table2[[#This Row],[Building]],8)</f>
        <v>WA0123KA</v>
      </c>
      <c r="H1044" t="str">
        <f>RIGHT(Table2[[#This Row],[Building]],LEN(Table2[[#This Row],[Building]])-9)</f>
        <v>Gsa Daycare Center</v>
      </c>
    </row>
    <row r="1045" spans="1:8" ht="22.5" x14ac:dyDescent="0.25">
      <c r="A1045" s="39" t="s">
        <v>1808</v>
      </c>
      <c r="B1045" s="34" t="s">
        <v>1809</v>
      </c>
      <c r="C1045" s="31">
        <v>13040.08</v>
      </c>
      <c r="D1045" s="34" t="s">
        <v>1810</v>
      </c>
      <c r="E1045" s="33" t="s">
        <v>1811</v>
      </c>
      <c r="F1045" t="str">
        <f>LEFT(Table2[[#This Row],[Building]],2)</f>
        <v>WA</v>
      </c>
      <c r="G1045" t="str">
        <f>LEFT(Table2[[#This Row],[Building]],8)</f>
        <v>WA0124OB</v>
      </c>
      <c r="H1045" t="str">
        <f>RIGHT(Table2[[#This Row],[Building]],LEN(Table2[[#This Row],[Building]])-9)</f>
        <v>Oroville Land Port O</v>
      </c>
    </row>
    <row r="1046" spans="1:8" ht="22.5" x14ac:dyDescent="0.25">
      <c r="A1046" s="39" t="s">
        <v>1812</v>
      </c>
      <c r="B1046" s="29">
        <v>142482.23000000001</v>
      </c>
      <c r="C1046" s="32" t="s">
        <v>1813</v>
      </c>
      <c r="D1046" s="32" t="s">
        <v>1814</v>
      </c>
      <c r="E1046" s="30">
        <v>33993.21</v>
      </c>
      <c r="F1046" t="str">
        <f>LEFT(Table2[[#This Row],[Building]],2)</f>
        <v>WA</v>
      </c>
      <c r="G1046" t="str">
        <f>LEFT(Table2[[#This Row],[Building]],8)</f>
        <v>WA0132PA</v>
      </c>
      <c r="H1046" t="str">
        <f>RIGHT(Table2[[#This Row],[Building]],LEN(Table2[[#This Row],[Building]])-9)</f>
        <v>Peace Arch Land Port</v>
      </c>
    </row>
    <row r="1047" spans="1:8" ht="22.5" x14ac:dyDescent="0.25">
      <c r="A1047" s="39" t="s">
        <v>1816</v>
      </c>
      <c r="B1047" s="31">
        <v>5875.32</v>
      </c>
      <c r="C1047" s="31">
        <v>4912.5</v>
      </c>
      <c r="D1047" s="31">
        <v>9552.39</v>
      </c>
      <c r="E1047" s="30">
        <v>20340.21</v>
      </c>
      <c r="F1047" t="str">
        <f>LEFT(Table2[[#This Row],[Building]],2)</f>
        <v>WA</v>
      </c>
      <c r="G1047" t="str">
        <f>LEFT(Table2[[#This Row],[Building]],8)</f>
        <v>WA0141BP</v>
      </c>
      <c r="H1047" t="str">
        <f>RIGHT(Table2[[#This Row],[Building]],LEN(Table2[[#This Row],[Building]])-9)</f>
        <v>Blaine Cbp Seizure V</v>
      </c>
    </row>
    <row r="1048" spans="1:8" ht="22.5" x14ac:dyDescent="0.25">
      <c r="A1048" s="39" t="s">
        <v>1817</v>
      </c>
      <c r="B1048" s="32" t="s">
        <v>1818</v>
      </c>
      <c r="C1048" s="32" t="s">
        <v>1819</v>
      </c>
      <c r="D1048" s="32" t="s">
        <v>1820</v>
      </c>
      <c r="E1048" s="33" t="s">
        <v>1821</v>
      </c>
      <c r="F1048" t="str">
        <f>LEFT(Table2[[#This Row],[Building]],2)</f>
        <v>WA</v>
      </c>
      <c r="G1048" t="str">
        <f>LEFT(Table2[[#This Row],[Building]],8)</f>
        <v>WA0143BN</v>
      </c>
      <c r="H1048" t="str">
        <f>RIGHT(Table2[[#This Row],[Building]],LEN(Table2[[#This Row],[Building]])-9)</f>
        <v>Pac Highway Cargo Bu</v>
      </c>
    </row>
    <row r="1049" spans="1:8" ht="22.5" x14ac:dyDescent="0.25">
      <c r="A1049" s="39" t="s">
        <v>1822</v>
      </c>
      <c r="B1049" s="31">
        <v>13645.26</v>
      </c>
      <c r="C1049" s="31">
        <v>65489.23</v>
      </c>
      <c r="D1049" s="31">
        <v>70113.759999999995</v>
      </c>
      <c r="E1049" s="30">
        <v>149248.25</v>
      </c>
      <c r="F1049" t="str">
        <f>LEFT(Table2[[#This Row],[Building]],2)</f>
        <v>WA</v>
      </c>
      <c r="G1049" t="str">
        <f>LEFT(Table2[[#This Row],[Building]],8)</f>
        <v>WA0148ZZ</v>
      </c>
      <c r="H1049" t="str">
        <f>RIGHT(Table2[[#This Row],[Building]],LEN(Table2[[#This Row],[Building]])-9)</f>
        <v>Federal Reserve Bank</v>
      </c>
    </row>
    <row r="1050" spans="1:8" ht="22.5" x14ac:dyDescent="0.25">
      <c r="A1050" s="39" t="s">
        <v>1823</v>
      </c>
      <c r="B1050" s="29">
        <v>14615.8</v>
      </c>
      <c r="C1050" s="32" t="s">
        <v>1824</v>
      </c>
      <c r="D1050" s="32" t="s">
        <v>1825</v>
      </c>
      <c r="E1050" s="30">
        <v>1052.1600000000101</v>
      </c>
      <c r="F1050" t="str">
        <f>LEFT(Table2[[#This Row],[Building]],2)</f>
        <v>WA</v>
      </c>
      <c r="G1050" t="str">
        <f>LEFT(Table2[[#This Row],[Building]],8)</f>
        <v>WA0540YB</v>
      </c>
      <c r="H1050" t="str">
        <f>RIGHT(Table2[[#This Row],[Building]],LEN(Table2[[#This Row],[Building]])-9)</f>
        <v>Kenneth G Ward Land</v>
      </c>
    </row>
    <row r="1051" spans="1:8" ht="22.5" x14ac:dyDescent="0.25">
      <c r="A1051" s="39" t="s">
        <v>1826</v>
      </c>
      <c r="B1051" s="31">
        <v>7529.13</v>
      </c>
      <c r="C1051" s="34" t="s">
        <v>1827</v>
      </c>
      <c r="D1051" s="34" t="s">
        <v>1828</v>
      </c>
      <c r="E1051" s="33" t="s">
        <v>1829</v>
      </c>
      <c r="F1051" t="str">
        <f>LEFT(Table2[[#This Row],[Building]],2)</f>
        <v>WA</v>
      </c>
      <c r="G1051" t="str">
        <f>LEFT(Table2[[#This Row],[Building]],8)</f>
        <v>WA0550DV</v>
      </c>
      <c r="H1051" t="str">
        <f>RIGHT(Table2[[#This Row],[Building]],LEN(Table2[[#This Row],[Building]])-9)</f>
        <v>Danville Land Port O</v>
      </c>
    </row>
    <row r="1052" spans="1:8" ht="22.5" x14ac:dyDescent="0.25">
      <c r="A1052" s="39" t="s">
        <v>1830</v>
      </c>
      <c r="B1052" s="29">
        <v>53991.61</v>
      </c>
      <c r="C1052" s="29">
        <v>6264.07</v>
      </c>
      <c r="D1052" s="29">
        <v>27539.89</v>
      </c>
      <c r="E1052" s="30">
        <v>87795.57</v>
      </c>
      <c r="F1052" t="str">
        <f>LEFT(Table2[[#This Row],[Building]],2)</f>
        <v>WA</v>
      </c>
      <c r="G1052" t="str">
        <f>LEFT(Table2[[#This Row],[Building]],8)</f>
        <v>WA0551FB</v>
      </c>
      <c r="H1052" t="str">
        <f>RIGHT(Table2[[#This Row],[Building]],LEN(Table2[[#This Row],[Building]])-9)</f>
        <v>Ferry Land Port Of E</v>
      </c>
    </row>
    <row r="1053" spans="1:8" ht="22.5" x14ac:dyDescent="0.25">
      <c r="A1053" s="39" t="s">
        <v>1831</v>
      </c>
      <c r="B1053" s="31">
        <v>32450.99</v>
      </c>
      <c r="C1053" s="31">
        <v>7881.62</v>
      </c>
      <c r="D1053" s="31">
        <v>11643.48</v>
      </c>
      <c r="E1053" s="30">
        <v>51976.09</v>
      </c>
      <c r="F1053" t="str">
        <f>LEFT(Table2[[#This Row],[Building]],2)</f>
        <v>WA</v>
      </c>
      <c r="G1053" t="str">
        <f>LEFT(Table2[[#This Row],[Building]],8)</f>
        <v>WA0601LB</v>
      </c>
      <c r="H1053" t="str">
        <f>RIGHT(Table2[[#This Row],[Building]],LEN(Table2[[#This Row],[Building]])-9)</f>
        <v>Laurier Land Port Of</v>
      </c>
    </row>
    <row r="1054" spans="1:8" ht="22.5" x14ac:dyDescent="0.25">
      <c r="A1054" s="39" t="s">
        <v>1832</v>
      </c>
      <c r="B1054" s="32" t="s">
        <v>1833</v>
      </c>
      <c r="C1054" s="29">
        <v>7175.77</v>
      </c>
      <c r="D1054" s="29">
        <v>62557.57</v>
      </c>
      <c r="E1054" s="30">
        <v>55353.87</v>
      </c>
      <c r="F1054" t="str">
        <f>LEFT(Table2[[#This Row],[Building]],2)</f>
        <v>WA</v>
      </c>
      <c r="G1054" t="str">
        <f>LEFT(Table2[[#This Row],[Building]],8)</f>
        <v>WA0611MB</v>
      </c>
      <c r="H1054" t="str">
        <f>RIGHT(Table2[[#This Row],[Building]],LEN(Table2[[#This Row],[Building]])-9)</f>
        <v>Metaline Falls Land</v>
      </c>
    </row>
    <row r="1055" spans="1:8" ht="22.5" x14ac:dyDescent="0.25">
      <c r="A1055" s="39" t="s">
        <v>1834</v>
      </c>
      <c r="B1055" s="34" t="s">
        <v>1835</v>
      </c>
      <c r="C1055" s="31">
        <v>384.55999999999801</v>
      </c>
      <c r="D1055" s="34" t="s">
        <v>1836</v>
      </c>
      <c r="E1055" s="33" t="s">
        <v>1837</v>
      </c>
      <c r="F1055" t="str">
        <f>LEFT(Table2[[#This Row],[Building]],2)</f>
        <v>WA</v>
      </c>
      <c r="G1055" t="str">
        <f>LEFT(Table2[[#This Row],[Building]],8)</f>
        <v>WA0653SB</v>
      </c>
      <c r="H1055" t="str">
        <f>RIGHT(Table2[[#This Row],[Building]],LEN(Table2[[#This Row],[Building]])-9)</f>
        <v>Sumas Land Port Of E</v>
      </c>
    </row>
    <row r="1056" spans="1:8" ht="22.5" x14ac:dyDescent="0.25">
      <c r="A1056" s="39" t="s">
        <v>1838</v>
      </c>
      <c r="B1056" s="29">
        <v>268324.11</v>
      </c>
      <c r="C1056" s="29">
        <v>103683.09</v>
      </c>
      <c r="D1056" s="29">
        <v>103533.78</v>
      </c>
      <c r="E1056" s="30">
        <v>475540.98</v>
      </c>
      <c r="F1056" t="str">
        <f>LEFT(Table2[[#This Row],[Building]],2)</f>
        <v>WA</v>
      </c>
      <c r="G1056" t="str">
        <f>LEFT(Table2[[#This Row],[Building]],8)</f>
        <v>WA0811KA</v>
      </c>
      <c r="H1056" t="str">
        <f>RIGHT(Table2[[#This Row],[Building]],LEN(Table2[[#This Row],[Building]])-9)</f>
        <v>Administration Bldg</v>
      </c>
    </row>
    <row r="1057" spans="1:8" ht="22.5" x14ac:dyDescent="0.25">
      <c r="A1057" s="39" t="s">
        <v>1841</v>
      </c>
      <c r="B1057" s="31">
        <v>7282.51</v>
      </c>
      <c r="C1057" s="31">
        <v>20151.419999999998</v>
      </c>
      <c r="D1057" s="31">
        <v>6211.35</v>
      </c>
      <c r="E1057" s="30">
        <v>33645.279999999999</v>
      </c>
      <c r="F1057" t="str">
        <f>LEFT(Table2[[#This Row],[Building]],2)</f>
        <v>WA</v>
      </c>
      <c r="G1057" t="str">
        <f>LEFT(Table2[[#This Row],[Building]],8)</f>
        <v>WA0819KA</v>
      </c>
      <c r="H1057" t="str">
        <f>RIGHT(Table2[[#This Row],[Building]],LEN(Table2[[#This Row],[Building]])-9)</f>
        <v>Fleet Management Bld</v>
      </c>
    </row>
    <row r="1058" spans="1:8" x14ac:dyDescent="0.25">
      <c r="A1058" s="39" t="s">
        <v>1842</v>
      </c>
      <c r="B1058" s="29">
        <v>12916.48</v>
      </c>
      <c r="C1058" s="29">
        <v>44374.5</v>
      </c>
      <c r="D1058" s="29">
        <v>47737.08</v>
      </c>
      <c r="E1058" s="30">
        <v>105028.06</v>
      </c>
      <c r="F1058" t="str">
        <f>LEFT(Table2[[#This Row],[Building]],2)</f>
        <v>WA</v>
      </c>
      <c r="G1058" t="str">
        <f>LEFT(Table2[[#This Row],[Building]],8)</f>
        <v>WA0821KF</v>
      </c>
      <c r="H1058" t="str">
        <f>RIGHT(Table2[[#This Row],[Building]],LEN(Table2[[#This Row],[Building]])-9)</f>
        <v>Warehouse 5</v>
      </c>
    </row>
    <row r="1059" spans="1:8" x14ac:dyDescent="0.25">
      <c r="A1059" s="39" t="s">
        <v>1843</v>
      </c>
      <c r="B1059" s="31">
        <v>6062.75</v>
      </c>
      <c r="C1059" s="31">
        <v>61762.559999999998</v>
      </c>
      <c r="D1059" s="31">
        <v>46522.96</v>
      </c>
      <c r="E1059" s="30">
        <v>114348.27</v>
      </c>
      <c r="F1059" t="str">
        <f>LEFT(Table2[[#This Row],[Building]],2)</f>
        <v>WA</v>
      </c>
      <c r="G1059" t="str">
        <f>LEFT(Table2[[#This Row],[Building]],8)</f>
        <v>WA0822KF</v>
      </c>
      <c r="H1059" t="str">
        <f>RIGHT(Table2[[#This Row],[Building]],LEN(Table2[[#This Row],[Building]])-9)</f>
        <v>Warehouse 3</v>
      </c>
    </row>
    <row r="1060" spans="1:8" x14ac:dyDescent="0.25">
      <c r="A1060" s="39" t="s">
        <v>1844</v>
      </c>
      <c r="B1060" s="29">
        <v>2932.17</v>
      </c>
      <c r="C1060" s="29">
        <v>28742.59</v>
      </c>
      <c r="D1060" s="29">
        <v>31436.79</v>
      </c>
      <c r="E1060" s="30">
        <v>63111.55</v>
      </c>
      <c r="F1060" t="str">
        <f>LEFT(Table2[[#This Row],[Building]],2)</f>
        <v>WA</v>
      </c>
      <c r="G1060" t="str">
        <f>LEFT(Table2[[#This Row],[Building]],8)</f>
        <v>WA0823KF</v>
      </c>
      <c r="H1060" t="str">
        <f>RIGHT(Table2[[#This Row],[Building]],LEN(Table2[[#This Row],[Building]])-9)</f>
        <v>Warehouse 4</v>
      </c>
    </row>
    <row r="1061" spans="1:8" x14ac:dyDescent="0.25">
      <c r="A1061" s="39" t="s">
        <v>1845</v>
      </c>
      <c r="B1061" s="31">
        <v>22037.11</v>
      </c>
      <c r="C1061" s="31">
        <v>146901.79</v>
      </c>
      <c r="D1061" s="31">
        <v>76512.850000000006</v>
      </c>
      <c r="E1061" s="30">
        <v>245451.75</v>
      </c>
      <c r="F1061" t="str">
        <f>LEFT(Table2[[#This Row],[Building]],2)</f>
        <v>WA</v>
      </c>
      <c r="G1061" t="str">
        <f>LEFT(Table2[[#This Row],[Building]],8)</f>
        <v>WA0824KF</v>
      </c>
      <c r="H1061" t="str">
        <f>RIGHT(Table2[[#This Row],[Building]],LEN(Table2[[#This Row],[Building]])-9)</f>
        <v>Warehouse 1</v>
      </c>
    </row>
    <row r="1062" spans="1:8" x14ac:dyDescent="0.25">
      <c r="A1062" s="39" t="s">
        <v>1846</v>
      </c>
      <c r="B1062" s="29">
        <v>74699.509999999995</v>
      </c>
      <c r="C1062" s="29">
        <v>152602.07</v>
      </c>
      <c r="D1062" s="29">
        <v>72014.880000000005</v>
      </c>
      <c r="E1062" s="30">
        <v>299316.46000000002</v>
      </c>
      <c r="F1062" t="str">
        <f>LEFT(Table2[[#This Row],[Building]],2)</f>
        <v>WA</v>
      </c>
      <c r="G1062" t="str">
        <f>LEFT(Table2[[#This Row],[Building]],8)</f>
        <v>WA0825KF</v>
      </c>
      <c r="H1062" t="str">
        <f>RIGHT(Table2[[#This Row],[Building]],LEN(Table2[[#This Row],[Building]])-9)</f>
        <v>Warehouse 2</v>
      </c>
    </row>
    <row r="1063" spans="1:8" x14ac:dyDescent="0.25">
      <c r="A1063" s="39" t="s">
        <v>1847</v>
      </c>
      <c r="B1063" s="31">
        <v>404832.99</v>
      </c>
      <c r="C1063" s="31">
        <v>7831.38</v>
      </c>
      <c r="D1063" s="31">
        <v>211451.46</v>
      </c>
      <c r="E1063" s="30">
        <v>624115.82999999996</v>
      </c>
      <c r="F1063" t="str">
        <f>LEFT(Table2[[#This Row],[Building]],2)</f>
        <v>WA</v>
      </c>
      <c r="G1063" t="str">
        <f>LEFT(Table2[[#This Row],[Building]],8)</f>
        <v>WA0831KF</v>
      </c>
      <c r="H1063" t="str">
        <f>RIGHT(Table2[[#This Row],[Building]],LEN(Table2[[#This Row],[Building]])-9)</f>
        <v>Building 7</v>
      </c>
    </row>
    <row r="1064" spans="1:8" x14ac:dyDescent="0.25">
      <c r="A1064" s="39" t="s">
        <v>1848</v>
      </c>
      <c r="B1064" s="29">
        <v>5202.92</v>
      </c>
      <c r="C1064" s="29">
        <v>35218.49</v>
      </c>
      <c r="D1064" s="29">
        <v>55212.57</v>
      </c>
      <c r="E1064" s="30">
        <v>95633.98</v>
      </c>
      <c r="F1064" t="str">
        <f>LEFT(Table2[[#This Row],[Building]],2)</f>
        <v>WA</v>
      </c>
      <c r="G1064" t="str">
        <f>LEFT(Table2[[#This Row],[Building]],8)</f>
        <v>WA0832KF</v>
      </c>
      <c r="H1064" t="str">
        <f>RIGHT(Table2[[#This Row],[Building]],LEN(Table2[[#This Row],[Building]])-9)</f>
        <v>Warehouse 8</v>
      </c>
    </row>
    <row r="1065" spans="1:8" x14ac:dyDescent="0.25">
      <c r="A1065" s="39" t="s">
        <v>1849</v>
      </c>
      <c r="B1065" s="31">
        <v>12634.13</v>
      </c>
      <c r="C1065" s="31">
        <v>26456.3</v>
      </c>
      <c r="D1065" s="31">
        <v>39614.980000000003</v>
      </c>
      <c r="E1065" s="30">
        <v>78705.41</v>
      </c>
      <c r="F1065" t="str">
        <f>LEFT(Table2[[#This Row],[Building]],2)</f>
        <v>WA</v>
      </c>
      <c r="G1065" t="str">
        <f>LEFT(Table2[[#This Row],[Building]],8)</f>
        <v>WA0833KF</v>
      </c>
      <c r="H1065" t="str">
        <f>RIGHT(Table2[[#This Row],[Building]],LEN(Table2[[#This Row],[Building]])-9)</f>
        <v>Warehouse 6</v>
      </c>
    </row>
    <row r="1066" spans="1:8" x14ac:dyDescent="0.25">
      <c r="A1066" s="39" t="s">
        <v>1850</v>
      </c>
      <c r="B1066" s="29">
        <v>1548.48</v>
      </c>
      <c r="C1066" s="29">
        <v>17406.47</v>
      </c>
      <c r="D1066" s="29">
        <v>2199.64</v>
      </c>
      <c r="E1066" s="30">
        <v>21154.59</v>
      </c>
      <c r="F1066" t="str">
        <f>LEFT(Table2[[#This Row],[Building]],2)</f>
        <v>WA</v>
      </c>
      <c r="G1066" t="str">
        <f>LEFT(Table2[[#This Row],[Building]],8)</f>
        <v>WA0834KF</v>
      </c>
      <c r="H1066" t="str">
        <f>RIGHT(Table2[[#This Row],[Building]],LEN(Table2[[#This Row],[Building]])-9)</f>
        <v>Pov Facility</v>
      </c>
    </row>
    <row r="1067" spans="1:8" x14ac:dyDescent="0.25">
      <c r="A1067" s="39" t="s">
        <v>1851</v>
      </c>
      <c r="B1067" s="31">
        <v>546583.88</v>
      </c>
      <c r="C1067" s="31">
        <v>579067.55000000005</v>
      </c>
      <c r="D1067" s="31">
        <v>382431.91</v>
      </c>
      <c r="E1067" s="30">
        <v>1508083.34</v>
      </c>
      <c r="F1067" t="str">
        <f>LEFT(Table2[[#This Row],[Building]],2)</f>
        <v>WA</v>
      </c>
      <c r="G1067" t="str">
        <f>LEFT(Table2[[#This Row],[Building]],8)</f>
        <v>WA0953KC</v>
      </c>
      <c r="H1067" t="str">
        <f>RIGHT(Table2[[#This Row],[Building]],LEN(Table2[[#This Row],[Building]])-9)</f>
        <v>Fed Ctr So Office</v>
      </c>
    </row>
    <row r="1068" spans="1:8" x14ac:dyDescent="0.25">
      <c r="A1068" s="39" t="s">
        <v>1852</v>
      </c>
      <c r="B1068" s="29">
        <v>556077.31999999995</v>
      </c>
      <c r="C1068" s="32" t="s">
        <v>1853</v>
      </c>
      <c r="D1068" s="29">
        <v>200143.78</v>
      </c>
      <c r="E1068" s="30">
        <v>746441.04</v>
      </c>
      <c r="F1068" t="str">
        <f>LEFT(Table2[[#This Row],[Building]],2)</f>
        <v>WA</v>
      </c>
      <c r="G1068" t="str">
        <f>LEFT(Table2[[#This Row],[Building]],8)</f>
        <v>WA0961KC</v>
      </c>
      <c r="H1068" t="str">
        <f>RIGHT(Table2[[#This Row],[Building]],LEN(Table2[[#This Row],[Building]])-9)</f>
        <v>1202 Building</v>
      </c>
    </row>
    <row r="1069" spans="1:8" ht="22.5" x14ac:dyDescent="0.25">
      <c r="A1069" s="39" t="s">
        <v>1855</v>
      </c>
      <c r="B1069" s="31">
        <v>69227.8</v>
      </c>
      <c r="C1069" s="31">
        <v>33627.599999999999</v>
      </c>
      <c r="D1069" s="31">
        <v>128114.8</v>
      </c>
      <c r="E1069" s="30">
        <v>230970.2</v>
      </c>
      <c r="F1069" t="str">
        <f>LEFT(Table2[[#This Row],[Building]],2)</f>
        <v>WI</v>
      </c>
      <c r="G1069" t="str">
        <f>LEFT(Table2[[#This Row],[Building]],8)</f>
        <v>WI0016ZZ</v>
      </c>
      <c r="H1069" t="str">
        <f>RIGHT(Table2[[#This Row],[Building]],LEN(Table2[[#This Row],[Building]])-9)</f>
        <v>Fed Bldg &amp; Us Cthse</v>
      </c>
    </row>
    <row r="1070" spans="1:8" ht="22.5" x14ac:dyDescent="0.25">
      <c r="A1070" s="39" t="s">
        <v>1856</v>
      </c>
      <c r="B1070" s="29">
        <v>1029850.52</v>
      </c>
      <c r="C1070" s="29">
        <v>539047.54</v>
      </c>
      <c r="D1070" s="29">
        <v>544922.86</v>
      </c>
      <c r="E1070" s="30">
        <v>2113820.92</v>
      </c>
      <c r="F1070" t="str">
        <f>LEFT(Table2[[#This Row],[Building]],2)</f>
        <v>WI</v>
      </c>
      <c r="G1070" t="str">
        <f>LEFT(Table2[[#This Row],[Building]],8)</f>
        <v>WI0044ZZ</v>
      </c>
      <c r="H1070" t="str">
        <f>RIGHT(Table2[[#This Row],[Building]],LEN(Table2[[#This Row],[Building]])-9)</f>
        <v>Fed Bldg &amp; Us Cthse</v>
      </c>
    </row>
    <row r="1071" spans="1:8" x14ac:dyDescent="0.25">
      <c r="A1071" s="39" t="s">
        <v>1857</v>
      </c>
      <c r="B1071" s="31">
        <v>35034.519999999997</v>
      </c>
      <c r="C1071" s="31">
        <v>17284.98</v>
      </c>
      <c r="D1071" s="31">
        <v>8554.5300000000007</v>
      </c>
      <c r="E1071" s="30">
        <v>60874.03</v>
      </c>
      <c r="F1071" t="str">
        <f>LEFT(Table2[[#This Row],[Building]],2)</f>
        <v>WI</v>
      </c>
      <c r="G1071" t="str">
        <f>LEFT(Table2[[#This Row],[Building]],8)</f>
        <v>WI0096ZZ</v>
      </c>
      <c r="H1071" t="str">
        <f>RIGHT(Table2[[#This Row],[Building]],LEN(Table2[[#This Row],[Building]])-9)</f>
        <v>Social Sec Dist Off</v>
      </c>
    </row>
    <row r="1072" spans="1:8" x14ac:dyDescent="0.25">
      <c r="A1072" s="39" t="s">
        <v>1858</v>
      </c>
      <c r="B1072" s="29">
        <v>25557</v>
      </c>
      <c r="C1072" s="29">
        <v>9608.59</v>
      </c>
      <c r="D1072" s="29">
        <v>11894.71</v>
      </c>
      <c r="E1072" s="30">
        <v>47060.3</v>
      </c>
      <c r="F1072" t="str">
        <f>LEFT(Table2[[#This Row],[Building]],2)</f>
        <v>WI</v>
      </c>
      <c r="G1072" t="str">
        <f>LEFT(Table2[[#This Row],[Building]],8)</f>
        <v>WI0098ZZ</v>
      </c>
      <c r="H1072" t="str">
        <f>RIGHT(Table2[[#This Row],[Building]],LEN(Table2[[#This Row],[Building]])-9)</f>
        <v>Social Security Bldg</v>
      </c>
    </row>
    <row r="1073" spans="1:8" ht="22.5" x14ac:dyDescent="0.25">
      <c r="A1073" s="39" t="s">
        <v>1859</v>
      </c>
      <c r="B1073" s="31">
        <v>161363.37</v>
      </c>
      <c r="C1073" s="31">
        <v>100313.56</v>
      </c>
      <c r="D1073" s="31">
        <v>123070.33</v>
      </c>
      <c r="E1073" s="30">
        <v>384747.26</v>
      </c>
      <c r="F1073" t="str">
        <f>LEFT(Table2[[#This Row],[Building]],2)</f>
        <v>WI</v>
      </c>
      <c r="G1073" t="str">
        <f>LEFT(Table2[[#This Row],[Building]],8)</f>
        <v>WI0350ZZ</v>
      </c>
      <c r="H1073" t="str">
        <f>RIGHT(Table2[[#This Row],[Building]],LEN(Table2[[#This Row],[Building]])-9)</f>
        <v>R.W. Kastenmeier Us</v>
      </c>
    </row>
    <row r="1074" spans="1:8" ht="22.5" x14ac:dyDescent="0.25">
      <c r="A1074" s="39" t="s">
        <v>1860</v>
      </c>
      <c r="B1074" s="29">
        <v>77209.460000000006</v>
      </c>
      <c r="C1074" s="29">
        <v>49149.51</v>
      </c>
      <c r="D1074" s="29">
        <v>39880.120000000003</v>
      </c>
      <c r="E1074" s="30">
        <v>166239.09</v>
      </c>
      <c r="F1074" t="str">
        <f>LEFT(Table2[[#This Row],[Building]],2)</f>
        <v>WV</v>
      </c>
      <c r="G1074" t="str">
        <f>LEFT(Table2[[#This Row],[Building]],8)</f>
        <v>WV0003ZZ</v>
      </c>
      <c r="H1074" t="str">
        <f>RIGHT(Table2[[#This Row],[Building]],LEN(Table2[[#This Row],[Building]])-9)</f>
        <v>Elizabeth Kee Federa</v>
      </c>
    </row>
    <row r="1075" spans="1:8" ht="22.5" x14ac:dyDescent="0.25">
      <c r="A1075" s="39" t="s">
        <v>1861</v>
      </c>
      <c r="B1075" s="31">
        <v>62163.93</v>
      </c>
      <c r="C1075" s="31">
        <v>29511.89</v>
      </c>
      <c r="D1075" s="31">
        <v>28948.31</v>
      </c>
      <c r="E1075" s="30">
        <v>120624.13</v>
      </c>
      <c r="F1075" t="str">
        <f>LEFT(Table2[[#This Row],[Building]],2)</f>
        <v>WV</v>
      </c>
      <c r="G1075" t="str">
        <f>LEFT(Table2[[#This Row],[Building]],8)</f>
        <v>WV0010ZZ</v>
      </c>
      <c r="H1075" t="str">
        <f>RIGHT(Table2[[#This Row],[Building]],LEN(Table2[[#This Row],[Building]])-9)</f>
        <v>Forest Service Build</v>
      </c>
    </row>
    <row r="1076" spans="1:8" ht="22.5" x14ac:dyDescent="0.25">
      <c r="A1076" s="39" t="s">
        <v>1862</v>
      </c>
      <c r="B1076" s="29">
        <v>109494.72</v>
      </c>
      <c r="C1076" s="29">
        <v>2849.87</v>
      </c>
      <c r="D1076" s="29">
        <v>158992.81</v>
      </c>
      <c r="E1076" s="30">
        <v>271337.40000000002</v>
      </c>
      <c r="F1076" t="str">
        <f>LEFT(Table2[[#This Row],[Building]],2)</f>
        <v>WV</v>
      </c>
      <c r="G1076" t="str">
        <f>LEFT(Table2[[#This Row],[Building]],8)</f>
        <v>WV0016FP</v>
      </c>
      <c r="H1076" t="str">
        <f>RIGHT(Table2[[#This Row],[Building]],LEN(Table2[[#This Row],[Building]])-9)</f>
        <v>Sidney L Christie Fb</v>
      </c>
    </row>
    <row r="1077" spans="1:8" ht="22.5" x14ac:dyDescent="0.25">
      <c r="A1077" s="39" t="s">
        <v>1863</v>
      </c>
      <c r="B1077" s="31">
        <v>191777.87</v>
      </c>
      <c r="C1077" s="31">
        <v>153815.95000000001</v>
      </c>
      <c r="D1077" s="31">
        <v>223872.18</v>
      </c>
      <c r="E1077" s="30">
        <v>569466</v>
      </c>
      <c r="F1077" t="str">
        <f>LEFT(Table2[[#This Row],[Building]],2)</f>
        <v>WV</v>
      </c>
      <c r="G1077" t="str">
        <f>LEFT(Table2[[#This Row],[Building]],8)</f>
        <v>WV0030ZZ</v>
      </c>
      <c r="H1077" t="str">
        <f>RIGHT(Table2[[#This Row],[Building]],LEN(Table2[[#This Row],[Building]])-9)</f>
        <v>Federal Office Build</v>
      </c>
    </row>
    <row r="1078" spans="1:8" ht="22.5" x14ac:dyDescent="0.25">
      <c r="A1078" s="39" t="s">
        <v>1864</v>
      </c>
      <c r="B1078" s="29">
        <v>113662.42</v>
      </c>
      <c r="C1078" s="29">
        <v>65958.7</v>
      </c>
      <c r="D1078" s="29">
        <v>93323.96</v>
      </c>
      <c r="E1078" s="30">
        <v>272945.08</v>
      </c>
      <c r="F1078" t="str">
        <f>LEFT(Table2[[#This Row],[Building]],2)</f>
        <v>WV</v>
      </c>
      <c r="G1078" t="str">
        <f>LEFT(Table2[[#This Row],[Building]],8)</f>
        <v>WV0047ZZ</v>
      </c>
      <c r="H1078" t="str">
        <f>RIGHT(Table2[[#This Row],[Building]],LEN(Table2[[#This Row],[Building]])-9)</f>
        <v>Fb &amp; Us Courthouse</v>
      </c>
    </row>
    <row r="1079" spans="1:8" x14ac:dyDescent="0.25">
      <c r="A1079" s="39" t="s">
        <v>1865</v>
      </c>
      <c r="B1079" s="31">
        <v>77482.429999999993</v>
      </c>
      <c r="C1079" s="31">
        <v>48738.62</v>
      </c>
      <c r="D1079" s="31">
        <v>110959.5</v>
      </c>
      <c r="E1079" s="30">
        <v>237180.55</v>
      </c>
      <c r="F1079" t="str">
        <f>LEFT(Table2[[#This Row],[Building]],2)</f>
        <v>WV</v>
      </c>
      <c r="G1079" t="str">
        <f>LEFT(Table2[[#This Row],[Building]],8)</f>
        <v>WV0050ZZ</v>
      </c>
      <c r="H1079" t="str">
        <f>RIGHT(Table2[[#This Row],[Building]],LEN(Table2[[#This Row],[Building]])-9)</f>
        <v>Fb &amp; Garage</v>
      </c>
    </row>
    <row r="1080" spans="1:8" x14ac:dyDescent="0.25">
      <c r="A1080" s="39" t="s">
        <v>1866</v>
      </c>
      <c r="B1080" s="29">
        <v>92639.8</v>
      </c>
      <c r="C1080" s="29">
        <v>71202.149999999994</v>
      </c>
      <c r="D1080" s="29">
        <v>98886.91</v>
      </c>
      <c r="E1080" s="30">
        <v>262728.86</v>
      </c>
      <c r="F1080" t="str">
        <f>LEFT(Table2[[#This Row],[Building]],2)</f>
        <v>WV</v>
      </c>
      <c r="G1080" t="str">
        <f>LEFT(Table2[[#This Row],[Building]],8)</f>
        <v>WV0053ZZ</v>
      </c>
      <c r="H1080" t="str">
        <f>RIGHT(Table2[[#This Row],[Building]],LEN(Table2[[#This Row],[Building]])-9)</f>
        <v>U.S. Courthouse</v>
      </c>
    </row>
    <row r="1081" spans="1:8" x14ac:dyDescent="0.25">
      <c r="A1081" s="39" t="s">
        <v>1867</v>
      </c>
      <c r="B1081" s="31">
        <v>188041.4</v>
      </c>
      <c r="C1081" s="31">
        <v>239243.79</v>
      </c>
      <c r="D1081" s="31">
        <v>240539.79</v>
      </c>
      <c r="E1081" s="30">
        <v>667824.98</v>
      </c>
      <c r="F1081" t="str">
        <f>LEFT(Table2[[#This Row],[Building]],2)</f>
        <v>WV</v>
      </c>
      <c r="G1081" t="str">
        <f>LEFT(Table2[[#This Row],[Building]],8)</f>
        <v>WV0054FP</v>
      </c>
      <c r="H1081" t="str">
        <f>RIGHT(Table2[[#This Row],[Building]],LEN(Table2[[#This Row],[Building]])-9)</f>
        <v>Federal Building</v>
      </c>
    </row>
    <row r="1082" spans="1:8" x14ac:dyDescent="0.25">
      <c r="A1082" s="39" t="s">
        <v>1868</v>
      </c>
      <c r="B1082" s="29">
        <v>70648.59</v>
      </c>
      <c r="C1082" s="29">
        <v>12281.48</v>
      </c>
      <c r="D1082" s="29">
        <v>7530.06</v>
      </c>
      <c r="E1082" s="30">
        <v>90460.13</v>
      </c>
      <c r="F1082" t="str">
        <f>LEFT(Table2[[#This Row],[Building]],2)</f>
        <v>WV</v>
      </c>
      <c r="G1082" t="str">
        <f>LEFT(Table2[[#This Row],[Building]],8)</f>
        <v>WV0057ZZ</v>
      </c>
      <c r="H1082" t="str">
        <f>RIGHT(Table2[[#This Row],[Building]],LEN(Table2[[#This Row],[Building]])-9)</f>
        <v>Fb &amp; Po</v>
      </c>
    </row>
    <row r="1083" spans="1:8" ht="22.5" x14ac:dyDescent="0.25">
      <c r="A1083" s="39" t="s">
        <v>1869</v>
      </c>
      <c r="B1083" s="31">
        <v>711973.63</v>
      </c>
      <c r="C1083" s="31">
        <v>408464.98</v>
      </c>
      <c r="D1083" s="31">
        <v>520025.11</v>
      </c>
      <c r="E1083" s="30">
        <v>1640463.72</v>
      </c>
      <c r="F1083" t="str">
        <f>LEFT(Table2[[#This Row],[Building]],2)</f>
        <v>WV</v>
      </c>
      <c r="G1083" t="str">
        <f>LEFT(Table2[[#This Row],[Building]],8)</f>
        <v>WV0163ZZ</v>
      </c>
      <c r="H1083" t="str">
        <f>RIGHT(Table2[[#This Row],[Building]],LEN(Table2[[#This Row],[Building]])-9)</f>
        <v>Robert C. Byrd Fb &amp;</v>
      </c>
    </row>
    <row r="1084" spans="1:8" ht="22.5" x14ac:dyDescent="0.25">
      <c r="A1084" s="39" t="s">
        <v>1870</v>
      </c>
      <c r="B1084" s="29">
        <v>249938.34</v>
      </c>
      <c r="C1084" s="29">
        <v>274153.26</v>
      </c>
      <c r="D1084" s="29">
        <v>273090.98</v>
      </c>
      <c r="E1084" s="30">
        <v>797182.58</v>
      </c>
      <c r="F1084" t="str">
        <f>LEFT(Table2[[#This Row],[Building]],2)</f>
        <v>WV</v>
      </c>
      <c r="G1084" t="str">
        <f>LEFT(Table2[[#This Row],[Building]],8)</f>
        <v>WV0171ZZ</v>
      </c>
      <c r="H1084" t="str">
        <f>RIGHT(Table2[[#This Row],[Building]],LEN(Table2[[#This Row],[Building]])-9)</f>
        <v>Robert C. Byrd Fb &amp;</v>
      </c>
    </row>
    <row r="1085" spans="1:8" ht="22.5" x14ac:dyDescent="0.25">
      <c r="A1085" s="39" t="s">
        <v>1871</v>
      </c>
      <c r="B1085" s="31">
        <v>19740.2</v>
      </c>
      <c r="C1085" s="31">
        <v>16660.75</v>
      </c>
      <c r="D1085" s="31">
        <v>21084.13</v>
      </c>
      <c r="E1085" s="30">
        <v>57485.08</v>
      </c>
      <c r="F1085" t="str">
        <f>LEFT(Table2[[#This Row],[Building]],2)</f>
        <v>WV</v>
      </c>
      <c r="G1085" t="str">
        <f>LEFT(Table2[[#This Row],[Building]],8)</f>
        <v>WV0186ZZ</v>
      </c>
      <c r="H1085" t="str">
        <f>RIGHT(Table2[[#This Row],[Building]],LEN(Table2[[#This Row],[Building]])-9)</f>
        <v>Addition To The Fb &amp;</v>
      </c>
    </row>
    <row r="1086" spans="1:8" x14ac:dyDescent="0.25">
      <c r="A1086" s="39" t="s">
        <v>1872</v>
      </c>
      <c r="B1086" s="29">
        <v>90895.039999999994</v>
      </c>
      <c r="C1086" s="29">
        <v>134395.53</v>
      </c>
      <c r="D1086" s="29">
        <v>125963.65</v>
      </c>
      <c r="E1086" s="30">
        <v>351254.22</v>
      </c>
      <c r="F1086" t="str">
        <f>LEFT(Table2[[#This Row],[Building]],2)</f>
        <v>WV</v>
      </c>
      <c r="G1086" t="str">
        <f>LEFT(Table2[[#This Row],[Building]],8)</f>
        <v>WV0222ZZ</v>
      </c>
      <c r="H1086" t="str">
        <f>RIGHT(Table2[[#This Row],[Building]],LEN(Table2[[#This Row],[Building]])-9)</f>
        <v>Fb &amp; Us Ch Annex</v>
      </c>
    </row>
    <row r="1087" spans="1:8" x14ac:dyDescent="0.25">
      <c r="A1087" s="39" t="s">
        <v>1873</v>
      </c>
      <c r="B1087" s="31">
        <v>334330.67</v>
      </c>
      <c r="C1087" s="31">
        <v>229669.24</v>
      </c>
      <c r="D1087" s="31">
        <v>289126.15999999997</v>
      </c>
      <c r="E1087" s="30">
        <v>853126.07</v>
      </c>
      <c r="F1087" t="str">
        <f>LEFT(Table2[[#This Row],[Building]],2)</f>
        <v>WV</v>
      </c>
      <c r="G1087" t="str">
        <f>LEFT(Table2[[#This Row],[Building]],8)</f>
        <v>WV0226ZZ</v>
      </c>
      <c r="H1087" t="str">
        <f>RIGHT(Table2[[#This Row],[Building]],LEN(Table2[[#This Row],[Building]])-9)</f>
        <v>244 Needy Road</v>
      </c>
    </row>
    <row r="1088" spans="1:8" ht="22.5" x14ac:dyDescent="0.25">
      <c r="A1088" s="39" t="s">
        <v>1874</v>
      </c>
      <c r="B1088" s="29">
        <v>116717.78</v>
      </c>
      <c r="C1088" s="29">
        <v>76070.559999999998</v>
      </c>
      <c r="D1088" s="29">
        <v>82433.119999999995</v>
      </c>
      <c r="E1088" s="30">
        <v>275221.46000000002</v>
      </c>
      <c r="F1088" t="str">
        <f>LEFT(Table2[[#This Row],[Building]],2)</f>
        <v>WV</v>
      </c>
      <c r="G1088" t="str">
        <f>LEFT(Table2[[#This Row],[Building]],8)</f>
        <v>WV1251ZZ</v>
      </c>
      <c r="H1088" t="str">
        <f>RIGHT(Table2[[#This Row],[Building]],LEN(Table2[[#This Row],[Building]])-9)</f>
        <v>Jennings Randolph Fe</v>
      </c>
    </row>
    <row r="1089" spans="1:8" x14ac:dyDescent="0.25">
      <c r="A1089" s="39" t="s">
        <v>1875</v>
      </c>
      <c r="B1089" s="31">
        <v>104758.84</v>
      </c>
      <c r="C1089" s="31">
        <v>46054.9</v>
      </c>
      <c r="D1089" s="31">
        <v>66830.55</v>
      </c>
      <c r="E1089" s="30">
        <v>217644.29</v>
      </c>
      <c r="F1089" t="str">
        <f>LEFT(Table2[[#This Row],[Building]],2)</f>
        <v>WY</v>
      </c>
      <c r="G1089" t="str">
        <f>LEFT(Table2[[#This Row],[Building]],8)</f>
        <v>WY0003ZZ</v>
      </c>
      <c r="H1089" t="str">
        <f>RIGHT(Table2[[#This Row],[Building]],LEN(Table2[[#This Row],[Building]])-9)</f>
        <v>Ewing T. Kerr Fb-Ct</v>
      </c>
    </row>
    <row r="1090" spans="1:8" x14ac:dyDescent="0.25">
      <c r="A1090" s="39" t="s">
        <v>1876</v>
      </c>
      <c r="B1090" s="29">
        <v>71876.69</v>
      </c>
      <c r="C1090" s="29">
        <v>46385.73</v>
      </c>
      <c r="D1090" s="29">
        <v>64422.400000000001</v>
      </c>
      <c r="E1090" s="30">
        <v>182684.82</v>
      </c>
      <c r="F1090" t="str">
        <f>LEFT(Table2[[#This Row],[Building]],2)</f>
        <v>WY</v>
      </c>
      <c r="G1090" t="str">
        <f>LEFT(Table2[[#This Row],[Building]],8)</f>
        <v>WY0004ZZ</v>
      </c>
      <c r="H1090" t="str">
        <f>RIGHT(Table2[[#This Row],[Building]],LEN(Table2[[#This Row],[Building]])-9)</f>
        <v>Fob</v>
      </c>
    </row>
    <row r="1091" spans="1:8" ht="22.5" x14ac:dyDescent="0.25">
      <c r="A1091" s="39" t="s">
        <v>1877</v>
      </c>
      <c r="B1091" s="31">
        <v>305099.24</v>
      </c>
      <c r="C1091" s="31">
        <v>291561.78999999998</v>
      </c>
      <c r="D1091" s="31">
        <v>264095.49</v>
      </c>
      <c r="E1091" s="30">
        <v>860756.52</v>
      </c>
      <c r="F1091" t="str">
        <f>LEFT(Table2[[#This Row],[Building]],2)</f>
        <v>WY</v>
      </c>
      <c r="G1091" t="str">
        <f>LEFT(Table2[[#This Row],[Building]],8)</f>
        <v>WY0029ZZ</v>
      </c>
      <c r="H1091" t="str">
        <f>RIGHT(Table2[[#This Row],[Building]],LEN(Table2[[#This Row],[Building]])-9)</f>
        <v>Joseph C O'Mahoney F</v>
      </c>
    </row>
    <row r="1092" spans="1:8" x14ac:dyDescent="0.25">
      <c r="A1092" s="39" t="s">
        <v>1878</v>
      </c>
      <c r="B1092" s="29">
        <v>256892.92</v>
      </c>
      <c r="C1092" s="29">
        <v>105835.45</v>
      </c>
      <c r="D1092" s="29">
        <v>205327.68</v>
      </c>
      <c r="E1092" s="30">
        <v>568056.05000000005</v>
      </c>
      <c r="F1092" t="str">
        <f>LEFT(Table2[[#This Row],[Building]],2)</f>
        <v>WY</v>
      </c>
      <c r="G1092" t="str">
        <f>LEFT(Table2[[#This Row],[Building]],8)</f>
        <v>WY0030ZZ</v>
      </c>
      <c r="H1092" t="str">
        <f>RIGHT(Table2[[#This Row],[Building]],LEN(Table2[[#This Row],[Building]])-9)</f>
        <v>Dick Cheney Fb</v>
      </c>
    </row>
    <row r="1093" spans="1:8" x14ac:dyDescent="0.25">
      <c r="A1093" s="41" t="s">
        <v>6</v>
      </c>
      <c r="B1093" s="42">
        <v>305299264.27999997</v>
      </c>
      <c r="C1093" s="42">
        <v>196564525.549999</v>
      </c>
      <c r="D1093" s="42">
        <v>350890749.96000099</v>
      </c>
      <c r="E1093" s="8">
        <v>852754539.78999698</v>
      </c>
      <c r="F1093" t="str">
        <f>LEFT(Table2[[#This Row],[Building]],2)</f>
        <v>Gr</v>
      </c>
      <c r="G1093" t="str">
        <f>LEFT(Table2[[#This Row],[Building]],8)</f>
        <v>Grand To</v>
      </c>
      <c r="H1093" t="str">
        <f>RIGHT(Table2[[#This Row],[Building]],LEN(Table2[[#This Row],[Building]])-9)</f>
        <v>al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</vt:lpstr>
      <vt:lpstr>Clean Up</vt:lpstr>
      <vt:lpstr>Clean Up 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2015-04-14T14:17:11Z</dcterms:created>
  <dcterms:modified xsi:type="dcterms:W3CDTF">2015-05-08T16:46:18Z</dcterms:modified>
</cp:coreProperties>
</file>